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 firstSheet="32" activeTab="4"/>
  </bookViews>
  <sheets>
    <sheet name="ZONAL SUMMARY  (3)" sheetId="47" r:id="rId1"/>
    <sheet name="ADO ODO JUNIOR" sheetId="48" r:id="rId2"/>
    <sheet name="ADO ODO SENIOR" sheetId="49" r:id="rId3"/>
    <sheet name="ADO ODO COMBINED" sheetId="50" r:id="rId4"/>
    <sheet name="ABEOKUTA SOUTH NEW" sheetId="36" r:id="rId5"/>
    <sheet name="ABEOKUTA SOUTH" sheetId="3" state="hidden" r:id="rId6"/>
    <sheet name="ABEOKUTA NORTH NEW" sheetId="27" r:id="rId7"/>
    <sheet name="ABEOKUTA NORTH" sheetId="2" state="hidden" r:id="rId8"/>
    <sheet name="Yewa South new" sheetId="30" r:id="rId9"/>
    <sheet name="YEWA SOUTH" sheetId="20" state="hidden" r:id="rId10"/>
    <sheet name="YEWA NORTH NEW" sheetId="34" r:id="rId11"/>
    <sheet name="YEWA NORTH" sheetId="19" state="hidden" r:id="rId12"/>
    <sheet name="Remo north new " sheetId="31" r:id="rId13"/>
    <sheet name="Remo North" sheetId="16" state="hidden" r:id="rId14"/>
    <sheet name="Sagamu New" sheetId="29" r:id="rId15"/>
    <sheet name="Sagamu" sheetId="18" state="hidden" r:id="rId16"/>
    <sheet name="OGUN WATERSIDE new" sheetId="32" r:id="rId17"/>
    <sheet name="OGUN WATERSIDE" sheetId="14" state="hidden" r:id="rId18"/>
    <sheet name="OBAFEMI NEW" sheetId="26" r:id="rId19"/>
    <sheet name="Obafemi Owode" sheetId="15" state="hidden" r:id="rId20"/>
    <sheet name="Imeko Afon NEW" sheetId="33" r:id="rId21"/>
    <sheet name="Imeko Afon" sheetId="13" state="hidden" r:id="rId22"/>
    <sheet name="Odeda new" sheetId="28" r:id="rId23"/>
    <sheet name="Odeda" sheetId="17" state="hidden" r:id="rId24"/>
    <sheet name="EWEKORO NEW" sheetId="35" r:id="rId25"/>
    <sheet name="EWEKORO" sheetId="5" state="hidden" r:id="rId26"/>
    <sheet name="Ikenne new" sheetId="25" r:id="rId27"/>
    <sheet name="Ikenne" sheetId="11" state="hidden" r:id="rId28"/>
    <sheet name="Ijebu North New" sheetId="38" r:id="rId29"/>
    <sheet name="Ijebu North" sheetId="8" state="hidden" r:id="rId30"/>
    <sheet name="Ijebu North East New" sheetId="39" r:id="rId31"/>
    <sheet name="Ijebu North EAST" sheetId="9" state="hidden" r:id="rId32"/>
    <sheet name="Ifo new" sheetId="40" r:id="rId33"/>
    <sheet name="Ifo" sheetId="6" state="hidden" r:id="rId34"/>
    <sheet name="Ipokia New" sheetId="42" r:id="rId35"/>
    <sheet name="IPOKIA" sheetId="23" state="hidden" r:id="rId36"/>
    <sheet name="Ijebu East New" sheetId="43" r:id="rId37"/>
    <sheet name="Ijebu East" sheetId="7" state="hidden" r:id="rId38"/>
    <sheet name="ODOGBOLU NEW" sheetId="44" r:id="rId39"/>
    <sheet name="Ijebu Ode New" sheetId="45" r:id="rId40"/>
    <sheet name="ZONAL SUMMARY " sheetId="22" state="hidden" r:id="rId41"/>
    <sheet name="ODOGBOLU" sheetId="12" state="hidden" r:id="rId42"/>
    <sheet name="Ijebu Ode" sheetId="10" state="hidden" r:id="rId43"/>
    <sheet name="Sheet1" sheetId="37" r:id="rId44"/>
    <sheet name="ZONAL SUMMARY  (2)" sheetId="46" state="hidden" r:id="rId45"/>
  </sheets>
  <definedNames>
    <definedName name="_xlnm._FilterDatabase" localSheetId="16" hidden="1">'OGUN WATERSIDE new'!#REF!</definedName>
    <definedName name="_xlnm.Print_Area" localSheetId="7">'ABEOKUTA NORTH'!$A$1:$CX$35</definedName>
    <definedName name="_xlnm.Print_Area" localSheetId="5">'ABEOKUTA SOUTH'!$A$1:$CY$49</definedName>
    <definedName name="_xlnm.Print_Area" localSheetId="4">'ABEOKUTA SOUTH NEW'!$A$1:$C$48</definedName>
    <definedName name="_xlnm.Print_Area" localSheetId="25">EWEKORO!$A$1:$CQ$22</definedName>
    <definedName name="_xlnm.Print_Area" localSheetId="33">Ifo!$A$1:$CO$43</definedName>
    <definedName name="_xlnm.Print_Area" localSheetId="37">'Ijebu East'!$A$1:$CO$27</definedName>
    <definedName name="_xlnm.Print_Area" localSheetId="29">'Ijebu North'!$A$1:$CI$46</definedName>
    <definedName name="_xlnm.Print_Area" localSheetId="31">'Ijebu North EAST'!$A$1:$DG$22</definedName>
    <definedName name="_xlnm.Print_Area" localSheetId="42">'Ijebu Ode'!$A$1:$DB$35</definedName>
    <definedName name="_xlnm.Print_Area" localSheetId="39">'Ijebu Ode New'!$A$1:$B$33</definedName>
    <definedName name="_xlnm.Print_Area" localSheetId="27">Ikenne!$A$1:$DA$26</definedName>
    <definedName name="_xlnm.Print_Area" localSheetId="26">'Ikenne new'!$A$1:$C$27</definedName>
    <definedName name="_xlnm.Print_Area" localSheetId="21">'Imeko Afon'!$A$1:$DA$57</definedName>
    <definedName name="_xlnm.Print_Area" localSheetId="35">IPOKIA!$A$1:$DB$32</definedName>
    <definedName name="_xlnm.Print_Area" localSheetId="18">'OBAFEMI NEW'!$A$1:$B$34</definedName>
    <definedName name="_xlnm.Print_Area" localSheetId="19">'Obafemi Owode'!$A$1:$DG$32</definedName>
    <definedName name="_xlnm.Print_Area" localSheetId="23">Odeda!$A$1:$CM$27</definedName>
    <definedName name="_xlnm.Print_Area" localSheetId="41">ODOGBOLU!$A$1:$DB$34</definedName>
    <definedName name="_xlnm.Print_Area" localSheetId="38">'ODOGBOLU NEW'!$A$1:$B$37</definedName>
    <definedName name="_xlnm.Print_Area" localSheetId="17">'OGUN WATERSIDE'!$A$1:$DD$57</definedName>
    <definedName name="_xlnm.Print_Area" localSheetId="16">'OGUN WATERSIDE new'!$A$1:$B$36</definedName>
    <definedName name="_xlnm.Print_Area" localSheetId="13">'Remo North'!$A$1:$DB$18</definedName>
    <definedName name="_xlnm.Print_Area" localSheetId="15">Sagamu!$A$1:$CT$37</definedName>
    <definedName name="_xlnm.Print_Area" localSheetId="11">'YEWA NORTH'!$A$1:$CY$42</definedName>
    <definedName name="_xlnm.Print_Area" localSheetId="9">'YEWA SOUTH'!$A$1:$DA$53</definedName>
    <definedName name="_xlnm.Print_Area" localSheetId="40">'ZONAL SUMMARY '!$A$1:$M$38</definedName>
    <definedName name="_xlnm.Print_Area" localSheetId="44">'ZONAL SUMMARY  (2)'!$A$1:$R$35</definedName>
    <definedName name="_xlnm.Print_Area" localSheetId="0">'ZONAL SUMMARY  (3)'!$A$1:$M$27</definedName>
    <definedName name="_xlnm.Print_Titles" localSheetId="4">'ABEOKUTA SOUTH NEW'!$5:$6</definedName>
    <definedName name="_xlnm.Print_Titles" localSheetId="10">'YEWA NORTH NEW'!$1:$5</definedName>
  </definedNames>
  <calcPr calcId="145621"/>
</workbook>
</file>

<file path=xl/calcChain.xml><?xml version="1.0" encoding="utf-8"?>
<calcChain xmlns="http://schemas.openxmlformats.org/spreadsheetml/2006/main">
  <c r="A20" i="39" l="1"/>
  <c r="A27" i="48"/>
  <c r="A26" i="50"/>
  <c r="A27" i="49"/>
  <c r="I8" i="47" l="1"/>
  <c r="K7" i="47" l="1"/>
  <c r="M7" i="47"/>
  <c r="M25" i="47"/>
  <c r="L25" i="47"/>
  <c r="K25" i="47"/>
  <c r="J25" i="47"/>
  <c r="M24" i="47"/>
  <c r="L24" i="47"/>
  <c r="K24" i="47"/>
  <c r="J24" i="47"/>
  <c r="E24" i="47"/>
  <c r="D24" i="47" s="1"/>
  <c r="M23" i="47"/>
  <c r="L23" i="47"/>
  <c r="K23" i="47"/>
  <c r="J23" i="47"/>
  <c r="D23" i="47"/>
  <c r="M22" i="47"/>
  <c r="L22" i="47"/>
  <c r="K22" i="47"/>
  <c r="J22" i="47"/>
  <c r="D22" i="47"/>
  <c r="M21" i="47"/>
  <c r="L21" i="47"/>
  <c r="K21" i="47"/>
  <c r="J21" i="47"/>
  <c r="E21" i="47"/>
  <c r="D21" i="47" s="1"/>
  <c r="M20" i="47"/>
  <c r="K20" i="47"/>
  <c r="D20" i="47"/>
  <c r="D19" i="47"/>
  <c r="M18" i="47"/>
  <c r="L18" i="47"/>
  <c r="K18" i="47"/>
  <c r="J18" i="47"/>
  <c r="D18" i="47"/>
  <c r="M17" i="47"/>
  <c r="K17" i="47"/>
  <c r="D17" i="47"/>
  <c r="M16" i="47"/>
  <c r="L16" i="47"/>
  <c r="K16" i="47"/>
  <c r="J16" i="47"/>
  <c r="D16" i="47"/>
  <c r="M15" i="47"/>
  <c r="K15" i="47"/>
  <c r="D15" i="47"/>
  <c r="M14" i="47"/>
  <c r="K14" i="47"/>
  <c r="J14" i="47"/>
  <c r="E14" i="47"/>
  <c r="D14" i="47" s="1"/>
  <c r="M13" i="47"/>
  <c r="K13" i="47"/>
  <c r="E13" i="47"/>
  <c r="M12" i="47"/>
  <c r="K12" i="47"/>
  <c r="M11" i="47"/>
  <c r="K11" i="47"/>
  <c r="D11" i="47"/>
  <c r="M10" i="47"/>
  <c r="D10" i="47"/>
  <c r="E9" i="47"/>
  <c r="E8" i="47"/>
  <c r="D8" i="47" s="1"/>
  <c r="E7" i="47"/>
  <c r="M6" i="47"/>
  <c r="M26" i="47" s="1"/>
  <c r="L6" i="47"/>
  <c r="K6" i="47"/>
  <c r="K26" i="47" s="1"/>
  <c r="J6" i="47"/>
  <c r="P31" i="46"/>
  <c r="O26" i="46"/>
  <c r="P26" i="46"/>
  <c r="O25" i="46"/>
  <c r="P25" i="46"/>
  <c r="O24" i="46"/>
  <c r="P24" i="46"/>
  <c r="O23" i="46"/>
  <c r="P23" i="46"/>
  <c r="O22" i="46"/>
  <c r="P22" i="46"/>
  <c r="O21" i="46"/>
  <c r="P21" i="46"/>
  <c r="O20" i="46"/>
  <c r="O19" i="46"/>
  <c r="P19" i="46"/>
  <c r="O18" i="46"/>
  <c r="P18" i="46"/>
  <c r="O17" i="46"/>
  <c r="P17" i="46"/>
  <c r="O16" i="46"/>
  <c r="P16" i="46"/>
  <c r="O15" i="46"/>
  <c r="P15" i="46"/>
  <c r="O14" i="46"/>
  <c r="P14" i="46"/>
  <c r="O13" i="46"/>
  <c r="P13" i="46"/>
  <c r="O12" i="46"/>
  <c r="P12" i="46"/>
  <c r="O11" i="46"/>
  <c r="P11" i="46"/>
  <c r="N26" i="46"/>
  <c r="N25" i="46"/>
  <c r="N24" i="46"/>
  <c r="N23" i="46"/>
  <c r="N22" i="46"/>
  <c r="N21" i="46"/>
  <c r="N20" i="46"/>
  <c r="N19" i="46"/>
  <c r="N18" i="46"/>
  <c r="N17" i="46"/>
  <c r="N16" i="46"/>
  <c r="N15" i="46"/>
  <c r="N14" i="46"/>
  <c r="Q14" i="46" s="1"/>
  <c r="N13" i="46"/>
  <c r="M14" i="46"/>
  <c r="M15" i="46"/>
  <c r="M16" i="46"/>
  <c r="M17" i="46"/>
  <c r="M18" i="46"/>
  <c r="M19" i="46"/>
  <c r="M21" i="46"/>
  <c r="M22" i="46"/>
  <c r="M23" i="46"/>
  <c r="M24" i="46"/>
  <c r="M25" i="46"/>
  <c r="M26" i="46"/>
  <c r="N12" i="46"/>
  <c r="N11" i="46"/>
  <c r="N10" i="46"/>
  <c r="O8" i="46"/>
  <c r="P7" i="46"/>
  <c r="P8" i="46"/>
  <c r="N8" i="46"/>
  <c r="O7" i="46"/>
  <c r="O27" i="46" s="1"/>
  <c r="O30" i="46" s="1"/>
  <c r="N7" i="46"/>
  <c r="L26" i="46"/>
  <c r="R26" i="46" s="1"/>
  <c r="J26" i="46"/>
  <c r="K26" i="46"/>
  <c r="L25" i="46"/>
  <c r="J25" i="46"/>
  <c r="K25" i="46"/>
  <c r="L24" i="46"/>
  <c r="J24" i="46"/>
  <c r="K24" i="46"/>
  <c r="A36" i="32"/>
  <c r="I23" i="47" s="1"/>
  <c r="L23" i="46"/>
  <c r="J23" i="46"/>
  <c r="K23" i="46"/>
  <c r="L22" i="46"/>
  <c r="J22" i="46"/>
  <c r="K22" i="46"/>
  <c r="K21" i="46"/>
  <c r="L19" i="46"/>
  <c r="J19" i="46"/>
  <c r="K19" i="46"/>
  <c r="J18" i="46"/>
  <c r="K18" i="46"/>
  <c r="L17" i="46"/>
  <c r="J17" i="46"/>
  <c r="K17" i="46"/>
  <c r="K16" i="46"/>
  <c r="J15" i="46"/>
  <c r="K15" i="46"/>
  <c r="K14" i="46"/>
  <c r="M13" i="46"/>
  <c r="L13" i="46"/>
  <c r="K13" i="46"/>
  <c r="M12" i="46"/>
  <c r="K12" i="46"/>
  <c r="M11" i="46"/>
  <c r="M8" i="46"/>
  <c r="K8" i="46"/>
  <c r="M7" i="46"/>
  <c r="M27" i="46" s="1"/>
  <c r="L7" i="46"/>
  <c r="J7" i="46"/>
  <c r="K7" i="46"/>
  <c r="I7" i="46"/>
  <c r="E25" i="46"/>
  <c r="D24" i="46"/>
  <c r="D23" i="46"/>
  <c r="E22" i="46"/>
  <c r="D22" i="46" s="1"/>
  <c r="D21" i="46"/>
  <c r="D20" i="46"/>
  <c r="D19" i="46"/>
  <c r="D18" i="46"/>
  <c r="D17" i="46"/>
  <c r="D16" i="46"/>
  <c r="E15" i="46"/>
  <c r="E14" i="46"/>
  <c r="D12" i="46"/>
  <c r="D11" i="46"/>
  <c r="E10" i="46"/>
  <c r="N9" i="46"/>
  <c r="E9" i="46"/>
  <c r="E8" i="46"/>
  <c r="D8" i="46" s="1"/>
  <c r="L14" i="47"/>
  <c r="A34" i="45"/>
  <c r="I15" i="46" s="1"/>
  <c r="A38" i="44"/>
  <c r="I20" i="47" s="1"/>
  <c r="L21" i="46"/>
  <c r="R21" i="46" s="1"/>
  <c r="L12" i="46"/>
  <c r="A29" i="43"/>
  <c r="I11" i="47" s="1"/>
  <c r="A33" i="42"/>
  <c r="I17" i="47" s="1"/>
  <c r="B22" i="35"/>
  <c r="I9" i="47" s="1"/>
  <c r="M19" i="47"/>
  <c r="J20" i="46"/>
  <c r="B24" i="28"/>
  <c r="I19" i="47" s="1"/>
  <c r="B35" i="33"/>
  <c r="I17" i="46" s="1"/>
  <c r="B33" i="26"/>
  <c r="I18" i="47" s="1"/>
  <c r="B38" i="29"/>
  <c r="I22" i="47" s="1"/>
  <c r="B17" i="31"/>
  <c r="I21" i="47" s="1"/>
  <c r="B41" i="30"/>
  <c r="I25" i="47" s="1"/>
  <c r="B42" i="27"/>
  <c r="I6" i="47" s="1"/>
  <c r="B49" i="36"/>
  <c r="I7" i="47" s="1"/>
  <c r="B48" i="34"/>
  <c r="I24" i="47" s="1"/>
  <c r="B43" i="40"/>
  <c r="J11" i="46" s="1"/>
  <c r="A43" i="40"/>
  <c r="I10" i="47" s="1"/>
  <c r="C43" i="40"/>
  <c r="K10" i="47" s="1"/>
  <c r="D43" i="40"/>
  <c r="E43" i="40"/>
  <c r="F43" i="40"/>
  <c r="L12" i="47"/>
  <c r="I12" i="47"/>
  <c r="L13" i="47"/>
  <c r="A49" i="38"/>
  <c r="I14" i="46" s="1"/>
  <c r="B27" i="25"/>
  <c r="I16" i="46" s="1"/>
  <c r="L15" i="47"/>
  <c r="C49" i="36"/>
  <c r="CG36" i="2" s="1"/>
  <c r="I10" i="46" l="1"/>
  <c r="I22" i="46"/>
  <c r="E26" i="47"/>
  <c r="E30" i="47" s="1"/>
  <c r="L15" i="46"/>
  <c r="R15" i="46" s="1"/>
  <c r="I14" i="47"/>
  <c r="I21" i="46"/>
  <c r="J21" i="46"/>
  <c r="J20" i="47"/>
  <c r="L20" i="47"/>
  <c r="I12" i="46"/>
  <c r="J12" i="46"/>
  <c r="J11" i="47"/>
  <c r="L11" i="47"/>
  <c r="I18" i="46"/>
  <c r="L18" i="46"/>
  <c r="J17" i="47"/>
  <c r="L17" i="47"/>
  <c r="K11" i="46"/>
  <c r="L11" i="46"/>
  <c r="R11" i="46" s="1"/>
  <c r="J10" i="47"/>
  <c r="L10" i="47"/>
  <c r="I11" i="46"/>
  <c r="I13" i="46"/>
  <c r="J13" i="46"/>
  <c r="J12" i="47"/>
  <c r="L14" i="46"/>
  <c r="R14" i="46" s="1"/>
  <c r="I13" i="47"/>
  <c r="J14" i="46"/>
  <c r="J13" i="47"/>
  <c r="L16" i="46"/>
  <c r="I15" i="47"/>
  <c r="J16" i="46"/>
  <c r="J15" i="47"/>
  <c r="K20" i="46"/>
  <c r="L20" i="46"/>
  <c r="J19" i="47"/>
  <c r="L19" i="47"/>
  <c r="I20" i="46"/>
  <c r="M20" i="46"/>
  <c r="R20" i="46" s="1"/>
  <c r="K19" i="47"/>
  <c r="I16" i="47"/>
  <c r="I26" i="47" s="1"/>
  <c r="I19" i="46"/>
  <c r="I24" i="46"/>
  <c r="I26" i="46"/>
  <c r="I23" i="46"/>
  <c r="I25" i="46"/>
  <c r="I8" i="46"/>
  <c r="J8" i="46"/>
  <c r="P30" i="46"/>
  <c r="L8" i="46"/>
  <c r="R8" i="46" s="1"/>
  <c r="L7" i="47"/>
  <c r="J7" i="47"/>
  <c r="J26" i="47" s="1"/>
  <c r="D7" i="47"/>
  <c r="P27" i="46"/>
  <c r="N34" i="46" s="1"/>
  <c r="Q21" i="46"/>
  <c r="Q25" i="46"/>
  <c r="Q8" i="46"/>
  <c r="Q17" i="46"/>
  <c r="Q26" i="46"/>
  <c r="Q7" i="46"/>
  <c r="R25" i="46"/>
  <c r="R24" i="46"/>
  <c r="R17" i="46"/>
  <c r="R22" i="46"/>
  <c r="L27" i="46"/>
  <c r="N31" i="46" s="1"/>
  <c r="R12" i="46"/>
  <c r="Q12" i="46"/>
  <c r="R13" i="46"/>
  <c r="Q13" i="46"/>
  <c r="Q16" i="46"/>
  <c r="R19" i="46"/>
  <c r="Q19" i="46"/>
  <c r="R9" i="46"/>
  <c r="Q9" i="46"/>
  <c r="Q18" i="46"/>
  <c r="Q15" i="46"/>
  <c r="R18" i="46"/>
  <c r="Q22" i="46"/>
  <c r="N32" i="46"/>
  <c r="Q11" i="46"/>
  <c r="R16" i="46"/>
  <c r="R23" i="46"/>
  <c r="Q23" i="46"/>
  <c r="Q24" i="46"/>
  <c r="K27" i="46"/>
  <c r="J27" i="46"/>
  <c r="S14" i="46"/>
  <c r="R7" i="46"/>
  <c r="D9" i="46"/>
  <c r="E27" i="46"/>
  <c r="N27" i="46"/>
  <c r="D15" i="46"/>
  <c r="D25" i="46"/>
  <c r="I27" i="46" l="1"/>
  <c r="N30" i="46" s="1"/>
  <c r="N33" i="46"/>
  <c r="L26" i="47"/>
  <c r="O34" i="46"/>
  <c r="P34" i="46"/>
  <c r="R27" i="46"/>
  <c r="Q27" i="46"/>
  <c r="E38" i="46"/>
  <c r="N35" i="46" l="1"/>
  <c r="I9" i="35"/>
  <c r="I11" i="35"/>
  <c r="I13" i="35"/>
  <c r="I15" i="35"/>
  <c r="I17" i="35"/>
  <c r="I19" i="35"/>
  <c r="I7" i="35"/>
  <c r="G21" i="35"/>
  <c r="F21" i="35"/>
  <c r="H21" i="35" s="1"/>
  <c r="O10" i="46" s="1"/>
  <c r="E21" i="35"/>
  <c r="D21" i="35"/>
  <c r="C21" i="35"/>
  <c r="H20" i="35"/>
  <c r="I20" i="35" s="1"/>
  <c r="H19" i="35"/>
  <c r="H18" i="35"/>
  <c r="I18" i="35" s="1"/>
  <c r="H17" i="35"/>
  <c r="H16" i="35"/>
  <c r="I16" i="35" s="1"/>
  <c r="H15" i="35"/>
  <c r="H14" i="35"/>
  <c r="I14" i="35" s="1"/>
  <c r="H13" i="35"/>
  <c r="H12" i="35"/>
  <c r="I12" i="35" s="1"/>
  <c r="H11" i="35"/>
  <c r="H10" i="35"/>
  <c r="I10" i="35" s="1"/>
  <c r="H9" i="35"/>
  <c r="H8" i="35"/>
  <c r="I8" i="35" s="1"/>
  <c r="H7" i="35"/>
  <c r="I21" i="35" l="1"/>
  <c r="P10" i="46" s="1"/>
  <c r="Q10" i="46" s="1"/>
  <c r="C22" i="35"/>
  <c r="D22" i="35"/>
  <c r="P20" i="46"/>
  <c r="Q20" i="46" s="1"/>
  <c r="CI24" i="11"/>
  <c r="CH24" i="11"/>
  <c r="CN7" i="11"/>
  <c r="DA7" i="11" s="1"/>
  <c r="CN8" i="11"/>
  <c r="DA8" i="11" s="1"/>
  <c r="CN9" i="11"/>
  <c r="DA9" i="11" s="1"/>
  <c r="CN10" i="11"/>
  <c r="DA10" i="11" s="1"/>
  <c r="CN11" i="11"/>
  <c r="DA11" i="11" s="1"/>
  <c r="CN12" i="11"/>
  <c r="DA12" i="11" s="1"/>
  <c r="CN13" i="11"/>
  <c r="DA13" i="11" s="1"/>
  <c r="CN14" i="11"/>
  <c r="DA14" i="11" s="1"/>
  <c r="CN15" i="11"/>
  <c r="DA15" i="11" s="1"/>
  <c r="CN16" i="11"/>
  <c r="DA16" i="11" s="1"/>
  <c r="CN17" i="11"/>
  <c r="DA17" i="11" s="1"/>
  <c r="CN18" i="11"/>
  <c r="DA18" i="11" s="1"/>
  <c r="CN19" i="11"/>
  <c r="DA19" i="11" s="1"/>
  <c r="CN20" i="11"/>
  <c r="DA20" i="11" s="1"/>
  <c r="CN21" i="11"/>
  <c r="DA21" i="11" s="1"/>
  <c r="CN22" i="11"/>
  <c r="DA22" i="11" s="1"/>
  <c r="CN23" i="11"/>
  <c r="DA23" i="11" s="1"/>
  <c r="CN6" i="11"/>
  <c r="CE24" i="11"/>
  <c r="CF24" i="11"/>
  <c r="CG23" i="11"/>
  <c r="CG22" i="11"/>
  <c r="CG21" i="11"/>
  <c r="CG20" i="11"/>
  <c r="CG19" i="11"/>
  <c r="CG18" i="11"/>
  <c r="CG17" i="11"/>
  <c r="CG16" i="11"/>
  <c r="CG15" i="11"/>
  <c r="CG14" i="11"/>
  <c r="CG13" i="11"/>
  <c r="CG12" i="11"/>
  <c r="CG11" i="11"/>
  <c r="CG10" i="11"/>
  <c r="CG9" i="11"/>
  <c r="CG8" i="11"/>
  <c r="CG7" i="11"/>
  <c r="CG6" i="11"/>
  <c r="CG24" i="11" s="1"/>
  <c r="CX8" i="15"/>
  <c r="CX9" i="15"/>
  <c r="DG9" i="15" s="1"/>
  <c r="CX10" i="15"/>
  <c r="CX11" i="15"/>
  <c r="DG11" i="15" s="1"/>
  <c r="CX12" i="15"/>
  <c r="CX13" i="15"/>
  <c r="DG13" i="15" s="1"/>
  <c r="CX14" i="15"/>
  <c r="CX15" i="15"/>
  <c r="DG15" i="15" s="1"/>
  <c r="CX16" i="15"/>
  <c r="CX17" i="15"/>
  <c r="DG17" i="15" s="1"/>
  <c r="CX18" i="15"/>
  <c r="CX19" i="15"/>
  <c r="DG19" i="15" s="1"/>
  <c r="CX20" i="15"/>
  <c r="CX21" i="15"/>
  <c r="DG21" i="15" s="1"/>
  <c r="CX22" i="15"/>
  <c r="CX23" i="15"/>
  <c r="DG23" i="15" s="1"/>
  <c r="CX24" i="15"/>
  <c r="CX25" i="15"/>
  <c r="DG25" i="15" s="1"/>
  <c r="CX26" i="15"/>
  <c r="CX27" i="15"/>
  <c r="DG27" i="15" s="1"/>
  <c r="CX28" i="15"/>
  <c r="DG8" i="15"/>
  <c r="DG10" i="15"/>
  <c r="DG12" i="15"/>
  <c r="DG14" i="15"/>
  <c r="DG16" i="15"/>
  <c r="DG18" i="15"/>
  <c r="DG20" i="15"/>
  <c r="DG22" i="15"/>
  <c r="DG24" i="15"/>
  <c r="DG26" i="15"/>
  <c r="DG28" i="15"/>
  <c r="CX7" i="15"/>
  <c r="DG7" i="15"/>
  <c r="CT8" i="18"/>
  <c r="J10" i="46" l="1"/>
  <c r="L9" i="47"/>
  <c r="J9" i="47"/>
  <c r="L10" i="46"/>
  <c r="DA6" i="11"/>
  <c r="DA24" i="11" s="1"/>
  <c r="CN24" i="11"/>
  <c r="M9" i="47"/>
  <c r="K9" i="47"/>
  <c r="M10" i="46"/>
  <c r="K10" i="46"/>
  <c r="CJ27" i="11"/>
  <c r="J16" i="22" s="1"/>
  <c r="CI27" i="11"/>
  <c r="I16" i="22" s="1"/>
  <c r="CG36" i="10"/>
  <c r="I15" i="22" s="1"/>
  <c r="CH36" i="10"/>
  <c r="J15" i="22" s="1"/>
  <c r="DB8" i="10"/>
  <c r="DB9" i="10"/>
  <c r="DB10" i="10"/>
  <c r="DB11" i="10"/>
  <c r="DB12" i="10"/>
  <c r="DB13" i="10"/>
  <c r="DB14" i="10"/>
  <c r="DB15" i="10"/>
  <c r="DB16" i="10"/>
  <c r="DB17" i="10"/>
  <c r="DB18" i="10"/>
  <c r="DB19" i="10"/>
  <c r="DB20" i="10"/>
  <c r="DB21" i="10"/>
  <c r="DB22" i="10"/>
  <c r="DB23" i="10"/>
  <c r="DB24" i="10"/>
  <c r="DB25" i="10"/>
  <c r="DB26" i="10"/>
  <c r="DB27" i="10"/>
  <c r="DB28" i="10"/>
  <c r="DB29" i="10"/>
  <c r="DB30" i="10"/>
  <c r="DB31" i="10"/>
  <c r="DB32" i="10"/>
  <c r="DB7" i="10"/>
  <c r="DB8" i="9"/>
  <c r="DB9" i="9"/>
  <c r="DB10" i="9"/>
  <c r="DB11" i="9"/>
  <c r="DB12" i="9"/>
  <c r="DB13" i="9"/>
  <c r="DB14" i="9"/>
  <c r="DB15" i="9"/>
  <c r="DB16" i="9"/>
  <c r="DB17" i="9"/>
  <c r="DB18" i="9"/>
  <c r="DB19" i="9"/>
  <c r="DB7" i="9"/>
  <c r="J12" i="22" s="1"/>
  <c r="I12" i="22" s="1"/>
  <c r="J11" i="22" s="1"/>
  <c r="I11" i="22" s="1"/>
  <c r="CH23" i="5"/>
  <c r="J10" i="22" s="1"/>
  <c r="CG23" i="5"/>
  <c r="I10" i="22" s="1"/>
  <c r="CP8" i="5"/>
  <c r="CP9" i="5"/>
  <c r="CP10" i="5"/>
  <c r="CP11" i="5"/>
  <c r="CP12" i="5"/>
  <c r="CP13" i="5"/>
  <c r="CP14" i="5"/>
  <c r="CP15" i="5"/>
  <c r="CP16" i="5"/>
  <c r="CP17" i="5"/>
  <c r="CP18" i="5"/>
  <c r="CP19" i="5"/>
  <c r="CP7" i="5"/>
  <c r="CH35" i="12"/>
  <c r="J21" i="22" s="1"/>
  <c r="CG35" i="12"/>
  <c r="I21" i="22" s="1"/>
  <c r="DB8" i="12"/>
  <c r="DB9" i="12"/>
  <c r="DB10" i="12"/>
  <c r="DB11" i="12"/>
  <c r="DB12" i="12"/>
  <c r="DB13" i="12"/>
  <c r="DB14" i="12"/>
  <c r="DB15" i="12"/>
  <c r="DB16" i="12"/>
  <c r="DB17" i="12"/>
  <c r="DB18" i="12"/>
  <c r="DB19" i="12"/>
  <c r="DB20" i="12"/>
  <c r="DB21" i="12"/>
  <c r="DB22" i="12"/>
  <c r="DB23" i="12"/>
  <c r="DB24" i="12"/>
  <c r="DB25" i="12"/>
  <c r="DB26" i="12"/>
  <c r="DB27" i="12"/>
  <c r="DB28" i="12"/>
  <c r="DB29" i="12"/>
  <c r="DB30" i="12"/>
  <c r="DB31" i="12"/>
  <c r="DB7" i="12"/>
  <c r="CE28" i="17"/>
  <c r="J20" i="22" s="1"/>
  <c r="CD28" i="17"/>
  <c r="I20" i="22" s="1"/>
  <c r="CI58" i="13"/>
  <c r="J17" i="22" s="1"/>
  <c r="CH58" i="13"/>
  <c r="I17" i="22" s="1"/>
  <c r="DA8" i="13"/>
  <c r="DA9" i="13"/>
  <c r="DA10" i="13"/>
  <c r="DA11" i="13"/>
  <c r="DA12" i="13"/>
  <c r="DA13" i="13"/>
  <c r="DA14" i="13"/>
  <c r="DA15" i="13"/>
  <c r="DA16" i="13"/>
  <c r="DA17" i="13"/>
  <c r="DA18" i="13"/>
  <c r="DA19" i="13"/>
  <c r="DA20" i="13"/>
  <c r="DA21" i="13"/>
  <c r="DA22" i="13"/>
  <c r="DA23" i="13"/>
  <c r="DA7" i="13"/>
  <c r="CS33" i="15"/>
  <c r="J19" i="22" s="1"/>
  <c r="CR33" i="15"/>
  <c r="I19" i="22" s="1"/>
  <c r="CL58" i="14"/>
  <c r="J24" i="22" s="1"/>
  <c r="CK58" i="14"/>
  <c r="I24" i="22" s="1"/>
  <c r="CT9" i="18"/>
  <c r="CT10" i="18"/>
  <c r="CT11" i="18"/>
  <c r="CT12" i="18"/>
  <c r="CT13" i="18"/>
  <c r="CT14" i="18"/>
  <c r="CT15" i="18"/>
  <c r="CT16" i="18"/>
  <c r="CT17" i="18"/>
  <c r="CT18" i="18"/>
  <c r="CT19" i="18"/>
  <c r="CT20" i="18"/>
  <c r="CT21" i="18"/>
  <c r="CT22" i="18"/>
  <c r="CT23" i="18"/>
  <c r="CT24" i="18"/>
  <c r="CT25" i="18"/>
  <c r="CT26" i="18"/>
  <c r="CT27" i="18"/>
  <c r="CT28" i="18"/>
  <c r="CT29" i="18"/>
  <c r="CT30" i="18"/>
  <c r="CT31" i="18"/>
  <c r="CT32" i="18"/>
  <c r="CT33" i="18"/>
  <c r="CT34" i="18"/>
  <c r="DD8" i="14"/>
  <c r="DD9" i="14"/>
  <c r="DD10" i="14"/>
  <c r="DD11" i="14"/>
  <c r="DD12" i="14"/>
  <c r="DD13" i="14"/>
  <c r="DD14" i="14"/>
  <c r="DD15" i="14"/>
  <c r="DD16" i="14"/>
  <c r="DD17" i="14"/>
  <c r="DD18" i="14"/>
  <c r="DD19" i="14"/>
  <c r="DD20" i="14"/>
  <c r="DD21" i="14"/>
  <c r="DD22" i="14"/>
  <c r="DD23" i="14"/>
  <c r="DD24" i="14"/>
  <c r="DD25" i="14"/>
  <c r="DD26" i="14"/>
  <c r="DD27" i="14"/>
  <c r="DD28" i="14"/>
  <c r="DD29" i="14"/>
  <c r="DD30" i="14"/>
  <c r="DD31" i="14"/>
  <c r="DD32" i="14"/>
  <c r="DD33" i="14"/>
  <c r="DD34" i="14"/>
  <c r="DD35" i="14"/>
  <c r="DD36" i="14"/>
  <c r="DD37" i="14"/>
  <c r="DD38" i="14"/>
  <c r="DD39" i="14"/>
  <c r="DD40" i="14"/>
  <c r="DD41" i="14"/>
  <c r="DD42" i="14"/>
  <c r="DD43" i="14"/>
  <c r="DD44" i="14"/>
  <c r="DD45" i="14"/>
  <c r="DD46" i="14"/>
  <c r="DD47" i="14"/>
  <c r="DD48" i="14"/>
  <c r="DD49" i="14"/>
  <c r="DD50" i="14"/>
  <c r="DD51" i="14"/>
  <c r="DD52" i="14"/>
  <c r="DD53" i="14"/>
  <c r="DD54" i="14"/>
  <c r="DD7" i="14"/>
  <c r="CA38" i="18"/>
  <c r="J23" i="22" s="1"/>
  <c r="BZ38" i="18"/>
  <c r="I23" i="22" s="1"/>
  <c r="CE19" i="16"/>
  <c r="J22" i="22" s="1"/>
  <c r="CD19" i="16"/>
  <c r="I22" i="22" s="1"/>
  <c r="DB8" i="16"/>
  <c r="DB9" i="16"/>
  <c r="DB10" i="16"/>
  <c r="DB11" i="16"/>
  <c r="DB12" i="16"/>
  <c r="DB13" i="16"/>
  <c r="DB14" i="16"/>
  <c r="DB15" i="16"/>
  <c r="DB7" i="16"/>
  <c r="CE43" i="19"/>
  <c r="J25" i="22" s="1"/>
  <c r="CD43" i="19"/>
  <c r="I25" i="22" s="1"/>
  <c r="N25" i="22" s="1"/>
  <c r="CY9" i="19"/>
  <c r="CY10" i="19"/>
  <c r="CY11" i="19"/>
  <c r="CY12" i="19"/>
  <c r="CY13" i="19"/>
  <c r="CY14" i="19"/>
  <c r="CY15" i="19"/>
  <c r="CY16" i="19"/>
  <c r="CY17" i="19"/>
  <c r="CY18" i="19"/>
  <c r="CY19" i="19"/>
  <c r="CY20" i="19"/>
  <c r="CY21" i="19"/>
  <c r="CY22" i="19"/>
  <c r="CY23" i="19"/>
  <c r="CY24" i="19"/>
  <c r="CY25" i="19"/>
  <c r="CY26" i="19"/>
  <c r="CY27" i="19"/>
  <c r="CY28" i="19"/>
  <c r="CY29" i="19"/>
  <c r="CY30" i="19"/>
  <c r="CY31" i="19"/>
  <c r="CY32" i="19"/>
  <c r="CY33" i="19"/>
  <c r="CY34" i="19"/>
  <c r="CY35" i="19"/>
  <c r="CY36" i="19"/>
  <c r="CY37" i="19"/>
  <c r="CY38" i="19"/>
  <c r="CY39" i="19"/>
  <c r="CY8" i="19"/>
  <c r="CL54" i="20"/>
  <c r="J26" i="22" s="1"/>
  <c r="CK54" i="20"/>
  <c r="I26" i="22" s="1"/>
  <c r="N26" i="22" s="1"/>
  <c r="DA8" i="20"/>
  <c r="DA9" i="20"/>
  <c r="DA10" i="20"/>
  <c r="DA11" i="20"/>
  <c r="DA12" i="20"/>
  <c r="DA13" i="20"/>
  <c r="DA14" i="20"/>
  <c r="DA15" i="20"/>
  <c r="DA16" i="20"/>
  <c r="DA17" i="20"/>
  <c r="DA18" i="20"/>
  <c r="DA19" i="20"/>
  <c r="DA20" i="20"/>
  <c r="DA21" i="20"/>
  <c r="DA22" i="20"/>
  <c r="DA23" i="20"/>
  <c r="DA24" i="20"/>
  <c r="DA25" i="20"/>
  <c r="DA26" i="20"/>
  <c r="DA27" i="20"/>
  <c r="DA28" i="20"/>
  <c r="DA29" i="20"/>
  <c r="DA7" i="20"/>
  <c r="CK33" i="23"/>
  <c r="J18" i="22" s="1"/>
  <c r="CJ33" i="23"/>
  <c r="I18" i="22" s="1"/>
  <c r="DB9" i="23"/>
  <c r="DB10" i="23"/>
  <c r="DB11" i="23"/>
  <c r="DB12" i="23"/>
  <c r="DB13" i="23"/>
  <c r="DB14" i="23"/>
  <c r="DB15" i="23"/>
  <c r="DB16" i="23"/>
  <c r="DB17" i="23"/>
  <c r="DB18" i="23"/>
  <c r="DB19" i="23"/>
  <c r="DB20" i="23"/>
  <c r="DB21" i="23"/>
  <c r="DB22" i="23"/>
  <c r="DB23" i="23"/>
  <c r="DB24" i="23"/>
  <c r="DB25" i="23"/>
  <c r="DB26" i="23"/>
  <c r="DB27" i="23"/>
  <c r="DB28" i="23"/>
  <c r="DB29" i="23"/>
  <c r="DB8" i="23"/>
  <c r="I7" i="22"/>
  <c r="N7" i="22" s="1"/>
  <c r="CH36" i="2"/>
  <c r="J7" i="22" s="1"/>
  <c r="CI36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7" i="2"/>
  <c r="BZ47" i="8"/>
  <c r="J14" i="22" s="1"/>
  <c r="BY47" i="8"/>
  <c r="I14" i="22" s="1"/>
  <c r="N14" i="22" s="1"/>
  <c r="I9" i="22"/>
  <c r="J9" i="22"/>
  <c r="CI9" i="8"/>
  <c r="CI10" i="8"/>
  <c r="CI11" i="8"/>
  <c r="CI12" i="8"/>
  <c r="CI13" i="8"/>
  <c r="CI14" i="8"/>
  <c r="CI15" i="8"/>
  <c r="CI16" i="8"/>
  <c r="CI17" i="8"/>
  <c r="CI18" i="8"/>
  <c r="CI19" i="8"/>
  <c r="CI20" i="8"/>
  <c r="CI21" i="8"/>
  <c r="CI22" i="8"/>
  <c r="CI23" i="8"/>
  <c r="CI24" i="8"/>
  <c r="CI25" i="8"/>
  <c r="CI26" i="8"/>
  <c r="CI27" i="8"/>
  <c r="CI28" i="8"/>
  <c r="CI29" i="8"/>
  <c r="CI30" i="8"/>
  <c r="CI31" i="8"/>
  <c r="CI32" i="8"/>
  <c r="CI33" i="8"/>
  <c r="CI34" i="8"/>
  <c r="CI35" i="8"/>
  <c r="CI36" i="8"/>
  <c r="CI37" i="8"/>
  <c r="CI38" i="8"/>
  <c r="CI39" i="8"/>
  <c r="CI40" i="8"/>
  <c r="CI41" i="8"/>
  <c r="CI42" i="8"/>
  <c r="CI43" i="8"/>
  <c r="CI8" i="8"/>
  <c r="R10" i="46" l="1"/>
  <c r="N21" i="22"/>
  <c r="N12" i="22"/>
  <c r="N15" i="22"/>
  <c r="N16" i="22"/>
  <c r="N11" i="22"/>
  <c r="L9" i="22"/>
  <c r="CI44" i="8"/>
  <c r="L14" i="22" s="1"/>
  <c r="N9" i="22"/>
  <c r="N18" i="22"/>
  <c r="DA51" i="20"/>
  <c r="L26" i="22" s="1"/>
  <c r="N22" i="22"/>
  <c r="N23" i="22"/>
  <c r="DD55" i="14"/>
  <c r="L24" i="22" s="1"/>
  <c r="N24" i="22"/>
  <c r="N19" i="22"/>
  <c r="N20" i="22"/>
  <c r="N17" i="22"/>
  <c r="N10" i="22"/>
  <c r="CH8" i="8"/>
  <c r="CD44" i="8"/>
  <c r="CY40" i="19"/>
  <c r="L25" i="22" s="1"/>
  <c r="E14" i="22"/>
  <c r="CH27" i="8"/>
  <c r="CH29" i="8"/>
  <c r="CH30" i="8"/>
  <c r="CH31" i="8"/>
  <c r="CH32" i="8"/>
  <c r="CH33" i="8"/>
  <c r="CH34" i="8"/>
  <c r="CH35" i="8"/>
  <c r="CH36" i="8"/>
  <c r="CH37" i="8"/>
  <c r="CH38" i="8"/>
  <c r="CH39" i="8"/>
  <c r="CH40" i="8"/>
  <c r="CH41" i="8"/>
  <c r="CH42" i="8"/>
  <c r="CH43" i="8"/>
  <c r="CH28" i="8"/>
  <c r="CH9" i="8"/>
  <c r="CH10" i="8"/>
  <c r="CH11" i="8"/>
  <c r="CH12" i="8"/>
  <c r="CH13" i="8"/>
  <c r="CH14" i="8"/>
  <c r="CH15" i="8"/>
  <c r="CH16" i="8"/>
  <c r="CH17" i="8"/>
  <c r="CH18" i="8"/>
  <c r="CH19" i="8"/>
  <c r="CH20" i="8"/>
  <c r="CH21" i="8"/>
  <c r="CH22" i="8"/>
  <c r="CH23" i="8"/>
  <c r="CH24" i="8"/>
  <c r="CH25" i="8"/>
  <c r="CH26" i="8"/>
  <c r="CA53" i="8"/>
  <c r="BZ54" i="8"/>
  <c r="CV8" i="9"/>
  <c r="CV9" i="9"/>
  <c r="CV10" i="9"/>
  <c r="CV11" i="9"/>
  <c r="CV12" i="9"/>
  <c r="CV13" i="9"/>
  <c r="CV14" i="9"/>
  <c r="CV15" i="9"/>
  <c r="CV16" i="9"/>
  <c r="CV17" i="9"/>
  <c r="CV18" i="9"/>
  <c r="CV19" i="9"/>
  <c r="CV7" i="9"/>
  <c r="CP20" i="9"/>
  <c r="CS20" i="9"/>
  <c r="CN51" i="20"/>
  <c r="D25" i="47" l="1"/>
  <c r="D26" i="46"/>
  <c r="CI45" i="8"/>
  <c r="K14" i="22" s="1"/>
  <c r="D14" i="46"/>
  <c r="E37" i="46" s="1"/>
  <c r="D13" i="47"/>
  <c r="E29" i="47" s="1"/>
  <c r="CQ23" i="9"/>
  <c r="J13" i="22" s="1"/>
  <c r="CP23" i="9"/>
  <c r="I13" i="22" s="1"/>
  <c r="CV20" i="9"/>
  <c r="D12" i="47" l="1"/>
  <c r="D13" i="46"/>
  <c r="N13" i="22"/>
  <c r="E25" i="22"/>
  <c r="D24" i="22"/>
  <c r="D23" i="22"/>
  <c r="E22" i="22"/>
  <c r="H22" i="22" s="1"/>
  <c r="D21" i="22"/>
  <c r="D20" i="22"/>
  <c r="D19" i="22"/>
  <c r="D26" i="22"/>
  <c r="D18" i="22"/>
  <c r="D17" i="22"/>
  <c r="D16" i="22"/>
  <c r="E15" i="22"/>
  <c r="H15" i="22" s="1"/>
  <c r="H14" i="22"/>
  <c r="D13" i="22"/>
  <c r="D12" i="22"/>
  <c r="D11" i="22"/>
  <c r="E10" i="22"/>
  <c r="H10" i="22" s="1"/>
  <c r="E9" i="22"/>
  <c r="H9" i="22" s="1"/>
  <c r="DB31" i="23"/>
  <c r="K18" i="22" s="1"/>
  <c r="DB30" i="23"/>
  <c r="L18" i="22" s="1"/>
  <c r="CV31" i="23"/>
  <c r="CV32" i="23" s="1"/>
  <c r="G18" i="22" l="1"/>
  <c r="DB32" i="23"/>
  <c r="M18" i="22" s="1"/>
  <c r="D25" i="22"/>
  <c r="H25" i="22"/>
  <c r="G25" i="22" s="1"/>
  <c r="F23" i="22"/>
  <c r="F11" i="22"/>
  <c r="F13" i="22"/>
  <c r="F17" i="22"/>
  <c r="F19" i="22"/>
  <c r="F21" i="22"/>
  <c r="F24" i="22"/>
  <c r="F12" i="22"/>
  <c r="F16" i="22"/>
  <c r="F18" i="22"/>
  <c r="F26" i="22"/>
  <c r="F20" i="22"/>
  <c r="D22" i="22"/>
  <c r="D15" i="22"/>
  <c r="D9" i="22"/>
  <c r="D14" i="22"/>
  <c r="F14" i="22" s="1"/>
  <c r="DA25" i="11"/>
  <c r="K16" i="22" l="1"/>
  <c r="O14" i="22"/>
  <c r="E40" i="22"/>
  <c r="F9" i="22"/>
  <c r="F25" i="22"/>
  <c r="F15" i="22"/>
  <c r="F22" i="22"/>
  <c r="B38" i="12"/>
  <c r="C38" i="12"/>
  <c r="C60" i="13"/>
  <c r="B60" i="13"/>
  <c r="B35" i="15"/>
  <c r="C60" i="14"/>
  <c r="B60" i="14"/>
  <c r="B38" i="18"/>
  <c r="B20" i="16"/>
  <c r="C44" i="19"/>
  <c r="B44" i="19"/>
  <c r="B55" i="20"/>
  <c r="C55" i="20"/>
  <c r="C37" i="2"/>
  <c r="DA24" i="2" s="1"/>
  <c r="B37" i="2"/>
  <c r="DB34" i="10" l="1"/>
  <c r="K15" i="22" s="1"/>
  <c r="DB21" i="9"/>
  <c r="K13" i="22" s="1"/>
  <c r="CF21" i="9"/>
  <c r="CF22" i="9" s="1"/>
  <c r="CQ45" i="8"/>
  <c r="CQ46" i="8" s="1"/>
  <c r="K12" i="22" s="1"/>
  <c r="K11" i="22"/>
  <c r="CU21" i="5"/>
  <c r="CU22" i="5" s="1"/>
  <c r="DE34" i="2"/>
  <c r="DE35" i="2" s="1"/>
  <c r="CM33" i="2"/>
  <c r="CJ33" i="2"/>
  <c r="CG33" i="2"/>
  <c r="DB33" i="12"/>
  <c r="K21" i="22" s="1"/>
  <c r="CM26" i="17"/>
  <c r="K20" i="22" s="1"/>
  <c r="CX23" i="17"/>
  <c r="CX25" i="17" s="1"/>
  <c r="DA56" i="13"/>
  <c r="K17" i="22" s="1"/>
  <c r="D6" i="47" l="1"/>
  <c r="D26" i="47" s="1"/>
  <c r="D29" i="47" s="1"/>
  <c r="D7" i="46"/>
  <c r="D27" i="46" s="1"/>
  <c r="D37" i="46" s="1"/>
  <c r="CX34" i="2"/>
  <c r="K7" i="22" s="1"/>
  <c r="D7" i="22"/>
  <c r="K9" i="22"/>
  <c r="M9" i="22" s="1"/>
  <c r="DA52" i="20"/>
  <c r="K26" i="22" s="1"/>
  <c r="DG30" i="15"/>
  <c r="K19" i="22" s="1"/>
  <c r="DD56" i="14"/>
  <c r="K24" i="22" s="1"/>
  <c r="CY41" i="19"/>
  <c r="K25" i="22" s="1"/>
  <c r="M25" i="22" s="1"/>
  <c r="CT36" i="18"/>
  <c r="K23" i="22" s="1"/>
  <c r="DA30" i="20"/>
  <c r="DA31" i="20"/>
  <c r="DA32" i="20"/>
  <c r="DA33" i="20"/>
  <c r="CY42" i="19"/>
  <c r="DB17" i="16"/>
  <c r="K22" i="22" s="1"/>
  <c r="DB32" i="12"/>
  <c r="L21" i="22" s="1"/>
  <c r="DG29" i="15"/>
  <c r="L19" i="22" s="1"/>
  <c r="DA24" i="13"/>
  <c r="DA25" i="13"/>
  <c r="DA55" i="13" s="1"/>
  <c r="DA26" i="13"/>
  <c r="DA27" i="13"/>
  <c r="DA28" i="13"/>
  <c r="DA29" i="13"/>
  <c r="DA30" i="13"/>
  <c r="DA31" i="13"/>
  <c r="DA32" i="13"/>
  <c r="DA33" i="13"/>
  <c r="DA34" i="13"/>
  <c r="DA35" i="13"/>
  <c r="DA36" i="13"/>
  <c r="DA37" i="13"/>
  <c r="DA38" i="13"/>
  <c r="DA39" i="13"/>
  <c r="DA40" i="13"/>
  <c r="DA41" i="13"/>
  <c r="DA42" i="13"/>
  <c r="DA43" i="13"/>
  <c r="DA44" i="13"/>
  <c r="DA45" i="13"/>
  <c r="DA46" i="13"/>
  <c r="DA47" i="13"/>
  <c r="DA48" i="13"/>
  <c r="DA49" i="13"/>
  <c r="DA50" i="13"/>
  <c r="DA51" i="13"/>
  <c r="DA52" i="13"/>
  <c r="DA53" i="13"/>
  <c r="DA54" i="13"/>
  <c r="DB33" i="10"/>
  <c r="L15" i="22" s="1"/>
  <c r="L12" i="22" s="1"/>
  <c r="CJ20" i="5"/>
  <c r="CG20" i="5"/>
  <c r="CM20" i="5"/>
  <c r="CP20" i="5"/>
  <c r="L10" i="22" s="1"/>
  <c r="E8" i="22" s="1"/>
  <c r="H8" i="22" s="1"/>
  <c r="F7" i="22"/>
  <c r="L8" i="22"/>
  <c r="G12" i="22"/>
  <c r="D10" i="22"/>
  <c r="CP21" i="5"/>
  <c r="K10" i="22" s="1"/>
  <c r="L16" i="22"/>
  <c r="G15" i="22"/>
  <c r="DB34" i="12"/>
  <c r="G21" i="22"/>
  <c r="G19" i="22"/>
  <c r="G26" i="22"/>
  <c r="CJ44" i="8"/>
  <c r="G14" i="22"/>
  <c r="CM25" i="17"/>
  <c r="L20" i="22" s="1"/>
  <c r="CT35" i="18"/>
  <c r="J8" i="22" s="1"/>
  <c r="J27" i="22" s="1"/>
  <c r="K33" i="22" s="1"/>
  <c r="G24" i="22"/>
  <c r="L11" i="22"/>
  <c r="DB20" i="9"/>
  <c r="DB16" i="16"/>
  <c r="L22" i="22" s="1"/>
  <c r="CX33" i="2"/>
  <c r="L7" i="22" s="1"/>
  <c r="L17" i="22" l="1"/>
  <c r="G17" i="22"/>
  <c r="DA57" i="13"/>
  <c r="DG31" i="15"/>
  <c r="DB35" i="10"/>
  <c r="M15" i="22" s="1"/>
  <c r="G10" i="22"/>
  <c r="M12" i="22"/>
  <c r="D9" i="47"/>
  <c r="D10" i="46"/>
  <c r="M19" i="22"/>
  <c r="M21" i="22"/>
  <c r="E27" i="22"/>
  <c r="K30" i="22" s="1"/>
  <c r="M17" i="22"/>
  <c r="G13" i="22"/>
  <c r="L13" i="22"/>
  <c r="CT37" i="18"/>
  <c r="L23" i="22"/>
  <c r="M23" i="22" s="1"/>
  <c r="I8" i="22"/>
  <c r="M11" i="22"/>
  <c r="G11" i="22"/>
  <c r="F10" i="22"/>
  <c r="CP22" i="5"/>
  <c r="M10" i="22" s="1"/>
  <c r="CX35" i="2"/>
  <c r="G7" i="22"/>
  <c r="D8" i="22"/>
  <c r="G8" i="22"/>
  <c r="H27" i="22"/>
  <c r="E41" i="22"/>
  <c r="G16" i="22"/>
  <c r="DA26" i="11"/>
  <c r="M16" i="22" s="1"/>
  <c r="CM27" i="17"/>
  <c r="M20" i="22" s="1"/>
  <c r="G20" i="22"/>
  <c r="DD57" i="14"/>
  <c r="M24" i="22" s="1"/>
  <c r="G23" i="22"/>
  <c r="DB18" i="16"/>
  <c r="M22" i="22" s="1"/>
  <c r="G22" i="22"/>
  <c r="DA53" i="20"/>
  <c r="M26" i="22" s="1"/>
  <c r="G9" i="22"/>
  <c r="CI46" i="8"/>
  <c r="M14" i="22" s="1"/>
  <c r="DB22" i="9"/>
  <c r="M13" i="22" l="1"/>
  <c r="I27" i="22"/>
  <c r="K32" i="22" s="1"/>
  <c r="K34" i="22" s="1"/>
  <c r="N8" i="22"/>
  <c r="N27" i="22" s="1"/>
  <c r="M7" i="22"/>
  <c r="F8" i="22"/>
  <c r="F27" i="22" s="1"/>
  <c r="D27" i="22"/>
  <c r="L27" i="22" s="1"/>
  <c r="K8" i="22"/>
  <c r="G27" i="22"/>
  <c r="K35" i="22" l="1"/>
  <c r="K27" i="22"/>
  <c r="M8" i="22"/>
  <c r="M27" i="22" s="1"/>
  <c r="D40" i="22"/>
  <c r="K31" i="22" l="1"/>
  <c r="K36" i="22"/>
  <c r="K37" i="22"/>
  <c r="K38" i="22" l="1"/>
  <c r="L35" i="22"/>
  <c r="C38" i="18"/>
  <c r="C35" i="15"/>
  <c r="C20" i="16"/>
</calcChain>
</file>

<file path=xl/sharedStrings.xml><?xml version="1.0" encoding="utf-8"?>
<sst xmlns="http://schemas.openxmlformats.org/spreadsheetml/2006/main" count="3004" uniqueCount="1165">
  <si>
    <t>S/N</t>
  </si>
  <si>
    <t>J S S 1</t>
  </si>
  <si>
    <t>J S S 2</t>
  </si>
  <si>
    <t>J S S 3</t>
  </si>
  <si>
    <t>S S S 1</t>
  </si>
  <si>
    <t>S S S 2</t>
  </si>
  <si>
    <t>S S S 3</t>
  </si>
  <si>
    <t>NUMBER OF TEACHERS</t>
  </si>
  <si>
    <t>ARM</t>
  </si>
  <si>
    <t>M</t>
  </si>
  <si>
    <t>F</t>
  </si>
  <si>
    <t>T</t>
  </si>
  <si>
    <t>ABEOKUTA NORTH</t>
  </si>
  <si>
    <t>ABEOKUTA SOUTH</t>
  </si>
  <si>
    <t>EWEKORO</t>
  </si>
  <si>
    <t>IJEBU NORTH</t>
  </si>
  <si>
    <t>IJEBU NORTH EAST</t>
  </si>
  <si>
    <t>IJEBU ODE</t>
  </si>
  <si>
    <t>IKENNE</t>
  </si>
  <si>
    <t>ODOGBOLU</t>
  </si>
  <si>
    <t>OGUN WATERSIDE</t>
  </si>
  <si>
    <t>REMO NORTH</t>
  </si>
  <si>
    <t>SAGAMU</t>
  </si>
  <si>
    <t>YEWA NORTH</t>
  </si>
  <si>
    <t>YEWA SOUTH</t>
  </si>
  <si>
    <t>GRAND TOTAL</t>
  </si>
  <si>
    <t>ZONE:</t>
  </si>
  <si>
    <t>NUMBER OF SECONDARY SCHOOLS AVAILABLE</t>
  </si>
  <si>
    <t>DATA ENTRY STATUS:</t>
  </si>
  <si>
    <t>L.G/LCDA</t>
  </si>
  <si>
    <t>WARD</t>
  </si>
  <si>
    <t>SUB TOTAL J S S 1 - J S S 3</t>
  </si>
  <si>
    <t>SUB TOTAL S S S 1 - S S S 3</t>
  </si>
  <si>
    <t>STATUS</t>
  </si>
  <si>
    <t>AFRICAN CHURCH GRAMMAR SCHOOL(JUNIOR), ITA-IYALODE</t>
  </si>
  <si>
    <t>SUCCESS</t>
  </si>
  <si>
    <t>ARMY DAY SECONDARY SCHOOL(JUNIOR), ALAMALA</t>
  </si>
  <si>
    <t>ABEOKUTA NORTH OKE OGUN</t>
  </si>
  <si>
    <t>EBENEZER GRAMMAR SCHOOL(JUNIOR), IBEREKODO</t>
  </si>
  <si>
    <t>GATEWAY SECONDARY SCHOOL(JUNIOR), ITA- IYALODE</t>
  </si>
  <si>
    <t>ABEOKUTA NORTH EAST</t>
  </si>
  <si>
    <t>ILUGUN HIGH SCHOOL(JUNIOR), ELEGA</t>
  </si>
  <si>
    <t>LAFENWA HIGH SCHOOL(JUNIOR), LAFENWA</t>
  </si>
  <si>
    <t>PREMIER GRAMMAR SCHOOL(JUNIOR), LAFENWA</t>
  </si>
  <si>
    <t>ABEOKUTA NORTH WEST</t>
  </si>
  <si>
    <t>ST' PETER'S COLLEGE(JUNIOR), OLOMORE</t>
  </si>
  <si>
    <t>UNITY HIGH SCHOOL(JUNIOR), AGO-IKA</t>
  </si>
  <si>
    <t>AFRICAN CHURCH GRAMMAR SCHOOL(SENIOR), ITA-IYALODE</t>
  </si>
  <si>
    <t>ARMY DAY SECONDARY SCHOOL(SENIOR), ALAMALA</t>
  </si>
  <si>
    <t>EBENEZER GRAMMAR SCHOOL(SENIOR), IBEREKODO</t>
  </si>
  <si>
    <t>GATEWAY SECONDARY SCHOOL(SENIOR), ITA- IYALODE</t>
  </si>
  <si>
    <t>ILUGUN HIGH SCHOOL(SENIOR), ELEGA</t>
  </si>
  <si>
    <t>LAFENWA HIGH SCHOOL(SENIOR), LAFENWA</t>
  </si>
  <si>
    <t>PREMIER GRAMMAR SCHOOL(SENIOR), LAFENWA</t>
  </si>
  <si>
    <t>ST' PETER'S COLLEGE(SENIOR), OLOMORE</t>
  </si>
  <si>
    <t>UNITY HIGH SCHOOL(SENIOR), AGO-IKA</t>
  </si>
  <si>
    <t>ANSAR-U-DEEN GRAMMAR SCHOOL, ISHAGA</t>
  </si>
  <si>
    <t>ILEWO HIGH SCHOOL, ILEWO-ORILE</t>
  </si>
  <si>
    <t>IDI-EMI HIGH SCHOOL, IDI-EMI</t>
  </si>
  <si>
    <t>IKIJA HIGH SCHOOL, IBEREKODO</t>
  </si>
  <si>
    <t>IMALA COMMUNITY HUGH SCHOOL, IMALA</t>
  </si>
  <si>
    <t>OKE-ONA GRAMMAR SCHOOL, AKOMOJE</t>
  </si>
  <si>
    <t>OLORUNDA COMMUNITY HIGH SCHOOL, OLORUNDA</t>
  </si>
  <si>
    <t>OLUMO HIGH SCHOOL, SABO, ABEOKUTA</t>
  </si>
  <si>
    <t>LESS GSTC TEACHERS</t>
  </si>
  <si>
    <t>ITORI COMPREHENSIVE HIGH SCHOOL JUNIOR</t>
  </si>
  <si>
    <t>EWEKORO NORTH</t>
  </si>
  <si>
    <t>PAPALANTO HIGH SCHOOL JUNIOR</t>
  </si>
  <si>
    <t>EWEKORO SOUTH</t>
  </si>
  <si>
    <t>ITORI COMPREHENSIVE HIGH SCHOOL SENIOR</t>
  </si>
  <si>
    <t>PAPALANTO HIGH SCHOOL SENIOR</t>
  </si>
  <si>
    <t>ADEOYE LAMBO MEMORIAL HIGH SCHOOL OBADA OKO</t>
  </si>
  <si>
    <t>AKIN OGUNPOLA MODEL COLLEGE AKINALE</t>
  </si>
  <si>
    <t>COMMUNITY COMPREHENSIVE HIGH SCHOOL OWOWO</t>
  </si>
  <si>
    <t>IFEDAPO COMMUNITY COMPREHENSIVE HIGH SCHOOL ABALABI</t>
  </si>
  <si>
    <t>METHODIST HIGH SCHOOL JUNIOR ARIGBAJO</t>
  </si>
  <si>
    <t>METHODIST HIGH SCHOOL SENIOR ARIGBAJO</t>
  </si>
  <si>
    <t>OWU COMMUNITY COMPREHENSIVE HIGH SCHOOL ELERE ADUBI</t>
  </si>
  <si>
    <t>UNITED COMPREHENSIVE HIGH SCHOOL WASIMI</t>
  </si>
  <si>
    <t>GOVERNMENT SCIENCE AND TECHNICAL COLLEGE AJEGUNLE</t>
  </si>
  <si>
    <t>ABOBICOMPREHESIVE HIGH SCHOOL JUNIOR AGO IWOYE</t>
  </si>
  <si>
    <t>AGO-IWOYE</t>
  </si>
  <si>
    <t>ABUSI ODUMARE ACADEMY JUNIOR IJEBU IGBO</t>
  </si>
  <si>
    <t>AGO IWOYE SECONDARY SCHOOL JUNIOR AGO IWOYE</t>
  </si>
  <si>
    <t>AHMADIYYA HIGH SCHOOL JUNIOR AGO IWOYE</t>
  </si>
  <si>
    <t>BEJE HIGH SCHOOL JUNIOR IJEBU IGBO</t>
  </si>
  <si>
    <t>FOWOSEJE COMPREHENSIVE HIGH SCHOOL JUNIOR AGO IWOYE</t>
  </si>
  <si>
    <t>ITAMERIN COMPREHENSIVE HIGH SCHOOL JUNIOR ORU IJEBU</t>
  </si>
  <si>
    <t>IJEBU NORTH CENTRAL</t>
  </si>
  <si>
    <t>JAPARA HIGH SCHOOL JUNIOR IJEBU IGBO</t>
  </si>
  <si>
    <t>IJEBU IGBU WEST</t>
  </si>
  <si>
    <t>KEGBO COMMUNITY COMPREHENSIVE HIGH SCHOOL JUNIOR IJEBU IGBO</t>
  </si>
  <si>
    <t>IJEBU IGBO WEST</t>
  </si>
  <si>
    <t>LADUGBO COMMUNITY COMPREHENSIVE HIGH SCHOOL IJEBU IGBO</t>
  </si>
  <si>
    <t>MAMU COMMUNITY COMPREHENSIVE HIGH SCHOOL MAMU IJEBU</t>
  </si>
  <si>
    <t>METHODIST COMPREHENSIVE HIGH SCHOOL JUNIOR AGO IWOYE</t>
  </si>
  <si>
    <t>MUSILM HIGH SCHOOL JUNIOR AGO IWOYE</t>
  </si>
  <si>
    <t>OBANTA COMPREHENSIVE HIGH SCHOOL JUNIOR AWA IJEBU</t>
  </si>
  <si>
    <t>OLOKINE GRAMMAR SCHOOL IJEBU- IGBO</t>
  </si>
  <si>
    <t>SHAMSUDEEN GRAMMAR SCHOOL JUNIOR IJEBU-IGBO</t>
  </si>
  <si>
    <t>SOPEN COMPREHENSIVE HIGH SCHOOL JUNIOR IJEBU-IGBO</t>
  </si>
  <si>
    <t>MOLUSI COLLEGE JUNIOR IJEBU IGBO</t>
  </si>
  <si>
    <t>IJEBU IGBO GIRLS GRAMMAR SCHOOL IJEBU-IGBO</t>
  </si>
  <si>
    <t>ABOBI COMPREHENSIVE HIGH SCHOOL SENIOR AGO IWOYE</t>
  </si>
  <si>
    <t>AGO IWOYE</t>
  </si>
  <si>
    <t>ABUSI ODUMARE ACADEMY SENIOR IJEBU IGBO</t>
  </si>
  <si>
    <t>AGO IWOYE SECONDARY SCHOOL SENIOR AGO IWOYE</t>
  </si>
  <si>
    <t>AHMADIYYA HIGH SCHOOL SENIOR AGO IWOYE</t>
  </si>
  <si>
    <t>BEJE HIGH SCHOOL SENIOR IJEBU IGBO</t>
  </si>
  <si>
    <t>FOWOSEJE COMPREHENSIVE HIGH SCHOOL SENIOR AGO IWOYE</t>
  </si>
  <si>
    <t>ITAMERIN COMPREHENSIVE HIGH SCHOOL SENIOR ORU IJEBU</t>
  </si>
  <si>
    <t>JAPARA HIGH SCHOOL SENIOR IJEBU IGBO</t>
  </si>
  <si>
    <t>KEGBO COMMUNITY COMPREHENSIVE HIGH SCHOOL SENIOR IJEBU IGBO</t>
  </si>
  <si>
    <t>MUSILM HIGH SCHOOL SENIOR AGO IWOYE</t>
  </si>
  <si>
    <t>OBANTA COMPREHENSIVE HIGH SCHOOL SENIOR AWA IJEBU</t>
  </si>
  <si>
    <t>SHAMSUDEEN GRAMMAR SCHOOL SENIOR IJEBU-IGBO</t>
  </si>
  <si>
    <t>ijebu north</t>
  </si>
  <si>
    <t>SOPEN COMPREHENSIVE HIGH SCHOOL SENIOR IJEBU-IGBO</t>
  </si>
  <si>
    <t>MOLUSI COLLEGE SENIOR IJEBU IGBO</t>
  </si>
  <si>
    <t>IJEBU IGBO GIRLS GRAMMAR SCHOOL SENIOR IJEBU-IGBO</t>
  </si>
  <si>
    <t>ILESE COMPREHENSIVE HIGH SCHOOL (JNR.), ILESE</t>
  </si>
  <si>
    <t>YEMOJI</t>
  </si>
  <si>
    <t>OGBOGBO BAPTIST GRAMMAR SCHOOL (JNR.), OGBOGBO.</t>
  </si>
  <si>
    <t>DEYO-TUWO COMPREHENSIVE HIGH SCHOOL (JNR.), ODODEYO/IMEWURO.</t>
  </si>
  <si>
    <t>ISONYIN GRAMMAR SCHOOL (JNR.), ISONYIN.</t>
  </si>
  <si>
    <t>ILESE COMPREHENSIVE HIGH SCHOOL (SNR.), ILESE</t>
  </si>
  <si>
    <t>OGBOGBO BAPTIST GRAMMAR SCHOOL (SNR.), OGBOGBO.</t>
  </si>
  <si>
    <t>DEYO-TUWO COMPREHENSIVE HIGH SCHOOL (SNR.), ODODEYO/IMEWURO.</t>
  </si>
  <si>
    <t>ISONYIN GRAMMAR SCHOOL, ISONYIN (SNR.).</t>
  </si>
  <si>
    <t>IDOMILA COMPREHENSIVE HIGH SCHOOL, IDOMILA</t>
  </si>
  <si>
    <t>ILUGUN CENTRAL ACADEMY, IBIDO/SENBORA</t>
  </si>
  <si>
    <t>ODOPOTU COMMUNITY GRAMMAR SCHOOL, ODOPOTU</t>
  </si>
  <si>
    <t>RALUWEN HIGH SCHOOL, ATAN.</t>
  </si>
  <si>
    <t>ALARO COMMUNITY HIGH SCHOOL, ODOSENLU</t>
  </si>
  <si>
    <t>ADEOLA ODUTOLA COLLEGE (JNR), ODUTOLA ROAD, IJEBU-ODE</t>
  </si>
  <si>
    <t>ANGLICAN GIRLS' GRAMMAR SCHOOL (JNR), OBALENDE, IJEBU-ODE</t>
  </si>
  <si>
    <t>ANSAR-UD-DEEN HIGH SCHOOL (JNR), IJEBU- ODE</t>
  </si>
  <si>
    <t>CHRIST CHURCH HIGH SCHOOL (JNR), SABO, IJEBU-ODE</t>
  </si>
  <si>
    <t>IJEBU MUSLIM COLLEGE (JNR), IJEBU-ODE</t>
  </si>
  <si>
    <t>IJEBU-ODE GRAMMAR SCHOOL (JNR), IJEBU- ODE</t>
  </si>
  <si>
    <t>LUBA COMPREHENSIVE SCHOOL (JNR), IJEBU- ODE</t>
  </si>
  <si>
    <t>MOLIPA HIGH SCHOOL (JNR), IJEBU-ODE</t>
  </si>
  <si>
    <t>MOSLEM COMPREHENSIVE HIGH SCHOOL (JNR), IJEBU-ODE</t>
  </si>
  <si>
    <t>MUSLIM GIRLS' HIGH SCHOOL (JNR), IJEBU-ODE</t>
  </si>
  <si>
    <t>OUR LADY OF APOSTLE SECONDARY SCHOOL (JNR), IJEBU-ODE</t>
  </si>
  <si>
    <t>ADEOLA ODUTOLA COLLEGE (SNR), ODUTOLA ROAD, IJEBU-ODE</t>
  </si>
  <si>
    <t>ANGLICAN GIRLS' GRAMMAR SCHOOL (SNR), OBALENDE, IJEBU-ODE</t>
  </si>
  <si>
    <t>ANSAR-UD-DEEN HIGH SCHOOL (SNR), IJEBU- ODE</t>
  </si>
  <si>
    <t>CHRIST CHURCH HIGH SCHOOL (SNR), SABO, IJEBU-ODE</t>
  </si>
  <si>
    <t>IJEBU MUSLIM COLLEGE (SNR), IJEBU-ODE</t>
  </si>
  <si>
    <t>IJEBU-ODE GRAMMAR SCHOOL (SNR), IJEBU- ODE</t>
  </si>
  <si>
    <t>LUBA COMPREHENSIVE SCHOOL (SNR), IJEBU- ODE</t>
  </si>
  <si>
    <t>MOLIPA HIGH SCHOOL (SNR), IJEBU-ODE</t>
  </si>
  <si>
    <t>MOSLEM COMPREHENSIVE HIGH SCHOOL (SNR), IJEBU-ODE</t>
  </si>
  <si>
    <t>MUSLIM GIRLS' HIGH SCHOOL (SNR), IJEBU-ODE</t>
  </si>
  <si>
    <t>OUR LADY OF APOSTLE SECONDARY SCHOOL (SNR), IJEBU-ODE</t>
  </si>
  <si>
    <t>ANSAR-UD-DEEN HIGH SCHOOL, ISIWO</t>
  </si>
  <si>
    <t>GOVERNMENT SCIENCE &amp; TECHNICAL COLLEGE, IJEBU-ODE</t>
  </si>
  <si>
    <t>ITAMAPAKO HIGH SCHOOL, ILOTI</t>
  </si>
  <si>
    <t>OBAFEMI AWOLOWO COMPREHENSIVE HIGH SCHOOL, ODONOKO</t>
  </si>
  <si>
    <t>CHRIST APOSTOLIC GRAMMAR SCHOOL (JUNIOR),IPERU</t>
  </si>
  <si>
    <t>REMO CENTRAL</t>
  </si>
  <si>
    <t>IKENNE COMMUNITY HIGH SCHOOL(JUNIOR), IKENNE</t>
  </si>
  <si>
    <t>ILISAN HIGH SCHOOL (JUNIOR),ILISHAN</t>
  </si>
  <si>
    <t>ISANBI COMPREHENSIVE HIGH SCHOOL (JUNIOR),ILISHAN</t>
  </si>
  <si>
    <t>MAYFLOWER SCHOOL (JUNIOR),IKENNE</t>
  </si>
  <si>
    <t>OSITELU MEMORIAL COLLEGE (JUNIOR),OGERE</t>
  </si>
  <si>
    <t>UNITED HIGH SCHOOL (JUNIOR),IKENNE</t>
  </si>
  <si>
    <t>CHRIST APOSTOLIC GRAMMAR SCHOOL(SENIOR),IPERU</t>
  </si>
  <si>
    <t>IKENNE COMMUNITY HIGH SCHOOL(SENIOR), IKENNE</t>
  </si>
  <si>
    <t>ILISAN HIGH SCHOOL(SENIOR),ILISHAN</t>
  </si>
  <si>
    <t>ISANBI COMPREHENSIVE HIGH SCHOOL(SENIOR),ILISHAN</t>
  </si>
  <si>
    <t>MAYFLOWER SCHOOL (SENIOR),IKENNE</t>
  </si>
  <si>
    <t>OSITELU MEMORIAL COLLEGE (SENIOR),OGERE</t>
  </si>
  <si>
    <t>UNITED HIGH SCHOOL (SENIOR)L, IKENNE</t>
  </si>
  <si>
    <t>AJAGBE HIGH SCHOOL,IPERU</t>
  </si>
  <si>
    <t>AKESAN COMMUNITY GRAMMAR SCHOOL,IPERU</t>
  </si>
  <si>
    <t>IROLU COMMUNITY HIGH SCHOOL,IROLU</t>
  </si>
  <si>
    <t>OGERE COMMUNITY HIGH SCHOOL,OGERE</t>
  </si>
  <si>
    <t>IMEKO AFON</t>
  </si>
  <si>
    <t>ALAKETU HIGH SCHOOL HIGH</t>
  </si>
  <si>
    <t>COMMUNITY HIGH SCHOOL, (JNR)</t>
  </si>
  <si>
    <t>COMMUNITY HIGH SCHOOL, (JNR) IDI-</t>
  </si>
  <si>
    <t>OLOKA AFON</t>
  </si>
  <si>
    <t>NAZARETH HIGH SCHOOL, (JNR)</t>
  </si>
  <si>
    <t>COMMUNITY HIGH SCHOOL, AFON</t>
  </si>
  <si>
    <t>COMMUNITY COMPREHENSIVE HIGH</t>
  </si>
  <si>
    <t>COMMUNITY HIGH SCHOOL, MORIWI</t>
  </si>
  <si>
    <t>COMMUNITY COMPREHENSIVE</t>
  </si>
  <si>
    <t>MUSLIM GRAMMAR SCHOOL, IMEKO</t>
  </si>
  <si>
    <t>MUSLIM HIGH  SCHOOL, ILARA</t>
  </si>
  <si>
    <t>ALAKETU HIGH SCHOOL (SNR), IMEKO</t>
  </si>
  <si>
    <t>COMMUNITY HIGH SCHOOL, (SNR)</t>
  </si>
  <si>
    <t>COMMUNITY HIGH SCHOOL, (SNR) IDI-</t>
  </si>
  <si>
    <t>NAZARETH HIGH SCHOOL, (SNR)</t>
  </si>
  <si>
    <t>COMMUNITY HIGH SCHOOL (JUNIOR), IBAFO</t>
  </si>
  <si>
    <t>OBAFEMI- OWODE</t>
  </si>
  <si>
    <t>OFA DA II</t>
  </si>
  <si>
    <t>OGUNMAKIN HIGH SCHOOL (JUNIOR), SOWUNMI</t>
  </si>
  <si>
    <t>WAR D 2</t>
  </si>
  <si>
    <t>OWODE HIGH SCHOOL (JUNIOR), OWODE EGBA</t>
  </si>
  <si>
    <t>WAR D 3</t>
  </si>
  <si>
    <t>AJEBO COMMUNITY HIGH SCHOOL (JUNIOR), AJEBO</t>
  </si>
  <si>
    <t>AJE BO</t>
  </si>
  <si>
    <t>EGBA OWODE GRAMMAR SCHOOL (JUNIOR), OWODE</t>
  </si>
  <si>
    <t>EGBA OBAFEMI COMMUNITY HIGH SCHOOL (JUNIOR), OBAFEMI</t>
  </si>
  <si>
    <t>OFADA COMMUNITY HIGH SCHOOL (JUNIOR), OFADA</t>
  </si>
  <si>
    <t>WAR D 4</t>
  </si>
  <si>
    <t>COMMUNITY HIGH SCHOOL (SENIOR), IBAFO</t>
  </si>
  <si>
    <t>OGUNMAKIN HIGH SCHOOL (SENIOR), SOWUNMI</t>
  </si>
  <si>
    <t>ALA PAK O II</t>
  </si>
  <si>
    <t>OWODE HIGH SCHOOL (SENIOR), OWODE EGBA</t>
  </si>
  <si>
    <t>AJEBO COMMUNITY HIGH SCHOOL (SENIOR), AJEBO</t>
  </si>
  <si>
    <t>EGBA OWODE GRAMMAR SCHOOL (SENIOR), OWODE</t>
  </si>
  <si>
    <t>EGBA OBAFEMI COMMUNITY HIGH SCHOOL (SENIOR), OBAFEMI</t>
  </si>
  <si>
    <t>WAR D 8</t>
  </si>
  <si>
    <t>OFADA COMMUNITY HIGH SCHOOL (SENIOR), OFADA</t>
  </si>
  <si>
    <t>KOBAPE COMMUNITY HIGH SCHOOL (COMBINED), KOBAPE</t>
  </si>
  <si>
    <t>OBA COMMUNITY HIGH SCHOOL (COMBINED), OBA</t>
  </si>
  <si>
    <t>OBA</t>
  </si>
  <si>
    <t>ORILE IGBORE GRAMMAR SCHOOL (COMBINED), AJURA</t>
  </si>
  <si>
    <t>AJU RA</t>
  </si>
  <si>
    <t>ADESANOLU COMMUNITY HIGH SCHOOL (COMBINED), MOWE</t>
  </si>
  <si>
    <t>OLORUNKOLE GRAMMAR SCHOOL (COMBINED), KAJOLA</t>
  </si>
  <si>
    <t>WAR D 5</t>
  </si>
  <si>
    <t>COMMUNITY HIGH SCHOOL (COMBINED), IRO</t>
  </si>
  <si>
    <t>OFA DA MOK</t>
  </si>
  <si>
    <t>ALAPAKO-ONI COMMUNITY HIGH SCHOOL (COMBINED), ALAPAKO-ONI</t>
  </si>
  <si>
    <t>WAR D 12</t>
  </si>
  <si>
    <t>MAGBORO COMMUNITY HIGH SCHOOL (COMBINED), MAGBORO</t>
  </si>
  <si>
    <t>MAG BOR O</t>
  </si>
  <si>
    <t>EGBA ODEDA HIGH SCHOOL (JNR), ODEDA</t>
  </si>
  <si>
    <t>NAWAIR-UD-DEEN GRAMMAR SCHOOL (JNR), OBANTOKO</t>
  </si>
  <si>
    <t>EGBA ODEDA HIGH SCHOOL (SNR), ODEDA</t>
  </si>
  <si>
    <t>NAWAIR-UD-DEEN GRAMMAR SCHOOL (SNR), OBANTOKO</t>
  </si>
  <si>
    <t>MUSLIM HIGH SCHOOL, ISOLU</t>
  </si>
  <si>
    <t>ALABATA COMMUNITY HIGH SCHOOL, ALABATA</t>
  </si>
  <si>
    <t>OLOKEMEJI HIGH SCHOOL, OLOKEMEJI</t>
  </si>
  <si>
    <t>ALAGBAGBA COMMUNITY HIGH SCHOOL, ALAGBAGBA</t>
  </si>
  <si>
    <t>ANGLICAN COMPREHENSIVE HIGH SCH, (JNR) IKOTO</t>
  </si>
  <si>
    <t>IBEFUN/ILADO COMPREHENSIVE HIGH SCH (JNR), IBEFUN</t>
  </si>
  <si>
    <t>MULTILATERAL GRAMMAR SCHOOL, (JNR) OKUN- OWA</t>
  </si>
  <si>
    <t>ODOGBOLU COMPREHENSIVE HIGH SCH,(JNR) ODOGBOLU</t>
  </si>
  <si>
    <t>ODOGBOLU GRAMMAR. SCHOOL,(JNR) ODOGBOLU</t>
  </si>
  <si>
    <t>ODU'A COMPREHENSIVE HIGH SCH, (JNR) IMORU</t>
  </si>
  <si>
    <t>OMU AJOSE COMPREHENSIVE HIGH SCH, (JNR) OMU</t>
  </si>
  <si>
    <t>OSOSA COMPREHENSIVE HIGH SCH, (JNR) OSOSA</t>
  </si>
  <si>
    <t>ANGLICAN COMPREHENSIVE HIGH SCH, (SNR) IKOTO</t>
  </si>
  <si>
    <t>IBEFUN/ILADO COMPREHENSIVE HIGH SCH, (SNR), IBEFUN</t>
  </si>
  <si>
    <t>MULTILATERAL GRAMMAR SCH, (SNR)OKUN- OWA</t>
  </si>
  <si>
    <t>ODOGBOLU COMPREHENSIVE HIGH SCH,(SNR) ODOGBOLU</t>
  </si>
  <si>
    <t>ODOGBOLU GRAMMAR SCH, (SNR) ODOGBOLU</t>
  </si>
  <si>
    <t>ODU'A COMPREHENSIVE HIGH SCH, (SNR) IMORU</t>
  </si>
  <si>
    <t>OMU AJOSE COMPREHENSIVE HIGH SCH,(SNR) OMU</t>
  </si>
  <si>
    <t>OSOSA COMPREHENSIVE HIGH SCH, (SNR)OSOSA</t>
  </si>
  <si>
    <t>AIYEPE COMPREHENSIVE HIGH SCH, AYEPE</t>
  </si>
  <si>
    <t>COMMUNITY GRAMMAR SCHOOL, AIYEPE</t>
  </si>
  <si>
    <t>IDOWA COMPREHENSIVE HIGH SCH, IDOWA</t>
  </si>
  <si>
    <t>IFESOWAPO COMPREHENSIVE HIGH SCHOOL, IMOSAN</t>
  </si>
  <si>
    <t>IGBILE COMPREHENSIVE HIGH SCH, IGBILE</t>
  </si>
  <si>
    <t>IJEBU SOUTH DISTRICT GRAMMAR SCH, ALA</t>
  </si>
  <si>
    <t>IMAGBON/IMAKA COMPREHENSIVE HIGH SCHOOL, IMAKA</t>
  </si>
  <si>
    <t>OGBO COMMUNITY COMPREHENSIVE HIGH SCH, OGBO</t>
  </si>
  <si>
    <t>TITILAYO AGBAJE MEMORIAL COMPREHENSIVE SCH</t>
  </si>
  <si>
    <t>SAINT KIZITO'S HIGH SCHOOL JUNIOR,</t>
  </si>
  <si>
    <t>OGUN</t>
  </si>
  <si>
    <t>AHMADIYYAH COMPREHENSIVE HIGH</t>
  </si>
  <si>
    <t>IBIADE COMPREHENSIVE HIGH</t>
  </si>
  <si>
    <t>COMMUNITY HIGH SCHOOL JUNIOR,</t>
  </si>
  <si>
    <t>ILUSIN GRAMMAR SCHOOL JUNIOR,</t>
  </si>
  <si>
    <t>AYILA HIGH SCHOOL JUNIOR, AYILA</t>
  </si>
  <si>
    <t>SAINT KIZITO'S HIGH SCHOOL</t>
  </si>
  <si>
    <t>COMMUNITY HIGH SCHOOL SENIOR,</t>
  </si>
  <si>
    <t>ILUSIN GRAMMAR SCHOOL SENIOR,</t>
  </si>
  <si>
    <t>AYILA HIGH SCHOOL SENIOR, AYILA</t>
  </si>
  <si>
    <t>AYEDE COMPREHENSIVE HIGH</t>
  </si>
  <si>
    <t>EFIRE COMMUNITY HIGH SCHOOL,</t>
  </si>
  <si>
    <t>ITEBU-MANUWA COMPREHENSIVE</t>
  </si>
  <si>
    <t>LOMIRO HIGH SCHOOL, LOMIRO</t>
  </si>
  <si>
    <t>ODE-OMI COMMUNITY HIGH SCHOOL,</t>
  </si>
  <si>
    <t>MAKUN-OMI COMPREHENSIVE HIGH</t>
  </si>
  <si>
    <t>ABIGI COMMUNITY GRAMMAR</t>
  </si>
  <si>
    <t>ODE REMO HIGH SCHOOL (JUNIOR), ODE</t>
  </si>
  <si>
    <t>REMO NORTH EAST</t>
  </si>
  <si>
    <t>ODE REMO HIGH SCHOOL (SENIOR), ODE</t>
  </si>
  <si>
    <t>IPARA COMMUNITY HIGH SCHOOL, IPARA</t>
  </si>
  <si>
    <t>ISARA SECONDARY SCHOOL, ISARA</t>
  </si>
  <si>
    <t>IYANKAN COMMUNITY HIGH SCHOOL, IYANKAN</t>
  </si>
  <si>
    <t>ORILE OKO COMMUNITY HIGH SCHOOL, ISAN</t>
  </si>
  <si>
    <t>SAAPADE GRAMMAR SCHOOL, SAAPADE</t>
  </si>
  <si>
    <t>ILARA/AKAKA COMMUNITY GRAMMAR SCHOOL, ILARA/AKAKA</t>
  </si>
  <si>
    <t>GOVERNMENT SCIENCE AND TECHNICAL COLLEGE, ILARA</t>
  </si>
  <si>
    <t>BATORO COMMUNITY HIGH SCHOOL JUNIOR SAGAMU.</t>
  </si>
  <si>
    <t>MAKUN HIGH SCHOOL JUNIOR, SAGAMU.</t>
  </si>
  <si>
    <t>METHODIST COMPREHENSIVE COLLEGE JUNIOR,  SAGAMU</t>
  </si>
  <si>
    <t>MUSLIM HIGH SCHOOL JUNIOR SAGAMU.</t>
  </si>
  <si>
    <t>OGIJO COMMUNITY  HIGH SCHOOL JUNIOR, OGIJO</t>
  </si>
  <si>
    <t>REMO DIVISIONAL  HIGH SCHOOL JUNIOR, SAGAMU.</t>
  </si>
  <si>
    <t>REMO SECONDARY  SCHOOL JUNIOR. SAGAMU.</t>
  </si>
  <si>
    <t>SAGAMU  HIGH SCHOOL JUNIOR SAGAMU</t>
  </si>
  <si>
    <t>SONYINDO COMMUNITY. HIGH SCHOOL JUNIOR, SAGAMU.</t>
  </si>
  <si>
    <t>BATORO COMMUNITY HIGH SCHOOL SENIOR SAGAMU.</t>
  </si>
  <si>
    <t>MAKUN HIGH SCHOOL SENIOR, SAGAMU.</t>
  </si>
  <si>
    <t>METHODIST COMPREHENSIVE COLLEGE SENIOR,  SAGAMU</t>
  </si>
  <si>
    <t>MUSLIM HIGH SCHOOL SENIOR SAGAMU.</t>
  </si>
  <si>
    <t>OGIJO COMMUNITY  HIGH SCHOOL SENIOR, OGIJO</t>
  </si>
  <si>
    <t>REMO DIVISIONAL HIGH SCHOOL SENIOR, SAGAMU.</t>
  </si>
  <si>
    <t>REMO SECONDARY  SCHOOL SENIOR. SAGAMU.</t>
  </si>
  <si>
    <t>SAGAMU  HIGH SCHOOL SENIOR SAGAMU</t>
  </si>
  <si>
    <t>SONYINDO COMMUNITY. HIGH SCHOOL SENIOR, SAGAMU.</t>
  </si>
  <si>
    <t>AGBELE COMMUNITY HIGH SCHOOL, SAGAMU</t>
  </si>
  <si>
    <t>COMMUNITY GRAMMAR SCHOOL, ODE- LEMO</t>
  </si>
  <si>
    <t>DANIEL COMP. HIGH SCHL, EWU-OLIWO</t>
  </si>
  <si>
    <t>IJAGBA COMMUNITY HIGH SCHL, SAGAMU.</t>
  </si>
  <si>
    <t>MULERUWA COMMUNITY HIGH SCHL, GBAGA</t>
  </si>
  <si>
    <t>OFIN HIGH SCHOOL, SAGAMU.</t>
  </si>
  <si>
    <t>OLOMIMEJI COMMUNITY HIGH SCHOOL, EMUREN</t>
  </si>
  <si>
    <t>SIMAWA COMMUNITY HIGH SCHOOL, SIMAWA.</t>
  </si>
  <si>
    <t>ST. JOHN'S ANG. GRAM SCHL, ODE- LEMO.</t>
  </si>
  <si>
    <t>COMPREHENSIVE HIGH SCHOOL JUNIOR, AYETORO</t>
  </si>
  <si>
    <t>1SOKAN</t>
  </si>
  <si>
    <t>AYE TOR O</t>
  </si>
  <si>
    <t>AYETORO COMMUNITY GRAMMAR SCHOOL JUNIOR, AYETORO</t>
  </si>
  <si>
    <t>ISOKAN</t>
  </si>
  <si>
    <t>ALAYE HIGH SCHOOL JUNIOR, AYETORO</t>
  </si>
  <si>
    <t>AJODA HIGH SCHOOL JUNIOR, AYETORO</t>
  </si>
  <si>
    <t>OWODE KETU COMMERCIAL HIGH SCHOOL JUNIOR, OWODE KETU</t>
  </si>
  <si>
    <t>KETU</t>
  </si>
  <si>
    <t>EGG UA</t>
  </si>
  <si>
    <t>OLUASO HIGH SCHOOL JUNIOR, OLUASO</t>
  </si>
  <si>
    <t>IJU</t>
  </si>
  <si>
    <t>IMAS AYI</t>
  </si>
  <si>
    <t>YEWA SECONDARY SCHOOL JUNIOR, IGBOGILA</t>
  </si>
  <si>
    <t>IGBO GILA</t>
  </si>
  <si>
    <t>KETU COLLEGE JUNIOR, IGAN ALADE</t>
  </si>
  <si>
    <t>COMMUNITY HIGH SCHOOL JUNIOR, IJOUN</t>
  </si>
  <si>
    <t>IJOU N</t>
  </si>
  <si>
    <t>ORITA COMMUNITY HIGH SCHOOL JUNIOR, OJA ODAN</t>
  </si>
  <si>
    <t>EBU TE</t>
  </si>
  <si>
    <t>GOVERNMENT SCIENCE AND TECHNICAL COLLEGE JUNIOR, AYETORO</t>
  </si>
  <si>
    <t>COMPREHENSIVE HIGH SCHOOL SENIOR, AYETORO</t>
  </si>
  <si>
    <t>IDOFOI</t>
  </si>
  <si>
    <t>AYETORO COMMUNITY GRAMMAR SCHOOL SENIOR, AYETORO</t>
  </si>
  <si>
    <t>SUN WA</t>
  </si>
  <si>
    <t>ALAYE HIGH SCHOOL SENIOR, AYETORO</t>
  </si>
  <si>
    <t>IDOF OI</t>
  </si>
  <si>
    <t>AJODA HIGH SCHOOL SENIOR, AYETORO</t>
  </si>
  <si>
    <t>OWODE KETU COMMERCIAL HIGH SCHOOLSENIOR, OWODE KETU</t>
  </si>
  <si>
    <t>OLUASO HIGH SCHOOL SENIOR, OLUASO</t>
  </si>
  <si>
    <t>IBOR O</t>
  </si>
  <si>
    <t>YEWA SECONDARY SCHOOL SENIOR, IGBOGILA</t>
  </si>
  <si>
    <t>KETU COLLEGE SENIOR, IGAN ALADE</t>
  </si>
  <si>
    <t>COMMUNITY HIGH SCHOOL SENIOR, IJOUN</t>
  </si>
  <si>
    <t>ORITA COMMUNITY HIGH SCHOOL SENIOR, OJA ODAN</t>
  </si>
  <si>
    <t>SAWONJO HIGH SCHOOL, SAWONJO</t>
  </si>
  <si>
    <t>OBALAJU HIGH SCHOOL, JOGA ORILE</t>
  </si>
  <si>
    <t>JOG A/IB ORO</t>
  </si>
  <si>
    <t>EYINNI COMPREHENSIVE HIGH SCHOOL , IBOORO</t>
  </si>
  <si>
    <t>KETU COMMUNITY HIGH SCHOOL, IJALE KETU</t>
  </si>
  <si>
    <t>COMMUNITY HIGH SCHOOL, EBUTE IGBOORO</t>
  </si>
  <si>
    <t>COMMUNITY HIGH SCHOOL, OHUNBE</t>
  </si>
  <si>
    <t>AREA COMMUNITY HIGH SCHOOL, IBEKU</t>
  </si>
  <si>
    <t>OHU NBE</t>
  </si>
  <si>
    <t>ASAKANRAN GRAMMAR SCHOOL, IBESE</t>
  </si>
  <si>
    <t>IBES E</t>
  </si>
  <si>
    <t>FIRST AFRICAN CHURCH GRAMMAR (UNA) HIGH SCHOOL, IGBOGILA</t>
  </si>
  <si>
    <t>COMMUNITY COMPREHENSIVE HIGH SCHOOL, EGGUA</t>
  </si>
  <si>
    <t>ADOKUN HIGH SCHOOL. IGAN OKOTO</t>
  </si>
  <si>
    <t>Anglican Grammer School(Jr), Ilaro</t>
  </si>
  <si>
    <t>Ilaro</t>
  </si>
  <si>
    <t>Ilaro 1</t>
  </si>
  <si>
    <t>Area Community High School (Jr), Owode</t>
  </si>
  <si>
    <t>Ifekowaju</t>
  </si>
  <si>
    <t>Owode 1</t>
  </si>
  <si>
    <t>Army Day Secondary School (Jr), Owode</t>
  </si>
  <si>
    <t>Owode2</t>
  </si>
  <si>
    <t>Emmanuel Commercial High School(Jr), Ilaro</t>
  </si>
  <si>
    <t>Ilaro 3</t>
  </si>
  <si>
    <t>Itolu Community High School(Jr), Ilaro</t>
  </si>
  <si>
    <t>Iwoye</t>
  </si>
  <si>
    <t>Iyewa High School(Jr), Ajilete</t>
  </si>
  <si>
    <t>Ajilete</t>
  </si>
  <si>
    <t>Muslim Progressive High School(Jr), Oke - Odan</t>
  </si>
  <si>
    <t>Oke Odan</t>
  </si>
  <si>
    <t>Oronna High School(Jr), Ilaro</t>
  </si>
  <si>
    <t>Ilaro 2</t>
  </si>
  <si>
    <t>Owode Secondary School(Jr), Owode</t>
  </si>
  <si>
    <t>Yewa College(Jr), Ilaro</t>
  </si>
  <si>
    <t>Anglican Grammer School(Snr), Ilaro</t>
  </si>
  <si>
    <t>Area Community High School (Snr), Owode</t>
  </si>
  <si>
    <t>Army Day Secondary School (Snr), Owode</t>
  </si>
  <si>
    <t>Emmanuel Commercial High School(Snr), Ilaro</t>
  </si>
  <si>
    <t>Itolu Community High School(Snr), Ilaro</t>
  </si>
  <si>
    <t>Iwoye Area Community High School(Snr), Iwoye</t>
  </si>
  <si>
    <t>Iyewa High School(snr), Ajilete</t>
  </si>
  <si>
    <t>Muslim Progressive High School(Snr), Oke - Odan</t>
  </si>
  <si>
    <t>Oronna High School(Snr), Ilaro</t>
  </si>
  <si>
    <t>Owode Secondary School(Snr), Owode</t>
  </si>
  <si>
    <t>Yewa College(Snr), Ilaro</t>
  </si>
  <si>
    <t>Area Community High School , Olokuta</t>
  </si>
  <si>
    <t>Idogo</t>
  </si>
  <si>
    <t>Baptist High School, Ilaro</t>
  </si>
  <si>
    <t>Idogo/Ipaja Area Community High School, Idogo</t>
  </si>
  <si>
    <t>Oke - Odan Grammer School, Oke - Odan</t>
  </si>
  <si>
    <t>Owo Area Community High School, Owo</t>
  </si>
  <si>
    <t>Owo</t>
  </si>
  <si>
    <t xml:space="preserve">                                                                                SUB TOTAL J S S 1 - J S S 3</t>
  </si>
  <si>
    <r>
      <rPr>
        <b/>
        <sz val="16"/>
        <rFont val="Arial"/>
        <family val="2"/>
      </rPr>
      <t>NAME OF SCHOOLS
( IN FULL AND UPPER CASE)</t>
    </r>
  </si>
  <si>
    <r>
      <rPr>
        <b/>
        <sz val="14"/>
        <rFont val="Arial"/>
        <family val="2"/>
      </rPr>
      <t>NAME OF SCHOOLS
( IN FULL AND UPPER CASE)</t>
    </r>
  </si>
  <si>
    <t>MINISTRY OF EDUCATION SCIENCE AND TECHNOLOGY</t>
  </si>
  <si>
    <t>DEPARTMENT OF SECONDARY</t>
  </si>
  <si>
    <t>RUNNING COST ANALYSIS BY ZONES</t>
  </si>
  <si>
    <t xml:space="preserve">                                                                                       NUMBER OF TEACHERS</t>
  </si>
  <si>
    <t xml:space="preserve">    TOTAL</t>
  </si>
  <si>
    <t>Odeda</t>
  </si>
  <si>
    <t>Odogbolu</t>
  </si>
  <si>
    <t xml:space="preserve">           TOTAL</t>
  </si>
  <si>
    <t>Ogun Waterside</t>
  </si>
  <si>
    <t xml:space="preserve">                                 </t>
  </si>
  <si>
    <t>AMOUNT DUE FOR ZEO @ ₦20 per candidate  =</t>
  </si>
  <si>
    <t xml:space="preserve"> TOTAL</t>
  </si>
  <si>
    <t>TOTAL</t>
  </si>
  <si>
    <t>RUNNING COST @ ₦ 150 PER LEARNER &amp; Technical Colleges @ ₦1200 per learner</t>
  </si>
  <si>
    <t>AMOUNT DUE FOR ZEO @ ₦20 per learner  =</t>
  </si>
  <si>
    <t xml:space="preserve">TOTAL RUNNING COST REQUIRED  FOR REMO NORTH              
</t>
  </si>
  <si>
    <t xml:space="preserve">TOTAL RUNNING COST REQUIRED  FOR SAGAMU             
</t>
  </si>
  <si>
    <t>TOTAL RUNNING COST REQUIRED FOR OGUN WATERSIDE</t>
  </si>
  <si>
    <t>TOTAL RUNNING COST REQUIRED FOR OBAFEMI OWODE</t>
  </si>
  <si>
    <t xml:space="preserve">                                                                  AMOUNT DUE FOR ZEO @ ₦20 per learner  =</t>
  </si>
  <si>
    <t xml:space="preserve">                        TOTAL RUNNING COST REQUIRED FOR ODOGBOLU</t>
  </si>
  <si>
    <t xml:space="preserve">                                                        TOTAL RUNNING COST REQUIRED FOR ABEOKUTA NORTH</t>
  </si>
  <si>
    <t xml:space="preserve">                                                                                 AMOUNT DUE FOR ZEO @ ₦20 per candidate  =</t>
  </si>
  <si>
    <t xml:space="preserve">                                                          AMOUNT DUE FOR ZEO @ ₦20 per candidate  =</t>
  </si>
  <si>
    <t xml:space="preserve">                                     TOTAL RUNNING COST REQUIRED FOR IJEBU ODE</t>
  </si>
  <si>
    <t>NAME OF ZONE</t>
  </si>
  <si>
    <t>Abeokuta North</t>
  </si>
  <si>
    <t>Abeokuta South</t>
  </si>
  <si>
    <t>Ado-Odo/Ota</t>
  </si>
  <si>
    <t>Ewekoro</t>
  </si>
  <si>
    <t>Ifo</t>
  </si>
  <si>
    <t>Ijebu East</t>
  </si>
  <si>
    <t>Ijebu North East</t>
  </si>
  <si>
    <t xml:space="preserve">Ijebu North </t>
  </si>
  <si>
    <t>Ijebu Ode</t>
  </si>
  <si>
    <t>Ikenne</t>
  </si>
  <si>
    <t>Imeko/Afon</t>
  </si>
  <si>
    <t>Ipokia</t>
  </si>
  <si>
    <t>Obafemi Owode</t>
  </si>
  <si>
    <t>Remo North</t>
  </si>
  <si>
    <t>Sagamu</t>
  </si>
  <si>
    <t>Yewa North</t>
  </si>
  <si>
    <t>Yewa South</t>
  </si>
  <si>
    <t>GOVERNMENT TECHNICAL COLLEGE, IJEBU IGBO</t>
  </si>
  <si>
    <t xml:space="preserve">                                     AMOUNT DUE FOR ZEO @ ₦20 per candidate  =</t>
  </si>
  <si>
    <t xml:space="preserve">                 TOTAL RUNNING COST REQUIRED FOR EWEKORO</t>
  </si>
  <si>
    <t>IPOKIA</t>
  </si>
  <si>
    <t xml:space="preserve">                   NUMBER OF LEARNERS</t>
  </si>
  <si>
    <t>OJUMO COMMUNITY JUNIOR SECONDARY SCHOOL, IHUNBO.</t>
  </si>
  <si>
    <t>IPOKIA / IDIROKO- ILASHE</t>
  </si>
  <si>
    <t>IHU NB O</t>
  </si>
  <si>
    <t>COMMUNITY SECONDARY SCHOOL SCHOOL, IPOKIA</t>
  </si>
  <si>
    <t>IPO KIA</t>
  </si>
  <si>
    <t>AGOSASA COMMUNITY SECONDARY SCHOOL, AGOSASA</t>
  </si>
  <si>
    <t>IPOKIA / IPOKIA WEST</t>
  </si>
  <si>
    <t>AG OS ASA</t>
  </si>
  <si>
    <t>ALAARI HIGH SCHOOL JUNIOR, ALAARI</t>
  </si>
  <si>
    <r>
      <rPr>
        <b/>
        <sz val="14"/>
        <rFont val="Arial"/>
        <family val="2"/>
      </rPr>
      <t>IPOKIA /
IDIROKO- ILASHE</t>
    </r>
  </si>
  <si>
    <r>
      <rPr>
        <b/>
        <sz val="14"/>
        <rFont val="Arial"/>
        <family val="2"/>
      </rPr>
      <t>IFO
NYI NTE</t>
    </r>
  </si>
  <si>
    <t>COMMUNITY HIGH SCHOOL JNR, TUBE</t>
  </si>
  <si>
    <t>TUB E</t>
  </si>
  <si>
    <t>IKO GATEWAY GRAMMAR SCHOOL JNR, IDIROKO.</t>
  </si>
  <si>
    <t>IPOKIA / IDIROKO-</t>
  </si>
  <si>
    <t>IDIR OK</t>
  </si>
  <si>
    <t>IMOTU COMMUNITY COMMERCIAL ACADEMY, IFONYINTEDO.</t>
  </si>
  <si>
    <t>IFO NYI</t>
  </si>
  <si>
    <t>IGIRI JUNIOR HIGH SCHOO, IJOFIN.</t>
  </si>
  <si>
    <t>IJO FIN</t>
  </si>
  <si>
    <t>COMMUNITY COMMERCIAL HIGH SCHOOL JUNIOR, MAUN.</t>
  </si>
  <si>
    <t>IPOKIA / IPOKIA.</t>
  </si>
  <si>
    <t>MA UN</t>
  </si>
  <si>
    <t>OJUMO COMMUNITY SENIOR HIGH SCHOOL, IHUNBO.</t>
  </si>
  <si>
    <t>COMMUNITY SENIOR SECONDARY SCHOOL, IPOKIA</t>
  </si>
  <si>
    <t>AGOSASA COMMUNITY HIGH SCHOOL, AGOSASA</t>
  </si>
  <si>
    <t>ALAARI HIGH SCHOOL SENIOR, ALAARI</t>
  </si>
  <si>
    <t>IFO NYI NTE</t>
  </si>
  <si>
    <t>COMMUNITY SENIOR HIGH SCHOOL, TUBE.</t>
  </si>
  <si>
    <t>IKO GATEWAY SENIOR GRAMMAR SCHOOL, IDIROKO.</t>
  </si>
  <si>
    <t>IDIR OK O</t>
  </si>
  <si>
    <t>IGIRI SENIOR HIGH SCHOO, IJOFIN.</t>
  </si>
  <si>
    <t>COMMUNITY COMMERCIAL HIGH SCHOOL SENIOR, MAUN.</t>
  </si>
  <si>
    <t>OGBE COMMUNITY HIGH SCHOOL, MEDE AJEGUNLE</t>
  </si>
  <si>
    <t>AJE GU NLE</t>
  </si>
  <si>
    <t>TAYESE COMMUNITY SECONDARY SCHOOL, IBATEFIN.</t>
  </si>
  <si>
    <t>AG OS</t>
  </si>
  <si>
    <t>AGUDE COMMUNITY HIGH SCHOOL, ONIRO.</t>
  </si>
  <si>
    <t>DISTRICT HIGH SCHOOL, IPOKIA</t>
  </si>
  <si>
    <t>IPOKIA / IPOKIA</t>
  </si>
  <si>
    <t xml:space="preserve">                                                    AMOUNT DUE FOR ZEO @ ₦20 per learner  =</t>
  </si>
  <si>
    <t>TOTAL AMOUNT DUE @₦1200 PER LEARNER IN TECHNICAL COLLEGES</t>
  </si>
  <si>
    <t>TOTAL AMOUNT DUE @₦150 PER LEARNER IN SECONDARY SCHOOLS</t>
  </si>
  <si>
    <t xml:space="preserve">TOTAL AMOUNT DUE FOR ZEO @ ₦20 PER LEARNERS AT SECONDARY AND TECHNICAL SCHOOLS </t>
  </si>
  <si>
    <t xml:space="preserve">                                       TOTAL</t>
  </si>
  <si>
    <t>NIL</t>
  </si>
  <si>
    <t xml:space="preserve">TOTAL NO OF LEARNERS IN SECONDARY SCHOOLS </t>
  </si>
  <si>
    <t xml:space="preserve">TOTAL NO OF LEARNERS IN TECHNICAL COLLEGES </t>
  </si>
  <si>
    <t xml:space="preserve">TOTAL RUNNING COST REQUIRED </t>
  </si>
  <si>
    <t xml:space="preserve">        TOTAL</t>
  </si>
  <si>
    <t xml:space="preserve">            AUTOMATED REPORT ON RUNNING COST ANALYSIS BY ZONES </t>
  </si>
  <si>
    <t>SUMMARY OF AUTOMATED REPORT OF RUNNING COST ANALYSIS ON ENROLMENT DATA</t>
  </si>
  <si>
    <t>TOTAL NUMBER OF LEARNERS IN SECONDARY SCHOOLS (JSS &amp; SSS) TECHNICAL COLLEGES EXCLUSIVE</t>
  </si>
  <si>
    <t xml:space="preserve">TOTAL AMOUNT DUE FOR ZEO @ ₦20 PER LEARNER AT BOTH SECONDARY AND TECHNICAL SCHOOLS </t>
  </si>
  <si>
    <r>
      <rPr>
        <b/>
        <sz val="20"/>
        <rFont val="Arial"/>
        <family val="2"/>
      </rPr>
      <t>NAME OF SCHOOLS
( IN FULL AND UPPER CASE)</t>
    </r>
  </si>
  <si>
    <t xml:space="preserve">                                                                                                                                    AMOUNT DUE FOR ZEO @ ₦20 PER LEARNER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</si>
  <si>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AMOUNT DUE FOR ZEO @ ₦20 per candidate  =</t>
  </si>
  <si>
    <t xml:space="preserve">                                                                                                                       TOTAL RUNNING COST REQUIRED FOR IJEBU NORTH</t>
  </si>
  <si>
    <r>
      <rPr>
        <b/>
        <sz val="18"/>
        <rFont val="Arial"/>
        <family val="2"/>
      </rPr>
      <t>NAME OF SCHOOLS
( IN FULL AND UPPER CASE)</t>
    </r>
  </si>
  <si>
    <t xml:space="preserve">     AMOUNT DUE FOR ZEO @ ₦20 per candidate  =             </t>
  </si>
  <si>
    <r>
      <rPr>
        <b/>
        <sz val="22"/>
        <rFont val="Arial"/>
        <family val="2"/>
      </rPr>
      <t>NAME OF SCHOOLS
( IN FULL AND UPPER CASE)</t>
    </r>
  </si>
  <si>
    <t>TOTAL NUMBER OF LEARNERS</t>
  </si>
  <si>
    <t xml:space="preserve">       BASED ON ENROLMENT DATA AS AT 12TH FEBRUARY 2019</t>
  </si>
  <si>
    <t>NAME OF SCHOOLS</t>
  </si>
  <si>
    <r>
      <rPr>
        <b/>
        <sz val="28"/>
        <rFont val="Arial"/>
        <family val="2"/>
      </rPr>
      <t>NAME OF SCHOOLS
( IN FULL AND UPPER CASE)</t>
    </r>
  </si>
  <si>
    <t xml:space="preserve">DEPARTMENT OF SECONDARY
RUNNING COST ANALYSIS BY ZONES
</t>
  </si>
  <si>
    <t>RUNNING COST ANALYSIS</t>
  </si>
  <si>
    <t xml:space="preserve">                        TOTAL RUNNING COST REQUIRED FOR IPOKIA</t>
  </si>
  <si>
    <t xml:space="preserve">                                                                                                                      TOTAL RUNNING COST REQUIRED FOR YEWA SOUTH </t>
  </si>
  <si>
    <r>
      <rPr>
        <sz val="18"/>
        <rFont val="Arial"/>
        <family val="2"/>
      </rPr>
      <t>Iwoye Area Community High School(Jr), Iwoye</t>
    </r>
  </si>
  <si>
    <r>
      <rPr>
        <b/>
        <sz val="20"/>
        <rFont val="Arial"/>
        <family val="2"/>
      </rPr>
      <t>AYE TOR O WAR
D 2</t>
    </r>
  </si>
  <si>
    <t xml:space="preserve">                                                                                                                                                         TOTAL RUNNING COST REQUIRED FOR YEWA NORTH</t>
  </si>
  <si>
    <t xml:space="preserve">ODEDA </t>
  </si>
  <si>
    <t xml:space="preserve">                                                           AMOUNT DUE FOR ZEO @ ₦20 per learner  =</t>
  </si>
  <si>
    <t xml:space="preserve">                                     TOTAL RUNNING COST REQUIRED FOR ODEDA </t>
  </si>
  <si>
    <t xml:space="preserve">ODOGBOLU </t>
  </si>
  <si>
    <r>
      <t xml:space="preserve">  </t>
    </r>
    <r>
      <rPr>
        <b/>
        <sz val="16"/>
        <color rgb="FF000000"/>
        <rFont val="Times New Roman"/>
        <family val="1"/>
      </rPr>
      <t xml:space="preserve">                                        TOTAL RUNNING COST REQUIRED FOR IJEBU NORTH EAST</t>
    </r>
  </si>
  <si>
    <t xml:space="preserve">                                                                            TOTAL RUNNING COST REQUIRED FOR IKENNE</t>
  </si>
  <si>
    <t xml:space="preserve">                                                                                                        AMOUNT DUE FOR ZEO @ ₦20 per candidate  =</t>
  </si>
  <si>
    <t xml:space="preserve">         DEPARTMENT OF SECONDARY</t>
  </si>
  <si>
    <t xml:space="preserve">RUNNING COST @ ₦30,000 FOR LEARNERS &lt; 1000 PER MONTH FOR 3 MONTHS &amp;  @ ₦50,000 FOR LEARNERS &gt; 1000 PER MONTH FOR 3 MONTHS      </t>
  </si>
  <si>
    <t>NO OF SCHOOLS WITH LEARNERS &lt; 1000</t>
  </si>
  <si>
    <t xml:space="preserve">TOTAL RUNNING COST @ ₦30,000 FOR LEARNERS &lt; 1000 PER MONTH FOR 3 MONTHS &amp;  @ ₦50,000 FOR LEARNERS &gt; 1000 PER MONTH FOR 3 MONTHS      </t>
  </si>
  <si>
    <t>TOTAL NUMBER OF SCHOOLS WITH &lt; OR = 1000 LEARNERS</t>
  </si>
  <si>
    <t>TOTAL NUMBER OF SCHOOLS WITH  &gt; 1000 LEARNERS</t>
  </si>
  <si>
    <t>TOTAL RUNNING COST @ ₦30,000 or ₦50,000 AS APPLICABLE</t>
  </si>
  <si>
    <t xml:space="preserve">                                                      GRAND TOTAL NUMBER OF SCHOOLS</t>
  </si>
  <si>
    <t>RUNNING COST @ ₦30,000 FOR LEARNERS &lt; 1000 PER MONTH FOR 3 MONTHS &amp;  @ ₦50,000 FOR LEARNERS &gt; 1000 PER MONTH FOR 3 MONTHS</t>
  </si>
  <si>
    <t xml:space="preserve">RUNNING COST @ ₦30,000 FOR LEARNERS &lt; 1000 PER MONTH FOR 3 MONTHS &amp;  @ ₦50,000 FOR LEARNERS &gt; 1000 PER MONTH FOR 3 MONTHS      
</t>
  </si>
  <si>
    <t xml:space="preserve">  GRAND TOTAL AMOUNT REQUIRED FOR RUNNING COST IN ALL SECONDARY SCHOOLS</t>
  </si>
  <si>
    <t xml:space="preserve">         GRAND TOTAL NUMBER OF STUDENTS</t>
  </si>
  <si>
    <t xml:space="preserve">                                                                                                         AMOUNT DUE FOR ZEO @ ₦20 per learner  =</t>
  </si>
  <si>
    <t xml:space="preserve">                                                                                            TOTAL RUNNING COST REQUIRED FOR IMEKO AFON </t>
  </si>
  <si>
    <t>OBAFEMI OWODE</t>
  </si>
  <si>
    <t>NAME OF SCHOOL</t>
  </si>
  <si>
    <t>NUMBER OF PRINCIPAL</t>
  </si>
  <si>
    <t>STUDENTS ENROLMENT</t>
  </si>
  <si>
    <t>MALE</t>
  </si>
  <si>
    <t>FEMALE</t>
  </si>
  <si>
    <t>JUNIOR</t>
  </si>
  <si>
    <t>SENIOR</t>
  </si>
  <si>
    <t>COMBINED</t>
  </si>
  <si>
    <t xml:space="preserve">     </t>
  </si>
  <si>
    <t>MINISTRY OF EDUCATION, SCIENCE AND TECHNOLOGY</t>
  </si>
  <si>
    <t>DEPARTMENT OF SECONDARY EDUCATION</t>
  </si>
  <si>
    <t>ZONE: IKENNE</t>
  </si>
  <si>
    <t>No of Principals</t>
  </si>
  <si>
    <t xml:space="preserve">No of Vice Principals </t>
  </si>
  <si>
    <t>No of teachers</t>
  </si>
  <si>
    <t>MINISTRY OF EDUCATION SCIENCE AND TECNOLOGY, ABEOKUTA</t>
  </si>
  <si>
    <t>JUNIOR SECONDARY SCHOOL</t>
  </si>
  <si>
    <t>SENIOR SECONDARY SCHOOL</t>
  </si>
  <si>
    <t>COMBINED SECONDARY SCHOOL</t>
  </si>
  <si>
    <t>COMMUNITY HIGH SCHOOL, ABAREN</t>
  </si>
  <si>
    <t>OLUMO HIGH SCHOOL, SABO</t>
  </si>
  <si>
    <t>OKE- ONA GRAMMAR SCHOOL, OKE- ONA</t>
  </si>
  <si>
    <t>IMALA COMMUNITY HIGH SCHOOL, IMALA</t>
  </si>
  <si>
    <t>ILEWO COMMUNITY HIGH SCHOOL, ILEWO</t>
  </si>
  <si>
    <t>IKIJA HIGH SCHOOL, IKIJA</t>
  </si>
  <si>
    <t>IDI- EMI HIGH SCHOOL, IDI EMI</t>
  </si>
  <si>
    <t>ANSAR-UD- DEEN GRAMMAR SCHOOL, ISAGA ORILE</t>
  </si>
  <si>
    <t>AJIBOYEDE COMPRHENSIVE HIGH SCHOOL, IBARA - ORILE</t>
  </si>
  <si>
    <t>COMBINED SCHOOL</t>
  </si>
  <si>
    <t>UNITY HIGH SCHOOL,(SNR) AGO- IKA</t>
  </si>
  <si>
    <t>ST. PETER'S COLLEGE,(SNR) OLOMORE</t>
  </si>
  <si>
    <t>PREMIER GRAMMAR SCHOOL (SNR), LAFENWA</t>
  </si>
  <si>
    <t>LAFENWA HIGH SCHOOL (SNR), LAFENWA</t>
  </si>
  <si>
    <t>ILUGUN HIGH SCHOOL (SNR), ELEGA</t>
  </si>
  <si>
    <t>GATEWAY SECONDARY SCHOOL, (SNR), ITA - EKO</t>
  </si>
  <si>
    <t>EBENEZER GRAMMAR SCHOOL, (SNR), IBEREKODO</t>
  </si>
  <si>
    <t>ARMYDAY SECONDARY SCHOOL, (SNR), ALAMALA</t>
  </si>
  <si>
    <t>ARICAN CHURCH GRAMMAR SCHOOL (SNR), ITA- IYALODE</t>
  </si>
  <si>
    <t>SENIOR SCHOOL</t>
  </si>
  <si>
    <t>UNITY HIGH SCHOOL,(JNR) AGO- IKA</t>
  </si>
  <si>
    <t>ST. PETER'S COLLEGE,(JNR) OLOMORE</t>
  </si>
  <si>
    <t>PREMIER GRAMMAR SCHOOL (JNR), LAFENWA</t>
  </si>
  <si>
    <t>LAFENWA HIGH SCHOOL (JNR), LAFENWA</t>
  </si>
  <si>
    <t>ILUGUN HIGH SCHOOL (JNR), ELEGA</t>
  </si>
  <si>
    <t>GATEWAY SECONDARY SCHOOL, (JNR), ITA - EKO</t>
  </si>
  <si>
    <t>EBENEZER GRAMMAR SCHOOL, (JNR), IBEREKODO</t>
  </si>
  <si>
    <t>ARMYDAY SECONDARY SCHOOL, (JNR), ALAMALA</t>
  </si>
  <si>
    <t>ARICAN CHURCH GRAMMAR SCHOOL (JNR), ITA- IYALODE</t>
  </si>
  <si>
    <t>JUNIOR SCHOOL</t>
  </si>
  <si>
    <t xml:space="preserve">DEPARTMENT OF SECONDARY </t>
  </si>
  <si>
    <t xml:space="preserve">ABEOKUTA NORTH </t>
  </si>
  <si>
    <t>NUMBER OF VICE PRINCIPAL</t>
  </si>
  <si>
    <t>SALAWU ABIOLA COMPREHENSIVE HIGH SCHOOL (JNR), OSIELE</t>
  </si>
  <si>
    <t>SALAWU ABIOLA COMPREHENSIVE HIGH SCHOOL (SNR), OSIELE</t>
  </si>
  <si>
    <t>ORILE ILUGUN COMPREHENSIVE HIGH SCHOOL(JNR) ORILE ILGUN</t>
  </si>
  <si>
    <t>ORILE ILUGUN COMPREHENSIVE HIGH SCHOOL(SNR) ORILE ILGUN</t>
  </si>
  <si>
    <t>ORILE KEESI GRAMMAR SCHOOL(JNR), OLODO</t>
  </si>
  <si>
    <t>ORILE KEESI GRAMMAR SCHOOL(SNR), OLODO</t>
  </si>
  <si>
    <t>ORILE KEMTA COMPREHENSIVE HIGH SCHOOL (JNR), OLUGBO</t>
  </si>
  <si>
    <t>ORILE KEMTA COMPREHENSIVE HIGH SCHOOL (SNR), OLUGBO</t>
  </si>
  <si>
    <t xml:space="preserve">ORILE IPORO COMMUNITY HIGH SCHOOL, ORILE IPORO </t>
  </si>
  <si>
    <t>EMULU COMPREHENSIVE HIGH SCHOOL, ORILE ITESI</t>
  </si>
  <si>
    <t xml:space="preserve">DEPARTMENT OF SECONDARY
</t>
  </si>
  <si>
    <t>S/NO</t>
  </si>
  <si>
    <t>BATORO COMMUNITY HIGH SCHOOL, SAGAMU</t>
  </si>
  <si>
    <t>MAKUN HIGH SCHOOL, SAGAMU</t>
  </si>
  <si>
    <t>METHODIST COMPREHENSIVE COLLEGE, SAGAMU</t>
  </si>
  <si>
    <t>MUSLIM HIGH SCHOOL, SAGAMU</t>
  </si>
  <si>
    <t>OGIJO COMMUNITY HIGH SCHOOL, OGIJO</t>
  </si>
  <si>
    <t>REMO DIVISIONAL HIGH SCHOOL, SAGAMU</t>
  </si>
  <si>
    <t>REMO SECONDARY SCHOOL, SAGAMU</t>
  </si>
  <si>
    <t>SAGAMU HIGH SCHOOL, SAGAMU</t>
  </si>
  <si>
    <t>SONYINDO COMMUNITY HIGH SCHOOL, SAGAMU</t>
  </si>
  <si>
    <t>COMMUNITY GRAMMAR SCHOOL, ODE-LEMO</t>
  </si>
  <si>
    <t>DANIEL COMPREHENSIVE HIGH SCHOOL, SAGAMU</t>
  </si>
  <si>
    <t>IJAGBA COMMUNITY HIGH SCHOOL, SOTUBO</t>
  </si>
  <si>
    <t>MULERUWA COMMUNITY HIGH SCHOOL, GBAGA</t>
  </si>
  <si>
    <t>OFIN HIGH SCHOOL, SAGAMU</t>
  </si>
  <si>
    <t>SIMAWA COMMUNITY HIGH SCHOOL, SIMAWA</t>
  </si>
  <si>
    <t>ST. JOHN'S ANGLICAN GRAMMAR SCHOOL, ODE-LEMO</t>
  </si>
  <si>
    <t>OGO-OLUWA C OMMUNITY MODEL SECONDARY SCHOOL, AJEGUNLE, OGIJO</t>
  </si>
  <si>
    <t>08036812859</t>
  </si>
  <si>
    <t xml:space="preserve">Ag NR ABORODE </t>
  </si>
  <si>
    <t>OWO COMMUNITY HIGH SCH.OWO</t>
  </si>
  <si>
    <t>08023974201</t>
  </si>
  <si>
    <t xml:space="preserve">MR RUNSEWE. S.O </t>
  </si>
  <si>
    <t>OKE - ODAN GRAM. SCH,OKE-ODAN</t>
  </si>
  <si>
    <t>08039059319</t>
  </si>
  <si>
    <t>MR OLADUNJOYE, I. A</t>
  </si>
  <si>
    <t>IDOGO/IPAJA COMM.HIGH SCH,IDGO</t>
  </si>
  <si>
    <t>08106459502</t>
  </si>
  <si>
    <t xml:space="preserve">MR ADAMS  </t>
  </si>
  <si>
    <t>ILOBI/ERINJA COMM.HIGH SCH ILOBI</t>
  </si>
  <si>
    <t>08035030518</t>
  </si>
  <si>
    <t xml:space="preserve">MRS ADELEYE   </t>
  </si>
  <si>
    <t>BAPTIST HIGH SCHOOL,ILARO</t>
  </si>
  <si>
    <t>08025314961</t>
  </si>
  <si>
    <t xml:space="preserve">MRS SALAMI  </t>
  </si>
  <si>
    <t>AREA COMM. HIGH SCH.,  OLOKUTA</t>
  </si>
  <si>
    <t>COMBINED SCHOOLS</t>
  </si>
  <si>
    <t>08038162463</t>
  </si>
  <si>
    <t xml:space="preserve">Ag. MR ADEYEMO B. K </t>
  </si>
  <si>
    <t>IWOYE AREA COMM. H/S, IWOYE.</t>
  </si>
  <si>
    <t>08035756506</t>
  </si>
  <si>
    <t xml:space="preserve">MR ELEGBEDE A </t>
  </si>
  <si>
    <t>YEWA COLLEGE SENIOR, ILARO</t>
  </si>
  <si>
    <t>08034734111</t>
  </si>
  <si>
    <t xml:space="preserve">MR SALAMI ,A.T </t>
  </si>
  <si>
    <t>ITOLU COMM. H/S SENIOR, ILARO</t>
  </si>
  <si>
    <t>08030691023</t>
  </si>
  <si>
    <t xml:space="preserve">MRS.BOLANLE A.O </t>
  </si>
  <si>
    <t>ANGLICAN GRAMM, SCH. ILARO</t>
  </si>
  <si>
    <t>08033681855</t>
  </si>
  <si>
    <t xml:space="preserve">MR ADENIJO  </t>
  </si>
  <si>
    <t>ORONNA HIGH SCHOOL, SNR, ILARO</t>
  </si>
  <si>
    <t>08108871828</t>
  </si>
  <si>
    <t xml:space="preserve">MR OLUMOMI  </t>
  </si>
  <si>
    <t>EMMANUEL COMM. HIGH SCH., ILARO</t>
  </si>
  <si>
    <t>08065305695</t>
  </si>
  <si>
    <t xml:space="preserve">MR SALAMI, A.A </t>
  </si>
  <si>
    <t>MUSLIM PROG. HIGH SCH., OKE-ODAN</t>
  </si>
  <si>
    <t>07031378421</t>
  </si>
  <si>
    <t>MR OYEGOKE JULIUS. O</t>
  </si>
  <si>
    <t>IYEWA HIGH SCHOOL SNR. AJILETE</t>
  </si>
  <si>
    <t>08036832601</t>
  </si>
  <si>
    <t xml:space="preserve">MISS BABARINSA  </t>
  </si>
  <si>
    <t>OWODE  SEC. SCHOOL SNR., OWODE</t>
  </si>
  <si>
    <t>08038060719</t>
  </si>
  <si>
    <t xml:space="preserve">MR AKINOLA </t>
  </si>
  <si>
    <t>AREA COMM. HIGH SCH., SNR, OWODE</t>
  </si>
  <si>
    <t>07030200205</t>
  </si>
  <si>
    <t xml:space="preserve">ALH.ADESAKIN  </t>
  </si>
  <si>
    <t>ARMY DAY SENIOR SEC. SCH,. OWODE</t>
  </si>
  <si>
    <t>SENIOR SCHOOLS</t>
  </si>
  <si>
    <t>08060972552</t>
  </si>
  <si>
    <t xml:space="preserve">MR ADELOYE J.A </t>
  </si>
  <si>
    <t>08034346428</t>
  </si>
  <si>
    <t xml:space="preserve">MRS ADENIJOR </t>
  </si>
  <si>
    <t>YEWA COLLEGE JUNIOR, ILARO</t>
  </si>
  <si>
    <t>08039746389</t>
  </si>
  <si>
    <t>MRS OKPARAVERO .A</t>
  </si>
  <si>
    <t>ITOLU COMM. H/S JUNIOR, ILARO</t>
  </si>
  <si>
    <t>08036083145</t>
  </si>
  <si>
    <t>MR AKINYEMI ,F</t>
  </si>
  <si>
    <t>08036654227</t>
  </si>
  <si>
    <t xml:space="preserve">MRS OKOYE  </t>
  </si>
  <si>
    <t>ORONNA HIGH SCHOOL, JNR, ILARO</t>
  </si>
  <si>
    <t>08038579250</t>
  </si>
  <si>
    <t xml:space="preserve">MR MASONWO  </t>
  </si>
  <si>
    <t>07083038065</t>
  </si>
  <si>
    <t xml:space="preserve">Ag. MR ALEGBELEYE </t>
  </si>
  <si>
    <t>08025926348</t>
  </si>
  <si>
    <t xml:space="preserve">Ag. MR RAJI AKEEM O, </t>
  </si>
  <si>
    <t>IYEWA HIGH SCHOOL JNR. AJILETE</t>
  </si>
  <si>
    <t>08029595745</t>
  </si>
  <si>
    <t xml:space="preserve">MR TELLA K.H </t>
  </si>
  <si>
    <t>OWODE  SEC. SCHOOL JNR., OWODE</t>
  </si>
  <si>
    <t>08066635448</t>
  </si>
  <si>
    <t xml:space="preserve">MR OLALEYE  </t>
  </si>
  <si>
    <t>AREA COMM. HIGH SCH., JNR, OWODE</t>
  </si>
  <si>
    <t>08060534444</t>
  </si>
  <si>
    <t xml:space="preserve">MR OMOLE ,K </t>
  </si>
  <si>
    <t>ARMY DAY JUNIOR SEC. SCH,. OWODE</t>
  </si>
  <si>
    <t>JUNIOR SCHOOLS</t>
  </si>
  <si>
    <t>PRINCIPAL'S PHONE NUMBER</t>
  </si>
  <si>
    <t xml:space="preserve">NAME OF PRINCIPAL </t>
  </si>
  <si>
    <t>GOVERNMENT SCIENCE AND TECHNICAL COLLEGE, ILARA REMO</t>
  </si>
  <si>
    <t>ODE REMO HIGH SCHOOL (JUNIOR), ODE REMO</t>
  </si>
  <si>
    <t>ODE REMO HIGH SCHOOL (SENIOR), ODE REMO</t>
  </si>
  <si>
    <t>ISARA SECONDARY SCHOOL, ISARA REMO</t>
  </si>
  <si>
    <t>IYANKAN HIGH SCHOOL, ISARA REMO</t>
  </si>
  <si>
    <t>IPARA COMMUNITY HIGH SCHOOL, IPARA REMO</t>
  </si>
  <si>
    <t>ILARA/AKAKA COMMUNITY GRAMMAR SCHOOL, ILARA</t>
  </si>
  <si>
    <t>MINISTRY OF EDUCATION, SCIENCE AND TECHNOLOGY, ABEOKUTA</t>
  </si>
  <si>
    <t xml:space="preserve">DEPARTMENT OF SECONDARY EDUCATION </t>
  </si>
  <si>
    <t>ZONE: OGUN WATERSIDE, ABIGI</t>
  </si>
  <si>
    <t>SCHOOL NAME</t>
  </si>
  <si>
    <t>TRADE/ENTREPRENEURSHIP AND TECHNOLOGY SUBJECTS</t>
  </si>
  <si>
    <t>AHMADIYYA COMPREHENSIVE HIGH SCHOOL,ONI</t>
  </si>
  <si>
    <t>COMMUNITY HIGH SCHOOL,IBIADE</t>
  </si>
  <si>
    <t>Animal Husbandry</t>
  </si>
  <si>
    <t>ILUSIN GRAMMAR SCHOOL ILUSIN</t>
  </si>
  <si>
    <t>Auto Body Repair and Spray Painting</t>
  </si>
  <si>
    <t>ST. KIZITO'S HIGH SCHOOL, IWOPIN.</t>
  </si>
  <si>
    <t>Auto Electrical Work</t>
  </si>
  <si>
    <t xml:space="preserve">IBIADE COMPREHENSIVE HIGH SCHOOL </t>
  </si>
  <si>
    <t>Auto Mechanical Work</t>
  </si>
  <si>
    <t>AYILA HIGH SCHOOL, AYILA</t>
  </si>
  <si>
    <t>Auto Parts Merchandising</t>
  </si>
  <si>
    <t>ABIGI  COMMUNITY  GRAMMAR  SCHOOL</t>
  </si>
  <si>
    <t>Block Laying, Brick Laying and Concrete Work</t>
  </si>
  <si>
    <t>AYEDE COMP. HIGH  SCHOOL, AYEDE</t>
  </si>
  <si>
    <t>Book Keeping</t>
  </si>
  <si>
    <t>EFIRE COMMUNITY HIGH SCHOOL,EFIRE</t>
  </si>
  <si>
    <t>Carpentry and Joinery</t>
  </si>
  <si>
    <t>IBU COMMUNITY GRAMMAR SCHOOL, IBU</t>
  </si>
  <si>
    <t>Catering Craft Practice</t>
  </si>
  <si>
    <t>ITEBU MANUWA COMPREHENSIVE HIGH SCHOOL,ITEBU MANUWA</t>
  </si>
  <si>
    <t>Clothing and Textile</t>
  </si>
  <si>
    <t>Cosmetology</t>
  </si>
  <si>
    <t>MAKUN OMI COMPREHENSIVE HIGH SCHOOL,MAKUN OMI</t>
  </si>
  <si>
    <t>Data Processing</t>
  </si>
  <si>
    <t>ODE OMI COMMUNITY GRAMMAR SCH, ODE OMI. OGUN WATERSIDE</t>
  </si>
  <si>
    <t>Dyeing and Bleaching</t>
  </si>
  <si>
    <t>Electrical Installation and Maintenance Work</t>
  </si>
  <si>
    <t>Fishery</t>
  </si>
  <si>
    <t>Furniture Making</t>
  </si>
  <si>
    <t>Garment Making</t>
  </si>
  <si>
    <t>GSM Maintenance and Repairs</t>
  </si>
  <si>
    <t>Leather Goods Manufacturing and Repair</t>
  </si>
  <si>
    <t>Machine Woodworking</t>
  </si>
  <si>
    <t>Marketing</t>
  </si>
  <si>
    <t>Mining</t>
  </si>
  <si>
    <t>Painting and Decorating</t>
  </si>
  <si>
    <t>Photography</t>
  </si>
  <si>
    <t>Plumbing and Pipefitting</t>
  </si>
  <si>
    <t>Printing Craft Practice</t>
  </si>
  <si>
    <t xml:space="preserve">Radio, TV and Electronic Servicing </t>
  </si>
  <si>
    <t>Salesmanship</t>
  </si>
  <si>
    <t>Stenography</t>
  </si>
  <si>
    <t>Store Keeping</t>
  </si>
  <si>
    <t>Tourism</t>
  </si>
  <si>
    <t>Upholstery</t>
  </si>
  <si>
    <t>Welding and Fabrication Engineering Craft Practice</t>
  </si>
  <si>
    <t>ALAGBE COMMUNITY HIGH SCHOOL, ALAGBE</t>
  </si>
  <si>
    <t>COMMUNITY COMPREHENSIVE COLLEGE, IDOFA</t>
  </si>
  <si>
    <t>COMMUNITY COMPREHENSIVE HIGH SCHOOL, ATAPELE</t>
  </si>
  <si>
    <t>COMMUNITY COMPREHENSIVE HIGH SCHOOL, OKE-AGBEDED</t>
  </si>
  <si>
    <t xml:space="preserve">MUSLIM GRAMMAR SCHOOL, IMEKO </t>
  </si>
  <si>
    <t>MUSLIM HIGH SCHOOL, ILARA-YEWA</t>
  </si>
  <si>
    <t>OBADA GRAMMAR SCHOOL, OBADA</t>
  </si>
  <si>
    <t>ALAKETU HIGH SCHOOL, IMEKO</t>
  </si>
  <si>
    <t>COMMUNITY HIGH SCHOOL, IDI-AYIN.</t>
  </si>
  <si>
    <t>IWOYE-KETU COMMUNITY HIGH SCHOOL, IWOYE-KETU.</t>
  </si>
  <si>
    <t>COMMUNITY HIGH SCHOOL, ILARA.</t>
  </si>
  <si>
    <t>NAZARETH HIGH SCHOOL, IMEKO.</t>
  </si>
  <si>
    <t>COMMUNITY HIGH SCHOOL, ILARA-YEWA.</t>
  </si>
  <si>
    <t>MINISTRY OF EDUATION SCIENCE AND TECHNOLOGY</t>
  </si>
  <si>
    <t xml:space="preserve">IMEKO AFON </t>
  </si>
  <si>
    <t xml:space="preserve">SITUATION REPORT OF SECONDARY SCHOOLS </t>
  </si>
  <si>
    <t>PUBLIC JUNIOR SECONDARY SCHOOLS</t>
  </si>
  <si>
    <t>Ajoda High School (Junior) Ayetoro</t>
  </si>
  <si>
    <t>Alaye High School (Junior) Ayetoro</t>
  </si>
  <si>
    <t>Ayetoro Community Grammar School (Junior) Ayetoro</t>
  </si>
  <si>
    <t>Community High School (Junior) Ijoun</t>
  </si>
  <si>
    <t>Comprehensive High School (Junior) Ayetoro</t>
  </si>
  <si>
    <t>Ketu College (Junior) Igan - Alade</t>
  </si>
  <si>
    <t>Oluaso High School (Junior) Imasayi</t>
  </si>
  <si>
    <t>Orita Community High School (Junior) Oja Odan</t>
  </si>
  <si>
    <t>Owode Ketu Commercial High School (Junior) Owode Ketu</t>
  </si>
  <si>
    <t>Yewa Secondary School (Junior) Igbogila</t>
  </si>
  <si>
    <t>PUBLIC SENIOR SECONDARY SCHOOLS</t>
  </si>
  <si>
    <t>Ajoda High School (Senior) Ayetoro</t>
  </si>
  <si>
    <t>Alaye High School (Senior) Ayetoro</t>
  </si>
  <si>
    <t>Ayetoro Community Grammar School (Senior) Ayetoro</t>
  </si>
  <si>
    <t>Community High School (Senior) Ijoun</t>
  </si>
  <si>
    <t>Comprehensive High School (Senior) Ayetoro</t>
  </si>
  <si>
    <t>Ketu College (Senior) Igan - Alade</t>
  </si>
  <si>
    <t>Oluaso High School (Senior) Imasayi</t>
  </si>
  <si>
    <t>Orita Community High School (Senior) Oja Odan</t>
  </si>
  <si>
    <t>Owode Ketu Commercial High School (Senior) Owode Ketu</t>
  </si>
  <si>
    <t>Yewa Secondary School (Senior) Igbogila</t>
  </si>
  <si>
    <t>PUBLIC COMBINED SECONDARY SCHOOLS</t>
  </si>
  <si>
    <t>Adokun High School, Igan Okoto</t>
  </si>
  <si>
    <t xml:space="preserve">Area Community High School </t>
  </si>
  <si>
    <t>Asakanran Grammar School, Ibese</t>
  </si>
  <si>
    <t>Community High School, Ebute-Igbooro</t>
  </si>
  <si>
    <t>Community High School, Agbon-Ojodu</t>
  </si>
  <si>
    <t>Community Comprehensive High School, Eggua</t>
  </si>
  <si>
    <t>Community High School Ohunbe</t>
  </si>
  <si>
    <t>Eyinni Comp. High School Iboro</t>
  </si>
  <si>
    <t>F.A.C.M(UNA) High School, Igbogila</t>
  </si>
  <si>
    <t>Government Science and Technical College, Ayetoro</t>
  </si>
  <si>
    <t>Community Grammar School, Igbokofi</t>
  </si>
  <si>
    <t>Ketu Community High School, Ijale Ketu</t>
  </si>
  <si>
    <t>Muslim Community High School Oja Odan</t>
  </si>
  <si>
    <t>Obalaju High School, Joga Orile</t>
  </si>
  <si>
    <t>Sawonjo High School, Sawonjo</t>
  </si>
  <si>
    <t>METHODIST HIGH SCHOOL(SENIOR), ARIGBAJO.</t>
  </si>
  <si>
    <t>PAPALANTO HIGH SCHOOL (SENIOR), PAPALANTO.</t>
  </si>
  <si>
    <t>ITORI COMPREHENSIVE HIGH SCHOOL (SENIOR), ITORI.</t>
  </si>
  <si>
    <t>METHODIST HIGH SCHOOL(JUNIOR), ARIGBAJO.</t>
  </si>
  <si>
    <t>PAPALANTO HIGH SCHOOL (JUNIOR), PAPALANTO.</t>
  </si>
  <si>
    <t>ITORI COMPREHENSIVE HIGH SCHOOL (JUNIOR), ITORI.</t>
  </si>
  <si>
    <t>IFEDAPO COMMUNITY COMPREHENSIVE HIGH SCHOOL, AJEGUNLE-ABALABI.</t>
  </si>
  <si>
    <t>COMMUNITY COMPREHENSIVE HIGH SCHOOL, OWOWO.</t>
  </si>
  <si>
    <t>UNITED COMPREHENSIVE HIGH SCHOOL, WASINMI.</t>
  </si>
  <si>
    <t>AKIN OGUNPOLA MODEL COLLEGE, AKINALE.</t>
  </si>
  <si>
    <t>OLORUNDA COMMUNITY COMPREHENSIVE HIGH SCHOOL, OLORUNDA.</t>
  </si>
  <si>
    <t>ADEOYE LAMBO MEMORIAL HIGH SCHOOL, OBADA-OKO.</t>
  </si>
  <si>
    <t>OWU COMMUNITY COMPREHENSIVE HIGH SCHOOL, ELERE-ADUBI.</t>
  </si>
  <si>
    <t>GOVERNMENT SCIENCE AND TECHNICAL COLLEGE, AJEGUNLE.</t>
  </si>
  <si>
    <t>MINISTRY OF EDUCATION, SCIENCE AND TECHNOLOGY, OKE MOSAN, ABEOKUTA</t>
  </si>
  <si>
    <t>SECONDARY EDUCATION DEPARTMENT</t>
  </si>
  <si>
    <t>SCHOOL</t>
  </si>
  <si>
    <t>ABEOKUTA GIRLS GRAMMAR SCHOOL, ONIKOLOBO</t>
  </si>
  <si>
    <t>ABEOKUTA GRAMMAR SCHOOL, IDI ABA</t>
  </si>
  <si>
    <t>ANGLICAN HIGH SCHOOL, QUARRY ROAD, IBARA</t>
  </si>
  <si>
    <t>ASERO HIGH SCHOOL, ASERO</t>
  </si>
  <si>
    <t>BAPTIST BOYS' HIGH, SAJE</t>
  </si>
  <si>
    <t>BAPTIST GIRLS' COLLEGE SCHOOL, IDI ABA</t>
  </si>
  <si>
    <t>CATHOLIC COMPREHENSIVVE HIGH SCHOOL, PANSEKE, IBARA</t>
  </si>
  <si>
    <t>EGBA COMPREHENSIVE HIGH SCHOOL, ASERO</t>
  </si>
  <si>
    <t>IGBORE HIGH SCHOOL, IGBORE</t>
  </si>
  <si>
    <t>IJEMO-TITUN HIGH SCHOOL, HOUSING ESTATE, IBARA</t>
  </si>
  <si>
    <t>LANTORO HIGH SCHOOL, LANTORO</t>
  </si>
  <si>
    <t>LISABI GRAMMAR SCHOOL, IDI ABA</t>
  </si>
  <si>
    <t>MACJOB GRAMMAR SCHOOL, ONIKOLOBO</t>
  </si>
  <si>
    <t>METHODIST HIGH SCHOOL, OGBE</t>
  </si>
  <si>
    <t>NAWAIR-UN-DEEN HIGH SCHOOL, ISABO</t>
  </si>
  <si>
    <t>REVEREND KUTI MEMORIAL GRAMMAR SCHOOL, ISABO</t>
  </si>
  <si>
    <t>SAJE HIGH SCHOOL, SAJE</t>
  </si>
  <si>
    <t>SAINT JOHN'S ANGLICAN HIGH SCHOOL, KUTO</t>
  </si>
  <si>
    <t>SAINT LEO’S COLLEGE, ONIKOKO</t>
  </si>
  <si>
    <t>AGUNBIADE VICTORY HIGH SCHOOL, MAGBON</t>
  </si>
  <si>
    <t xml:space="preserve">GOVERNMENT SCIENCE AND TECHNICAL COLLEGE, IDI ABA </t>
  </si>
  <si>
    <t>SITUATION REPORT OF PUBLIC SECONDARY SCHOOLS IN THE ZONE</t>
  </si>
  <si>
    <t>ZONE: IJEBU NORTH</t>
  </si>
  <si>
    <t>ABOBI COMPREHESIVE HIGH SCHOOL JUNIOR AGO IWOYE</t>
  </si>
  <si>
    <t>MUSLIM HIGH SCHOOL JUNIOR AGO IWOYE</t>
  </si>
  <si>
    <t xml:space="preserve">OBANTA COMPREHENSIVE HIGH SCHOOL JUNIOR AWA IJEBU </t>
  </si>
  <si>
    <t xml:space="preserve">GOVERNMENT SCIENCE AND TECHNICAL COLLEGE </t>
  </si>
  <si>
    <t>METHODIST COMPREHENSIVE HIGH SCHOOL SENIOR AGO IWOYE</t>
  </si>
  <si>
    <t xml:space="preserve">OBANTA COMPREHENSIVE HIGH SCHOOL SENIOR AWA IJEBU </t>
  </si>
  <si>
    <t>OLOKINE GRAMMAR SCHOOL IJEBU-IGBO</t>
  </si>
  <si>
    <t>ZONAL EDUCATION OFFICE, IJEBU NORTH EAST</t>
  </si>
  <si>
    <t>SITUATION REPORTS OF SECONDARY SCHOOLS</t>
  </si>
  <si>
    <t>Isoyin Grammar School, Junior.</t>
  </si>
  <si>
    <t>Ogbogbo Baptist Grammar School,Junior.</t>
  </si>
  <si>
    <t>Ilese Comprehensive High School, Junior</t>
  </si>
  <si>
    <t>Deyo-Tuwo Comprehensive High School, Junior</t>
  </si>
  <si>
    <t>Isoyin Grammar School, Senior.</t>
  </si>
  <si>
    <t>Ogbogbo Baptist Grammar School, Senior.</t>
  </si>
  <si>
    <t>Ilese Comprehensive High School, Senior.</t>
  </si>
  <si>
    <t>deyo-Tuwo Comprehensive High School, Senior.</t>
  </si>
  <si>
    <t>Odopotu Community High School, Odopotu.</t>
  </si>
  <si>
    <t>Alaro Community High School, Odosenlu.</t>
  </si>
  <si>
    <t>Raluwen High School, Atan.</t>
  </si>
  <si>
    <t>Idomila Comprehensive High School, Idomila.</t>
  </si>
  <si>
    <t>Ilugun Central Academy ,Ibido/Odosenbora.</t>
  </si>
  <si>
    <t>Oke-Eri Comprehensive High School, Oke-Eri.</t>
  </si>
  <si>
    <t>ZONAL EDUCATION OFFICE, IFO</t>
  </si>
  <si>
    <t>SITUATION REPORT IN PUBLIC SECONDARY SCHOOLS</t>
  </si>
  <si>
    <t>NAME OF PRINCIPAL</t>
  </si>
  <si>
    <t>TELEPHONE NUMBER</t>
  </si>
  <si>
    <t>NAME OF VICE PRINCIPAL(S)</t>
  </si>
  <si>
    <t>TELEPHONE NUMBER(S)</t>
  </si>
  <si>
    <t>ADENRELE HIGH SCHOO (JUNIOR), IFO</t>
  </si>
  <si>
    <t>MR. OGUN DAUDA OLANIYI</t>
  </si>
  <si>
    <t>MRS.TIJJANI KEHINDE OLUREMI JOKE, MR SOREMI AKINTUNDE OLUREMI, MR.ADELANI IDRIS ADESANYA</t>
  </si>
  <si>
    <t>08034240037, 08030608640, 08065965009</t>
  </si>
  <si>
    <t>N.U.D GRAMMAR SCHOOL (JUNIOR),SOLU</t>
  </si>
  <si>
    <t>MR. ALIMI ADEMOLA FATAI</t>
  </si>
  <si>
    <t>MR.ALO CLEMENT BAMIDELE, MR.ADEEKO ADEOYE OLUREMI,MR.OYEDIJI JACOB</t>
  </si>
  <si>
    <t>07037085906, 08033713406,08034944316</t>
  </si>
  <si>
    <t>AGBADO DISTRICT COMPREHENSIVE HIGH SCHOOL(JNR) OKE-ARO</t>
  </si>
  <si>
    <t>MR. INYAMA CHIKA CHARLES</t>
  </si>
  <si>
    <t>MR.ALALAFIA TAJUDEEN ADEGOKE</t>
  </si>
  <si>
    <t>AJUWON HIGH SCHOOL (JUNIOR),AJUWON</t>
  </si>
  <si>
    <t>MRS. AFABOR OLUNIKE</t>
  </si>
  <si>
    <t>OBADIPE OLUFUNMILAYO, LADITE FLORENCE ANIKE, OYEBIMPE FLORENCE OLAYEMI</t>
  </si>
  <si>
    <t>08055260520, 08033908153, 08034639366</t>
  </si>
  <si>
    <t>ANGLICAN GRAMMAR SCHOOL (JUNIOR) OKENLA</t>
  </si>
  <si>
    <t>MR.COLE OLUKAYODE ABAYOMI</t>
  </si>
  <si>
    <t>MRS. ROTIBI OLUREMI</t>
  </si>
  <si>
    <t>COMM. HIGH SCH.(JUNIOR) OJODU-ABIODUN</t>
  </si>
  <si>
    <t>MRS. ADE-KOLAWOLE BOLATITO DEBORAH</t>
  </si>
  <si>
    <t>MR. IBIKUNLE OLUSEGUN</t>
  </si>
  <si>
    <t>IFO HIGH SCHOOL (JUNIOR),IFO</t>
  </si>
  <si>
    <t>MRS.AKINKUNMI GANIYAT ADENIKE</t>
  </si>
  <si>
    <t>MR.AKINBODE TUNDE DANIEL, MRS OLAYORI ADEDAYO OMOLARA</t>
  </si>
  <si>
    <t>08065965321, 08130070974</t>
  </si>
  <si>
    <t>ITOKI COMMUNITY HIGH  SCHOOL(JUNIOR), ITOKI.</t>
  </si>
  <si>
    <t>MR. IDOWU L.B</t>
  </si>
  <si>
    <t>08035721263</t>
  </si>
  <si>
    <t>MRS. AJAYI, B.F</t>
  </si>
  <si>
    <t>08060935767</t>
  </si>
  <si>
    <t>PAKOTO HIGH SCHOOL (JUNIOR), AYEDE</t>
  </si>
  <si>
    <t>MRS. YINKA-ADIGUN KEHINDE MOJISOLA O.</t>
  </si>
  <si>
    <t>08020608069</t>
  </si>
  <si>
    <t>MR. ODUYOMI MATHEW FOLUSO, MR. AKINSANYA BABATUNDE, MR. ADEDIRE BAMIDELE</t>
  </si>
  <si>
    <t>ADENRELE HIGH SCHOO (SENIOR), IFO</t>
  </si>
  <si>
    <t>MR. SOPEJU OLUSEGUN LADIPO</t>
  </si>
  <si>
    <t>08033191887</t>
  </si>
  <si>
    <t>MRS.IDOWU FOLASADE FOLAKE, MR. ZANNUS SUNDAY FOLORUNSO, MR.ENILOLOBO ADEKUNLE AJANI</t>
  </si>
  <si>
    <t>8035224763, 08037185799, 08034284430</t>
  </si>
  <si>
    <t>N.U.D GRAMMAR SCHOOL (SENIOR),SOLU</t>
  </si>
  <si>
    <t>MR. LASISI ADESINA OLAWALE</t>
  </si>
  <si>
    <t>08035232768</t>
  </si>
  <si>
    <t>MR. AYELOTAN JIMOH A, MR.SANUSI SULAIMON O, MRS OYELEYE MARGRET</t>
  </si>
  <si>
    <t>08064310689, 07063854314,08029434842</t>
  </si>
  <si>
    <t>AGBADO DISTRICT COMPREHENSIVE HIGH SCHOOL(SNR) OKE-ARO</t>
  </si>
  <si>
    <t>MRS. DAODU OLUBUNMI EBUN</t>
  </si>
  <si>
    <t>08028599050</t>
  </si>
  <si>
    <t>MRS. OGUNRINDE ELIZABETH OLUREMI</t>
  </si>
  <si>
    <t>AJUWON HIGH SCHOOL (SENIOR),AJUWON</t>
  </si>
  <si>
    <t>MRS. OSEWA OMOLARA MODUPE</t>
  </si>
  <si>
    <t>08158260785</t>
  </si>
  <si>
    <t>MRS.ADESOLA OLUBUKOLA BUNMI</t>
  </si>
  <si>
    <t>ANGLICAN GRAMMAR SCHOOL SNR OKENLA</t>
  </si>
  <si>
    <t>MRS. LADIPO-LIJADU MODUPE ENIOLA</t>
  </si>
  <si>
    <t>07084844650</t>
  </si>
  <si>
    <t>MR. LESI SIMEON OYEBANJO, MRS.SOLADEMIABIMBOLA ADERONKE</t>
  </si>
  <si>
    <t>08028994776, 07031165654</t>
  </si>
  <si>
    <t>COMM. HIGH SCH.(SNR) OJODU-ABIODUN</t>
  </si>
  <si>
    <t>ALHAJA (MRS) OGUNWOOLU,S.O</t>
  </si>
  <si>
    <t>07062674882</t>
  </si>
  <si>
    <t>MRS. ASEKUNOWO, G.O, MR. AJIBOSO,O.F</t>
  </si>
  <si>
    <t>08029148825, 07059178421</t>
  </si>
  <si>
    <t>IFO HIGH SCHOOL (SENIOR),IFO</t>
  </si>
  <si>
    <t>MR.FATOLU DAVID OLUSEGUN</t>
  </si>
  <si>
    <t>08035728414</t>
  </si>
  <si>
    <t>MR. OKELEYE ADETOLA,M.,MRS. ALAUSA GRACE O.</t>
  </si>
  <si>
    <t>08038408890, 08155034812</t>
  </si>
  <si>
    <t>ITOKI COMMUNITY HIGH  SCHOOL(SENIOR), ITOKI.</t>
  </si>
  <si>
    <t xml:space="preserve"> MRS.LASISI ABOLAJI OMOLARA</t>
  </si>
  <si>
    <t>MR.OGUNLEYE AYODEJI OLUWOLE</t>
  </si>
  <si>
    <t>PAKOTO HIGH SCHOOL (SENIOR), AYEDE</t>
  </si>
  <si>
    <t>MR. MATE ANTHONY OLUSIJI</t>
  </si>
  <si>
    <t>MR. FANIFOSIJACOB OLASUNKANMI, MRS. SOYOMBO KEMI ELIZABETH</t>
  </si>
  <si>
    <t>08068891617, 08038236898</t>
  </si>
  <si>
    <t>COKER AREA COMPREHENSIVE HIGH SCHOOL,COKER</t>
  </si>
  <si>
    <t>MR. FABIYI KOLAWOLE OLUGBENGA</t>
  </si>
  <si>
    <t>MR. AYOADE ADEMUYIWA SAMODI</t>
  </si>
  <si>
    <t>COMMUNITY HIGH SCHOOL AKUTE</t>
  </si>
  <si>
    <t>MRS. ADELAJA FOLUSO PHILIPPA</t>
  </si>
  <si>
    <t>08033645737</t>
  </si>
  <si>
    <t>MR. BABRINSA OLUMIDE AYINLA</t>
  </si>
  <si>
    <t>08024229152</t>
  </si>
  <si>
    <t>COMMUNITY HIGH SCHOOL, MOBOLUWADURO</t>
  </si>
  <si>
    <t>MRS. ODUNMBAKU AFOLAKEMI AJOKE</t>
  </si>
  <si>
    <t>MR. ODULARU OLUAGBENIYI DAMILARE, MRS.ISMAEL ABIOYEFUNMILAYO</t>
  </si>
  <si>
    <t>08037276480, 08035726655</t>
  </si>
  <si>
    <t xml:space="preserve">COMMUNITY HIGH SCHOOL, ODEWALE </t>
  </si>
  <si>
    <t>MR. BALOGUN ASIRU SAMUEL</t>
  </si>
  <si>
    <t>MR.ONIYIDE OLUSEGUN ABIOLA</t>
  </si>
  <si>
    <t>COMMUNITY HIGH SCHOOL,OKUNGBOLU</t>
  </si>
  <si>
    <t>MR. IGE BABATUNDE OLUSEYE</t>
  </si>
  <si>
    <t>MRS. JOHN DUPE, MR FOLORUNSO SUNDAY SEUN</t>
  </si>
  <si>
    <t>COMMUNITY HIGH SCHOOL, OLUKE</t>
  </si>
  <si>
    <t>ADEYI ADETOKUNBO OLADIMEJI</t>
  </si>
  <si>
    <t>MRS. ONI ABIGAEL KIKE</t>
  </si>
  <si>
    <t>IBOGUN COMPREHENSIVE HIGH SCHOOL,EGBEDA</t>
  </si>
  <si>
    <t>MR. SANUSI OLADOSU AJAO</t>
  </si>
  <si>
    <t>MRS ADEBOYE ESTHER ADERONKE</t>
  </si>
  <si>
    <t>MATOGBUN COMMUNITY HIGH SCHOOL</t>
  </si>
  <si>
    <t>MRS. ALABI OLUBUKANLA OMOTOKE</t>
  </si>
  <si>
    <t>08137364622</t>
  </si>
  <si>
    <t>MRS. AKANNI OLUDAYO KEHINDE</t>
  </si>
  <si>
    <t>08034928447</t>
  </si>
  <si>
    <t>OKEPATA COMMUNITY COMMUNITY HIGH SCHOOL,IFO</t>
  </si>
  <si>
    <t>MR. AROKODARE OLUSOLA GABRIEL</t>
  </si>
  <si>
    <t>MR.JEJEOLA PETER OLABODE,MR.AYILARA KILANI OJO</t>
  </si>
  <si>
    <t>8035770882 08033000000</t>
  </si>
  <si>
    <t>IGBORE ROBIYAN COMMUNITY HIGH SCHOOL, ROBIYAN</t>
  </si>
  <si>
    <t>MR AMAO JULIU FOLASAYO</t>
  </si>
  <si>
    <t>MR. IDOWU ISAAC ABIOYE</t>
  </si>
  <si>
    <t>OLAMBE COMMUNITY COMPREHENSIVE HIGH SCHOOL, OLAMBE</t>
  </si>
  <si>
    <t>MRS.FAKUNLE ADENIKE IYABO</t>
  </si>
  <si>
    <t>MRS.NDUKA RITY IJEOMA</t>
  </si>
  <si>
    <t>IBOGUN OLAOGUN COMMUNITY HIGH SCHOOL, IBOGUN OLAOGUN</t>
  </si>
  <si>
    <t>MR ADEYEMO TOYIN ABAYOMI</t>
  </si>
  <si>
    <t>MR. AKANJI DANIEL ADETUNJI</t>
  </si>
  <si>
    <t>IGBUSI COMPREHENSIVE HIGH SCHOOL, IGBUSI</t>
  </si>
  <si>
    <t>OLONADE MUIBAT LABAKE</t>
  </si>
  <si>
    <t>ADEYEMI MOYOSORE ABIDEMI</t>
  </si>
  <si>
    <t>ZONAL EDUCATION OFFICE, IPOKIA</t>
  </si>
  <si>
    <t>SITUATION REPORT ON SECONDARY SCHOOLS IN THE ZONE</t>
  </si>
  <si>
    <t>COMMUNITY COMMERCIAL HIGH SCHOOL, MAUN</t>
  </si>
  <si>
    <t>COMMUNITY JUNIOR SECONDARY SCHOOL, IPOKIA</t>
  </si>
  <si>
    <t>IKO GATEWAY GRAMMAR SCHOOL, IDIROKO</t>
  </si>
  <si>
    <t xml:space="preserve">OJUMO COMMUNITY SECONDARY SCHOOL IHUNBO </t>
  </si>
  <si>
    <t>COMMUNITY HIGH SCHOOL, TUBE</t>
  </si>
  <si>
    <t>AGOSASA COMMUNITY SECONDARY, AGOSASA</t>
  </si>
  <si>
    <t>IGIRI HIGH SCHOOL,  IJOFIN</t>
  </si>
  <si>
    <t xml:space="preserve">ALAARI HIGH SCHOOL, ALAARI </t>
  </si>
  <si>
    <t>IMOTU COMMUNITY COMMERCIAL ACADEMY, IFONYINTEDO</t>
  </si>
  <si>
    <t>COMMUNITY SECONDARY SCHOOL, IPOKIA</t>
  </si>
  <si>
    <t>AGUDE COMMUNIITY HIGH SCHOOL, ONIRO</t>
  </si>
  <si>
    <t xml:space="preserve">DISTRICT HIGH SCHOOL, IPOKIA </t>
  </si>
  <si>
    <t>OGBE COMMUNITY HIGH SCHOOL, MEDE-AJEGUNLE</t>
  </si>
  <si>
    <t>TAYESE COMMUNITY SECONDARY SCHOOL, IBATEFIN</t>
  </si>
  <si>
    <t>COMMUNITY HIGH SCHOOL, AGADA</t>
  </si>
  <si>
    <t>MAYIGI COMMUNITY COMPREHENSIVE HIGH SCHOOL, ILASE</t>
  </si>
  <si>
    <t>ZONE: ____________________________________________</t>
  </si>
  <si>
    <t>COMPREHENSIVE HIGH SCHOOL (JNR) IJEBU IFE</t>
  </si>
  <si>
    <t>ITELE HIGH SCHOOL (JNR) ITELE IJEBU</t>
  </si>
  <si>
    <t>ST. ANTHONY'S GRAMMAR SCHOOL(JNR) ESURE IJEBU IMUSIN</t>
  </si>
  <si>
    <t>ST. BRENDAN'S GRAMMAR SCHOOL(JNR)OGBERE</t>
  </si>
  <si>
    <t>COMPREHENSIVE HIGH SCHOOL (SNR) IJEBU IFE</t>
  </si>
  <si>
    <t>ITELE HIGH SCHOOL (SNR) ITELE IJEBU</t>
  </si>
  <si>
    <t>ST. ANTHONY'S GRAMMAR SCHOOL (SNR) ESURE IJEBU IMUSIN</t>
  </si>
  <si>
    <t>ST. BRENDAN'S GRAMMAR SCHOOL (SNR)OGBERE</t>
  </si>
  <si>
    <t>PLANTATION HIGH SCHOOL, AREA J4</t>
  </si>
  <si>
    <t>COMPREHENSIVE HIGH SCHOOL, IJEBU IMUSIN</t>
  </si>
  <si>
    <t>AJEBANDELE HIGH SCHOOL, AJEBANDELE J4</t>
  </si>
  <si>
    <t>COMMUNITY COMPREHENSIVE HIGH SCHOOL, J4/J6</t>
  </si>
  <si>
    <t>COMMUNITY GRAMMAR SCHOOL, OWU/IKIJA</t>
  </si>
  <si>
    <t>OKE-IMOBI COMMUNITY GRAMMAR SCHOOL, TERELU-IMOBI</t>
  </si>
  <si>
    <t>EHIN-OSUN COMMUNITY HIGH SCHOOL, EGBEDA-OJELANA</t>
  </si>
  <si>
    <t>IMOBI COMMUNITY HIGH SCHOOL, OKE-IGBAGA</t>
  </si>
  <si>
    <t>COMMUNITY GRAMMAR SCHOOL, IJEBU - IFE</t>
  </si>
  <si>
    <t>AWOTUNDE HIGH SCHOOL, EHIN-OSUN</t>
  </si>
  <si>
    <t xml:space="preserve">COMMUNITY HIGH SCHOOL, OLOOJI AREA J4 </t>
  </si>
  <si>
    <t>SUB TOTAL</t>
  </si>
  <si>
    <t>ZONAL EDUCATION OFFICE, ODOGBOLU</t>
  </si>
  <si>
    <t xml:space="preserve">SITUATION REPORT ON SECONDARY SCHOOLS </t>
  </si>
  <si>
    <t>ANGLICAN COMPREHENSIVE HIGH SCHOOL, IKOTO SNR</t>
  </si>
  <si>
    <t>MULTILATERAL GRAMMAR SCHOOL, OKUN-OWA</t>
  </si>
  <si>
    <t>OSOSA COMPREHENSIVE HIGH SCHOOL, OSOSA</t>
  </si>
  <si>
    <t>ODOGBOLU COMPREHENSIVE HIGH SCHOOL,ODOGBOLU</t>
  </si>
  <si>
    <t>ODOGBOLU GRAMMAR SCHOOL, ODOGBOLU</t>
  </si>
  <si>
    <t>OMU-AJOSE COMPREHENSIVE HIGH SCHOOL, ODOGBOLU</t>
  </si>
  <si>
    <t>IBEFUN/ILADO COMPREHENSIVE HIGH SCHOOL, IBEFUN</t>
  </si>
  <si>
    <t>ODUA COMPREHENSIVE HIGH SCHOOL, IMORU</t>
  </si>
  <si>
    <t>ANGLICAN COMPREHENSIVE HIGH SCHOOL, IKOTO</t>
  </si>
  <si>
    <t>AIYEPE COMPREHENSIVE HIGH SCHOOL, AIYEPE</t>
  </si>
  <si>
    <t>IDOWA COMPREHENSIVE HIGH SCHOOL, IDOWA</t>
  </si>
  <si>
    <t>IGBILE COMMUNITY HIGH SCHOOL, IGBILE</t>
  </si>
  <si>
    <t>IJEBU SOUNTHERN DISTRICT GRAMMAR SCHOOL, ALA</t>
  </si>
  <si>
    <t>OGBO COMMUNITY COMPREHENSIVE HIGH SCHOOL, OGBO</t>
  </si>
  <si>
    <t>IFESOWAPO COMPREHENSIVE HIGH SCHOOL</t>
  </si>
  <si>
    <t>IKANGBA COMPREHENSIVE HIGH SCHOOL, IKANGBA</t>
  </si>
  <si>
    <t>IMODI-IJASI COMPREHENSIVE HIGH SCHOOL, IMODI</t>
  </si>
  <si>
    <t>MORAIKA COMPREHENSIVE HIGH SCHOOL, ATIBA</t>
  </si>
  <si>
    <t>IMAGBON/IMAKA COMPREHENSIVE HIGH SCHOOL, IMAGBO</t>
  </si>
  <si>
    <t>TITILAYO AGBAJE MEMORIAL COMPREHENSIVE HIGH SCHOOL, IMOSAN</t>
  </si>
  <si>
    <t>MINIDTRY OF EDUCATION, SCIENCE &amp; TECHNOLOGY</t>
  </si>
  <si>
    <t>NAME OF SCHOOL (SENIOR)</t>
  </si>
  <si>
    <t>ADEOLA ODUTOLA COLLEGE</t>
  </si>
  <si>
    <t>ANGLICAN GIRLS GRAMMAR SCHOOL</t>
  </si>
  <si>
    <t>ANSAR-UD-DEEN HIGH SCHOOL, IJEBU-ODE</t>
  </si>
  <si>
    <t>CHRIST CHURCH HIGH SCHOOL, SABO</t>
  </si>
  <si>
    <t>IJEBU MUSLIM COLLEGE, I-ODE</t>
  </si>
  <si>
    <t>IJEBU-ODE GRAMMAR SCHOOL, I-ODE</t>
  </si>
  <si>
    <t>LUBA COMPREHENSIVE SCHOOL</t>
  </si>
  <si>
    <t>MOLIPA HIGH SCHOOL, I-ODE</t>
  </si>
  <si>
    <t>MOSLEM COMPREHENSIVE HIGH SCHOOL</t>
  </si>
  <si>
    <t>MUSLIM GIRLS HIGH SCHOOL, I-ODE</t>
  </si>
  <si>
    <t>OUR LADY OF APOSTLES SECONDARY SCHOOL</t>
  </si>
  <si>
    <t xml:space="preserve">                     JUNIOR SCHOOLS</t>
  </si>
  <si>
    <t>ANGLICAN GIRLS GRAM. SCH.</t>
  </si>
  <si>
    <t>ANSAR-UD-DEEN HIGH. SCH. I-ODE</t>
  </si>
  <si>
    <t>CHRIST CHURCH HIGH SCHOOL</t>
  </si>
  <si>
    <t>IJEBU-ODE GRAM. SCH.</t>
  </si>
  <si>
    <t>LUBA COMP. HIGH SCHOOL</t>
  </si>
  <si>
    <t>MOLIPA HIGH SCHOOL</t>
  </si>
  <si>
    <t>MOSLEM COMP. HIGH SCHOOL</t>
  </si>
  <si>
    <t>MUSLIM GIRLS HIGH SCH.</t>
  </si>
  <si>
    <t xml:space="preserve">                 COMBINED SCHOOLS</t>
  </si>
  <si>
    <t>ANSAR-UD-DEEN HIGH SCHOOL, ISINWO</t>
  </si>
  <si>
    <t>GOVERNMENT SCIENCE &amp; TECHNICAL COLLEGE</t>
  </si>
  <si>
    <t>OBAFEMI AWOLOWO COMP. HIGH SCHOOL, ODONOKO</t>
  </si>
  <si>
    <t/>
  </si>
  <si>
    <t>NUMBER OF SCHOOLS</t>
  </si>
  <si>
    <t>NUMBER OF PRINCIPALS</t>
  </si>
  <si>
    <t>TOTAL NUMBER OF SCHOOLS</t>
  </si>
  <si>
    <t xml:space="preserve">         GRAND TOTAL NUMBER OF LEARNERS</t>
  </si>
  <si>
    <t xml:space="preserve">            SITUATION REPORT OF SECONDARY SCHOOL BY ZONES </t>
  </si>
  <si>
    <t>MINISTRY OF EDUCATION, SCIENCE AND TECHNOLOGY, OKE MOSAN, ABEOKUTA,</t>
  </si>
  <si>
    <t>ZONAL EDUCATION OFFICE, ADO-ODO-OTA,</t>
  </si>
  <si>
    <t>SITUATION REPORT ON PUBLIC SECONDARY SCHOOLS.</t>
  </si>
  <si>
    <t>ADO-ODO HIGH SCHOOL (JUNIOR), ADO-ODO</t>
  </si>
  <si>
    <t>AGBARA COMMUNITY JUNIOR HIGH SCHOOL, EDU</t>
  </si>
  <si>
    <t>AJOGBO GRAMMAR SCHOOL (JUNIOR)</t>
  </si>
  <si>
    <t>ALAMUWA GRAMMAR SCHOOL (JUNIOR) ADO ODO</t>
  </si>
  <si>
    <t>ANGLICAN GRAMMAR SCHOOL (JUNIOR), OTA</t>
  </si>
  <si>
    <t>ANSAR-UD-DEEN. COMPREHENSIVE COLLEGE (JUNIOR) OTA</t>
  </si>
  <si>
    <t>ANSAR-UD-DEEN. COMPREHENSIVE HIGH SCHOOL (SENIOR) LAFENWA, OTA.</t>
  </si>
  <si>
    <t>COMMUNITY HIGH SCHOOL JUNIOR, ALAPOTI</t>
  </si>
  <si>
    <t>COMMUNITY HIGH SCHOOL JUNIOR, IROKO OTA.</t>
  </si>
  <si>
    <t>IGANMODE GRAMMAR SCHOOL (JUNIOR) OTA</t>
  </si>
  <si>
    <t>IGBESA  HIGH SCHOOL(JUNIOR) IGBESA.</t>
  </si>
  <si>
    <t>IJU EBIYE HIGH SCHOOL (SENIOR), IJU, OTA</t>
  </si>
  <si>
    <t>LOCAL GOVERNMENT SECONDARY COMMERCIAL SCHOOL [JNR] ATAN.</t>
  </si>
  <si>
    <t>MALE COMPREHENSIVE HIGH SCHOOL(JUNIOR) IGBESA.</t>
  </si>
  <si>
    <t>SANGO OTA HIGH SCHOOL, (JNR) SANGO OTA</t>
  </si>
  <si>
    <t>ST. STEPHEN COMPREHENSIVE HIGH SCHOOL(JUNIOR) ADO-ODO.</t>
  </si>
  <si>
    <t>UNITY HIGH SCHOOL (JUNIOR) IJOKO-OTA</t>
  </si>
  <si>
    <t>UNITY HIGH SCHOOL (JUNIOR) KAJOLA IBOORO</t>
  </si>
  <si>
    <t>ADO-ODO HIGH SCHOOL (SENIOR), ADO-ODO</t>
  </si>
  <si>
    <t>AGBARA COMMUNITY SENIOR HIGH SCHOOL, EDU</t>
  </si>
  <si>
    <t>AJOGBO GRAMMAR SCHOOL (SENIOR)</t>
  </si>
  <si>
    <t>ALAMUWA GRAMMAR SCHOOL (SENIOR) ADO ODO</t>
  </si>
  <si>
    <t>ANGLICAN GRAMMAR SCHOOL (SENIOR), OTA</t>
  </si>
  <si>
    <t>ANSAR-UD-DEEN. COMPREHENSIVE COLLEGE (SENIOR) OTA</t>
  </si>
  <si>
    <t>COMMUNITY HIGH SCHOOL SENIOR, ALAPOTI</t>
  </si>
  <si>
    <t>COMMUNITY HIGH SCHOOL SNR, IROKO OTA.</t>
  </si>
  <si>
    <t>IGANMODE GRAMMAR SCHOOL (SENIOR) OTA</t>
  </si>
  <si>
    <t>IGBESA  HIGH SCHOOL(SENIOR) IGBESA.</t>
  </si>
  <si>
    <t>LOCAL GOVERNMENT SECONDARY COMMERCIAL SCHOOL [SNR] ATAN.</t>
  </si>
  <si>
    <t>MALE COMPREHENSIVE HIGH SCHOOL(SENIOR) IGBESA.</t>
  </si>
  <si>
    <t>SANGO OTA HIGH SCHOOL, (SNR) SANGO OTA</t>
  </si>
  <si>
    <t>ST. STEPHEN COMPREHENSIVE HIGH SCHOOL(SENIOR) ADO-ODO.</t>
  </si>
  <si>
    <t>UNITY HIGH SCHOOL (SENIOR) IJOKO-OTA</t>
  </si>
  <si>
    <t>UNITY HIGH SCHOOL (SENIOR) KAJOLA IBOORO</t>
  </si>
  <si>
    <t>ADIE OWE COMM HIGH SCHOOL</t>
  </si>
  <si>
    <t>AFRICAN CHURCH COMM. H. SCHOOL</t>
  </si>
  <si>
    <t>AGBARA GRAMMAR SCHOOL, AGBARA</t>
  </si>
  <si>
    <t>ANSAR-UD DEEN COMPRE COLLEGE,ITELE</t>
  </si>
  <si>
    <t>ARAROMI COMMUNITY HIGH SCHOOL, ORITA</t>
  </si>
  <si>
    <t>COMMUNITY HIGH SCHOOL,IGBALA</t>
  </si>
  <si>
    <t>EJILA AWORI COMMUNITY SECONDARY SCHOOL, OTA.</t>
  </si>
  <si>
    <t>GOVERNMENT SCIENCE AND TECHNICAL COLLEGE, IGBESA.</t>
  </si>
  <si>
    <t>ILOGBO ASOWO COMMUNITY HIGH SCH</t>
  </si>
  <si>
    <t>IYESI-OTA HIGH SCHOOL,IYESI  -OTA SITUATION REPORT ON PUBLIC SEC. SCHOOLS.</t>
  </si>
  <si>
    <t>ST MICHAEL'S HIGH SCHOOL,OTA</t>
  </si>
  <si>
    <t>TOYON HIGH SCHOOL, ERE</t>
  </si>
  <si>
    <t>COMMUNITY SEC OKO BAALE</t>
  </si>
  <si>
    <t>GBENOPO COMMUNITY GRAMMAR SCHOOL,BANDU</t>
  </si>
  <si>
    <t>OWODE OTA GRAMMAR SCHOOL, IJAKO.</t>
  </si>
  <si>
    <t>OKE-ORE GRAMMAR SCHOOL</t>
  </si>
  <si>
    <t>YEMAA COMMUNITY  SITUATION REPORT ON PUBLIC SEC. SCHOOLS.</t>
  </si>
  <si>
    <t>LIST OF PUBLIC SCHOOLS IN 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</si>
</sst>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&quot;₦&quot;#,##0.00"/>
    <numFmt numFmtId="165" formatCode="_-* #,##0_-;\-* #,##0_-;_-* &quot;-&quot;??_-;_-@_-"/>
  </numFmts>
  <fonts count="159">
    <font>
      <sz val="10"/>
      <color rgb="FF000000"/>
      <name val="Times New Roman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5"/>
      <name val="Calibri"/>
      <family val="2"/>
    </font>
    <font>
      <b/>
      <sz val="16"/>
      <name val="Arial"/>
      <family val="2"/>
    </font>
    <font>
      <sz val="16"/>
      <color rgb="FF000000"/>
      <name val="Times New Roman"/>
      <family val="1"/>
    </font>
    <font>
      <b/>
      <sz val="14"/>
      <name val="Arial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0"/>
      <name val="Arial"/>
      <family val="2"/>
    </font>
    <font>
      <sz val="10"/>
      <color rgb="FF000000"/>
      <name val="Times New Roman"/>
      <family val="1"/>
    </font>
    <font>
      <b/>
      <sz val="14"/>
      <color rgb="FF000000"/>
      <name val="Arial"/>
      <family val="2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Calibri"/>
      <family val="2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Times New Roman"/>
      <family val="1"/>
    </font>
    <font>
      <b/>
      <sz val="14"/>
      <name val="Calibri"/>
      <family val="2"/>
    </font>
    <font>
      <sz val="14"/>
      <name val="Arial"/>
      <family val="2"/>
    </font>
    <font>
      <sz val="16"/>
      <color rgb="FF000000"/>
      <name val="Arial"/>
      <family val="2"/>
    </font>
    <font>
      <b/>
      <sz val="14"/>
      <name val="Arabic Typesetting"/>
      <family val="4"/>
    </font>
    <font>
      <b/>
      <sz val="18"/>
      <name val="Arabic Typesetting"/>
      <family val="4"/>
    </font>
    <font>
      <sz val="9"/>
      <color rgb="FF000000"/>
      <name val="Times New Roman"/>
      <family val="1"/>
    </font>
    <font>
      <b/>
      <sz val="8"/>
      <name val="Calibri"/>
      <family val="2"/>
    </font>
    <font>
      <b/>
      <sz val="12"/>
      <name val="Calibri"/>
      <family val="2"/>
    </font>
    <font>
      <sz val="8"/>
      <color rgb="FF000000"/>
      <name val="Times New Roman"/>
      <family val="1"/>
    </font>
    <font>
      <sz val="20"/>
      <color rgb="FF000000"/>
      <name val="Times New Roman"/>
      <family val="1"/>
    </font>
    <font>
      <b/>
      <sz val="26"/>
      <color rgb="FF000000"/>
      <name val="Times New Roman"/>
      <family val="1"/>
    </font>
    <font>
      <sz val="18"/>
      <color rgb="FF000000"/>
      <name val="Times New Roman"/>
      <family val="1"/>
    </font>
    <font>
      <b/>
      <sz val="24"/>
      <name val="Calibri"/>
      <family val="2"/>
    </font>
    <font>
      <sz val="22"/>
      <color rgb="FF000000"/>
      <name val="Times New Roman"/>
      <family val="1"/>
    </font>
    <font>
      <sz val="24"/>
      <color rgb="FF000000"/>
      <name val="Times New Roman"/>
      <family val="1"/>
    </font>
    <font>
      <b/>
      <sz val="14"/>
      <color rgb="FF000000"/>
      <name val="Tahoma"/>
      <family val="2"/>
    </font>
    <font>
      <b/>
      <sz val="22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36"/>
      <color rgb="FF000000"/>
      <name val="Times New Roman"/>
      <family val="1"/>
    </font>
    <font>
      <b/>
      <sz val="48"/>
      <color rgb="FF000000"/>
      <name val="Tahoma"/>
      <family val="2"/>
    </font>
    <font>
      <b/>
      <sz val="20"/>
      <name val="Arial"/>
      <family val="2"/>
    </font>
    <font>
      <b/>
      <sz val="20"/>
      <color rgb="FF000000"/>
      <name val="Arial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22"/>
      <name val="Calibri"/>
      <family val="2"/>
    </font>
    <font>
      <sz val="26"/>
      <color rgb="FF000000"/>
      <name val="Times New Roman"/>
      <family val="1"/>
    </font>
    <font>
      <b/>
      <sz val="28"/>
      <color rgb="FF000000"/>
      <name val="Times New Roman"/>
      <family val="1"/>
    </font>
    <font>
      <b/>
      <sz val="48"/>
      <color rgb="FF000000"/>
      <name val="Times New Roman"/>
      <family val="1"/>
    </font>
    <font>
      <sz val="36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"/>
      <family val="2"/>
    </font>
    <font>
      <b/>
      <sz val="18"/>
      <name val="Arial"/>
      <family val="2"/>
    </font>
    <font>
      <sz val="20"/>
      <color rgb="FF000000"/>
      <name val="Arial"/>
      <family val="2"/>
    </font>
    <font>
      <b/>
      <sz val="22"/>
      <name val="Arial"/>
      <family val="2"/>
    </font>
    <font>
      <b/>
      <sz val="22"/>
      <color rgb="FF000000"/>
      <name val="Arial"/>
      <family val="2"/>
    </font>
    <font>
      <sz val="22"/>
      <name val="Arial"/>
      <family val="2"/>
    </font>
    <font>
      <b/>
      <sz val="28"/>
      <name val="Arial"/>
      <family val="2"/>
    </font>
    <font>
      <b/>
      <sz val="28"/>
      <color rgb="FF000000"/>
      <name val="Arial"/>
      <family val="2"/>
    </font>
    <font>
      <sz val="28"/>
      <color rgb="FF000000"/>
      <name val="Arial"/>
      <family val="2"/>
    </font>
    <font>
      <b/>
      <sz val="18"/>
      <color rgb="FF000000"/>
      <name val="Arial"/>
      <family val="2"/>
    </font>
    <font>
      <sz val="18"/>
      <name val="Arial"/>
      <family val="2"/>
    </font>
    <font>
      <b/>
      <sz val="24"/>
      <name val="Arabic Typesetting"/>
      <family val="4"/>
    </font>
    <font>
      <b/>
      <sz val="72"/>
      <color rgb="FF000000"/>
      <name val="Times New Roman"/>
      <family val="1"/>
    </font>
    <font>
      <b/>
      <sz val="36"/>
      <color rgb="FF000000"/>
      <name val="Arial"/>
      <family val="2"/>
    </font>
    <font>
      <b/>
      <sz val="36"/>
      <name val="Arial"/>
      <family val="2"/>
    </font>
    <font>
      <sz val="36"/>
      <color rgb="FF000000"/>
      <name val="Arial"/>
      <family val="2"/>
    </font>
    <font>
      <b/>
      <sz val="20"/>
      <name val="Comic Sans MS"/>
      <family val="4"/>
    </font>
    <font>
      <b/>
      <sz val="20"/>
      <color rgb="FF000000"/>
      <name val="Comic Sans MS"/>
      <family val="2"/>
    </font>
    <font>
      <b/>
      <sz val="72"/>
      <color rgb="FF000000"/>
      <name val="Tahoma"/>
      <family val="2"/>
    </font>
    <font>
      <b/>
      <sz val="150"/>
      <color rgb="FF000000"/>
      <name val="Tahoma"/>
      <family val="2"/>
    </font>
    <font>
      <b/>
      <sz val="100"/>
      <color rgb="FF000000"/>
      <name val="Tahoma"/>
      <family val="2"/>
    </font>
    <font>
      <b/>
      <sz val="84"/>
      <color rgb="FF000000"/>
      <name val="Tahoma"/>
      <family val="2"/>
    </font>
    <font>
      <b/>
      <sz val="65"/>
      <color rgb="FF000000"/>
      <name val="Tahoma"/>
      <family val="2"/>
    </font>
    <font>
      <b/>
      <sz val="8"/>
      <name val="Arial"/>
      <family val="2"/>
    </font>
    <font>
      <b/>
      <sz val="68"/>
      <color rgb="FF000000"/>
      <name val="Tahoma"/>
      <family val="2"/>
    </font>
    <font>
      <b/>
      <sz val="100"/>
      <color rgb="FF000000"/>
      <name val="Times New Roman"/>
      <family val="1"/>
    </font>
    <font>
      <b/>
      <sz val="9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Arial Narrow"/>
      <family val="2"/>
    </font>
    <font>
      <sz val="20"/>
      <color rgb="FF000000"/>
      <name val="Arial Narrow"/>
      <family val="2"/>
    </font>
    <font>
      <b/>
      <sz val="20"/>
      <color theme="1"/>
      <name val="Arial Narrow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3"/>
      <color theme="1"/>
      <name val="Arial Narrow"/>
      <family val="2"/>
    </font>
    <font>
      <b/>
      <sz val="13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1"/>
      <name val="Calibri"/>
    </font>
    <font>
      <sz val="11"/>
      <name val="Calibri"/>
      <charset val="134"/>
    </font>
    <font>
      <sz val="11"/>
      <color rgb="FF000000"/>
      <name val="Calibri"/>
      <charset val="134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rial Black"/>
      <family val="2"/>
    </font>
    <font>
      <b/>
      <sz val="16"/>
      <name val="Arial Black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name val="Arial Narrow"/>
      <family val="2"/>
    </font>
    <font>
      <b/>
      <sz val="11"/>
      <name val="Arial Narrow"/>
      <family val="2"/>
    </font>
    <font>
      <b/>
      <sz val="14"/>
      <name val="Arial Narrow"/>
      <family val="2"/>
    </font>
    <font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0"/>
      <color theme="1"/>
      <name val="Calibri"/>
      <family val="2"/>
      <scheme val="minor"/>
    </font>
    <font>
      <sz val="12"/>
      <color rgb="FF000000"/>
      <name val="Tahoma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36"/>
      <color theme="1"/>
      <name val="Calibri"/>
      <family val="2"/>
      <charset val="1"/>
      <scheme val="minor"/>
    </font>
    <font>
      <sz val="24"/>
      <color theme="1"/>
      <name val="Calibri"/>
      <family val="2"/>
      <charset val="1"/>
      <scheme val="minor"/>
    </font>
    <font>
      <sz val="10"/>
      <color rgb="FF000000"/>
      <name val="Times New Roman"/>
      <charset val="204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sz val="22"/>
      <color indexed="8"/>
      <name val="Calibri"/>
      <family val="2"/>
    </font>
    <font>
      <sz val="11"/>
      <name val="Calibri"/>
      <family val="2"/>
    </font>
    <font>
      <sz val="16"/>
      <color rgb="FF000000"/>
      <name val="Arial Narrow"/>
      <family val="2"/>
    </font>
    <font>
      <sz val="11"/>
      <color rgb="FF000000"/>
      <name val="Calibri"/>
      <family val="2"/>
    </font>
    <font>
      <sz val="12"/>
      <color rgb="FF000000"/>
      <name val="Arial Narrow"/>
      <family val="2"/>
    </font>
    <font>
      <sz val="12"/>
      <color indexed="8"/>
      <name val="Calibri"/>
      <family val="2"/>
    </font>
    <font>
      <b/>
      <sz val="16"/>
      <color rgb="FF000000"/>
      <name val="Arial Narrow"/>
      <family val="2"/>
    </font>
    <font>
      <b/>
      <sz val="120"/>
      <color rgb="FF000000"/>
      <name val="Tahoma"/>
      <family val="2"/>
    </font>
    <font>
      <b/>
      <sz val="14"/>
      <color rgb="FF000000"/>
      <name val="Arial Narrow"/>
      <family val="2"/>
    </font>
    <font>
      <b/>
      <sz val="130"/>
      <color rgb="FF000000"/>
      <name val="Tahoma"/>
      <family val="2"/>
    </font>
    <font>
      <b/>
      <sz val="95"/>
      <color rgb="FF000000"/>
      <name val="Tahoma"/>
      <family val="2"/>
    </font>
    <font>
      <b/>
      <sz val="95"/>
      <color rgb="FF000000"/>
      <name val="Times New Roman"/>
      <family val="1"/>
    </font>
    <font>
      <sz val="16"/>
      <name val="Calibri"/>
      <family val="2"/>
    </font>
    <font>
      <sz val="18"/>
      <name val="Calibri"/>
      <family val="2"/>
    </font>
    <font>
      <sz val="16"/>
      <color rgb="FF000000"/>
      <name val="Calibri"/>
      <family val="2"/>
    </font>
    <font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6" tint="0.79998168889431442"/>
        <bgColor indexed="64"/>
      </patternFill>
    </fill>
  </fills>
  <borders count="13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7" fillId="0" borderId="0"/>
    <xf numFmtId="0" fontId="6" fillId="0" borderId="0"/>
    <xf numFmtId="0" fontId="110" fillId="0" borderId="0">
      <alignment vertical="center"/>
    </xf>
    <xf numFmtId="0" fontId="111" fillId="0" borderId="0">
      <protection locked="0"/>
    </xf>
    <xf numFmtId="0" fontId="112" fillId="0" borderId="0">
      <protection locked="0"/>
    </xf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3" fillId="0" borderId="0"/>
    <xf numFmtId="0" fontId="1" fillId="0" borderId="0"/>
    <xf numFmtId="43" fontId="140" fillId="0" borderId="0" applyFont="0" applyFill="0" applyBorder="0" applyAlignment="0" applyProtection="0"/>
  </cellStyleXfs>
  <cellXfs count="1893">
    <xf numFmtId="0" fontId="0" fillId="0" borderId="0" xfId="0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164" fontId="18" fillId="0" borderId="14" xfId="0" applyNumberFormat="1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15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right" vertical="top" wrapText="1"/>
    </xf>
    <xf numFmtId="0" fontId="12" fillId="4" borderId="4" xfId="0" applyFont="1" applyFill="1" applyBorder="1" applyAlignment="1">
      <alignment horizontal="center" vertical="top" wrapText="1"/>
    </xf>
    <xf numFmtId="1" fontId="17" fillId="4" borderId="4" xfId="0" applyNumberFormat="1" applyFont="1" applyFill="1" applyBorder="1" applyAlignment="1">
      <alignment horizontal="center" vertical="center" shrinkToFit="1"/>
    </xf>
    <xf numFmtId="1" fontId="17" fillId="4" borderId="4" xfId="0" applyNumberFormat="1" applyFont="1" applyFill="1" applyBorder="1" applyAlignment="1">
      <alignment horizontal="right" vertical="center" shrinkToFit="1"/>
    </xf>
    <xf numFmtId="164" fontId="22" fillId="4" borderId="14" xfId="0" applyNumberFormat="1" applyFont="1" applyFill="1" applyBorder="1" applyAlignment="1">
      <alignment horizontal="center" vertical="top"/>
    </xf>
    <xf numFmtId="0" fontId="19" fillId="4" borderId="0" xfId="0" applyFont="1" applyFill="1" applyBorder="1" applyAlignment="1">
      <alignment horizontal="left" vertical="top"/>
    </xf>
    <xf numFmtId="0" fontId="13" fillId="4" borderId="0" xfId="0" applyFont="1" applyFill="1" applyBorder="1" applyAlignment="1">
      <alignment horizontal="left" vertical="top"/>
    </xf>
    <xf numFmtId="0" fontId="12" fillId="4" borderId="4" xfId="0" applyFont="1" applyFill="1" applyBorder="1" applyAlignment="1">
      <alignment horizontal="left" vertical="top" wrapText="1"/>
    </xf>
    <xf numFmtId="1" fontId="17" fillId="4" borderId="4" xfId="0" applyNumberFormat="1" applyFont="1" applyFill="1" applyBorder="1" applyAlignment="1">
      <alignment horizontal="left" vertical="center" shrinkToFit="1"/>
    </xf>
    <xf numFmtId="1" fontId="17" fillId="4" borderId="4" xfId="0" applyNumberFormat="1" applyFont="1" applyFill="1" applyBorder="1" applyAlignment="1">
      <alignment horizontal="center" vertical="top" shrinkToFit="1"/>
    </xf>
    <xf numFmtId="1" fontId="17" fillId="4" borderId="4" xfId="0" applyNumberFormat="1" applyFont="1" applyFill="1" applyBorder="1" applyAlignment="1">
      <alignment horizontal="left" vertical="top" shrinkToFit="1"/>
    </xf>
    <xf numFmtId="1" fontId="17" fillId="4" borderId="4" xfId="0" applyNumberFormat="1" applyFont="1" applyFill="1" applyBorder="1" applyAlignment="1">
      <alignment horizontal="right" vertical="top" shrinkToFit="1"/>
    </xf>
    <xf numFmtId="0" fontId="13" fillId="4" borderId="2" xfId="0" applyFont="1" applyFill="1" applyBorder="1" applyAlignment="1">
      <alignment horizontal="left" vertical="center" wrapText="1"/>
    </xf>
    <xf numFmtId="164" fontId="26" fillId="4" borderId="14" xfId="0" applyNumberFormat="1" applyFont="1" applyFill="1" applyBorder="1" applyAlignment="1">
      <alignment horizontal="left" vertical="top"/>
    </xf>
    <xf numFmtId="0" fontId="10" fillId="4" borderId="4" xfId="0" applyFont="1" applyFill="1" applyBorder="1" applyAlignment="1">
      <alignment horizontal="righ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1" fontId="25" fillId="4" borderId="4" xfId="0" applyNumberFormat="1" applyFont="1" applyFill="1" applyBorder="1" applyAlignment="1">
      <alignment horizontal="center" vertical="center" shrinkToFit="1"/>
    </xf>
    <xf numFmtId="1" fontId="25" fillId="4" borderId="4" xfId="0" applyNumberFormat="1" applyFont="1" applyFill="1" applyBorder="1" applyAlignment="1">
      <alignment horizontal="right" vertical="center" shrinkToFit="1"/>
    </xf>
    <xf numFmtId="1" fontId="25" fillId="4" borderId="4" xfId="0" applyNumberFormat="1" applyFont="1" applyFill="1" applyBorder="1" applyAlignment="1">
      <alignment horizontal="left" vertical="center" shrinkToFit="1"/>
    </xf>
    <xf numFmtId="0" fontId="12" fillId="4" borderId="4" xfId="0" applyFont="1" applyFill="1" applyBorder="1" applyAlignment="1">
      <alignment horizontal="left" vertical="top" wrapText="1" indent="1"/>
    </xf>
    <xf numFmtId="1" fontId="17" fillId="4" borderId="4" xfId="0" applyNumberFormat="1" applyFont="1" applyFill="1" applyBorder="1" applyAlignment="1">
      <alignment horizontal="left" vertical="center" indent="1" shrinkToFit="1"/>
    </xf>
    <xf numFmtId="0" fontId="13" fillId="4" borderId="8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left" vertical="top"/>
    </xf>
    <xf numFmtId="0" fontId="16" fillId="4" borderId="0" xfId="0" applyFont="1" applyFill="1" applyBorder="1" applyAlignment="1">
      <alignment horizontal="left" vertical="top"/>
    </xf>
    <xf numFmtId="0" fontId="13" fillId="4" borderId="4" xfId="0" applyFont="1" applyFill="1" applyBorder="1" applyAlignment="1">
      <alignment horizontal="left" wrapText="1"/>
    </xf>
    <xf numFmtId="0" fontId="0" fillId="0" borderId="14" xfId="0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 vertical="top"/>
    </xf>
    <xf numFmtId="1" fontId="17" fillId="4" borderId="5" xfId="0" applyNumberFormat="1" applyFont="1" applyFill="1" applyBorder="1" applyAlignment="1">
      <alignment horizontal="right" vertical="center" shrinkToFit="1"/>
    </xf>
    <xf numFmtId="1" fontId="17" fillId="4" borderId="5" xfId="0" applyNumberFormat="1" applyFont="1" applyFill="1" applyBorder="1" applyAlignment="1">
      <alignment horizontal="center" vertical="center" shrinkToFit="1"/>
    </xf>
    <xf numFmtId="0" fontId="24" fillId="4" borderId="0" xfId="0" applyFont="1" applyFill="1" applyBorder="1" applyAlignment="1">
      <alignment vertical="top" wrapText="1"/>
    </xf>
    <xf numFmtId="0" fontId="12" fillId="4" borderId="4" xfId="0" applyFont="1" applyFill="1" applyBorder="1" applyAlignment="1">
      <alignment horizontal="right" vertical="center" wrapText="1"/>
    </xf>
    <xf numFmtId="164" fontId="18" fillId="4" borderId="14" xfId="0" applyNumberFormat="1" applyFont="1" applyFill="1" applyBorder="1" applyAlignment="1">
      <alignment horizontal="left" vertical="top"/>
    </xf>
    <xf numFmtId="0" fontId="35" fillId="4" borderId="0" xfId="0" applyFont="1" applyFill="1" applyBorder="1" applyAlignment="1">
      <alignment horizontal="left" vertical="top"/>
    </xf>
    <xf numFmtId="0" fontId="29" fillId="4" borderId="0" xfId="0" applyFont="1" applyFill="1" applyBorder="1" applyAlignment="1">
      <alignment horizontal="left" vertical="top" wrapText="1"/>
    </xf>
    <xf numFmtId="0" fontId="29" fillId="4" borderId="14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64" fontId="18" fillId="4" borderId="24" xfId="0" applyNumberFormat="1" applyFont="1" applyFill="1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9" fillId="4" borderId="0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164" fontId="20" fillId="4" borderId="14" xfId="0" applyNumberFormat="1" applyFont="1" applyFill="1" applyBorder="1" applyAlignment="1">
      <alignment horizontal="left" vertical="top"/>
    </xf>
    <xf numFmtId="0" fontId="9" fillId="4" borderId="25" xfId="0" applyFont="1" applyFill="1" applyBorder="1" applyAlignment="1">
      <alignment horizontal="left" vertical="center"/>
    </xf>
    <xf numFmtId="0" fontId="27" fillId="4" borderId="25" xfId="0" applyFont="1" applyFill="1" applyBorder="1" applyAlignment="1">
      <alignment horizontal="left" vertical="center"/>
    </xf>
    <xf numFmtId="0" fontId="27" fillId="4" borderId="26" xfId="0" applyFont="1" applyFill="1" applyBorder="1" applyAlignment="1">
      <alignment horizontal="left" vertical="center"/>
    </xf>
    <xf numFmtId="1" fontId="17" fillId="4" borderId="5" xfId="0" applyNumberFormat="1" applyFont="1" applyFill="1" applyBorder="1" applyAlignment="1">
      <alignment horizontal="left" vertical="center" shrinkToFit="1"/>
    </xf>
    <xf numFmtId="0" fontId="38" fillId="0" borderId="0" xfId="0" applyFont="1" applyFill="1" applyBorder="1" applyAlignment="1">
      <alignment horizontal="left" vertical="top"/>
    </xf>
    <xf numFmtId="0" fontId="0" fillId="4" borderId="0" xfId="0" applyFill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top" wrapText="1" shrinkToFit="1"/>
    </xf>
    <xf numFmtId="0" fontId="26" fillId="4" borderId="35" xfId="0" applyFont="1" applyFill="1" applyBorder="1" applyAlignment="1">
      <alignment horizontal="center" vertical="top"/>
    </xf>
    <xf numFmtId="0" fontId="26" fillId="4" borderId="36" xfId="0" applyFont="1" applyFill="1" applyBorder="1" applyAlignment="1">
      <alignment horizontal="center" vertical="top"/>
    </xf>
    <xf numFmtId="0" fontId="26" fillId="4" borderId="0" xfId="0" applyFont="1" applyFill="1" applyBorder="1" applyAlignment="1">
      <alignment horizontal="center" vertical="top"/>
    </xf>
    <xf numFmtId="0" fontId="26" fillId="4" borderId="38" xfId="0" applyFont="1" applyFill="1" applyBorder="1" applyAlignment="1">
      <alignment horizontal="center" vertical="top"/>
    </xf>
    <xf numFmtId="0" fontId="26" fillId="4" borderId="40" xfId="0" applyFont="1" applyFill="1" applyBorder="1" applyAlignment="1">
      <alignment horizontal="center" vertical="top"/>
    </xf>
    <xf numFmtId="0" fontId="26" fillId="4" borderId="41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3" fillId="0" borderId="8" xfId="0" applyFont="1" applyFill="1" applyBorder="1" applyAlignment="1">
      <alignment horizontal="left" vertical="top"/>
    </xf>
    <xf numFmtId="0" fontId="13" fillId="4" borderId="0" xfId="0" applyFont="1" applyFill="1" applyBorder="1" applyAlignment="1">
      <alignment horizontal="left" vertical="top"/>
    </xf>
    <xf numFmtId="0" fontId="15" fillId="4" borderId="6" xfId="0" applyFont="1" applyFill="1" applyBorder="1" applyAlignment="1">
      <alignment horizontal="left" textRotation="90" wrapText="1"/>
    </xf>
    <xf numFmtId="0" fontId="9" fillId="4" borderId="42" xfId="0" applyFont="1" applyFill="1" applyBorder="1" applyAlignment="1">
      <alignment horizontal="left" vertical="center"/>
    </xf>
    <xf numFmtId="0" fontId="33" fillId="4" borderId="8" xfId="0" applyFont="1" applyFill="1" applyBorder="1" applyAlignment="1">
      <alignment horizontal="left" vertical="center"/>
    </xf>
    <xf numFmtId="0" fontId="33" fillId="4" borderId="0" xfId="0" applyFont="1" applyFill="1" applyBorder="1" applyAlignment="1">
      <alignment horizontal="left" vertical="center"/>
    </xf>
    <xf numFmtId="0" fontId="35" fillId="4" borderId="8" xfId="0" applyFont="1" applyFill="1" applyBorder="1" applyAlignment="1">
      <alignment horizontal="left" vertical="top" wrapText="1"/>
    </xf>
    <xf numFmtId="0" fontId="35" fillId="4" borderId="2" xfId="0" applyFont="1" applyFill="1" applyBorder="1" applyAlignment="1">
      <alignment horizontal="left" vertical="top" wrapText="1"/>
    </xf>
    <xf numFmtId="0" fontId="19" fillId="0" borderId="38" xfId="0" applyFont="1" applyFill="1" applyBorder="1" applyAlignment="1">
      <alignment horizontal="left" vertical="top"/>
    </xf>
    <xf numFmtId="0" fontId="20" fillId="0" borderId="37" xfId="0" applyFont="1" applyFill="1" applyBorder="1" applyAlignment="1">
      <alignment horizontal="left" vertical="top"/>
    </xf>
    <xf numFmtId="0" fontId="20" fillId="0" borderId="39" xfId="0" applyFont="1" applyFill="1" applyBorder="1" applyAlignment="1">
      <alignment horizontal="left" vertical="top"/>
    </xf>
    <xf numFmtId="0" fontId="19" fillId="0" borderId="40" xfId="0" applyFont="1" applyFill="1" applyBorder="1" applyAlignment="1">
      <alignment horizontal="left" vertical="top"/>
    </xf>
    <xf numFmtId="0" fontId="19" fillId="0" borderId="41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164" fontId="42" fillId="0" borderId="14" xfId="0" applyNumberFormat="1" applyFont="1" applyFill="1" applyBorder="1" applyAlignment="1">
      <alignment horizontal="left" vertical="top"/>
    </xf>
    <xf numFmtId="0" fontId="13" fillId="4" borderId="5" xfId="0" applyFont="1" applyFill="1" applyBorder="1" applyAlignment="1">
      <alignment horizontal="left" vertical="center" wrapText="1"/>
    </xf>
    <xf numFmtId="0" fontId="13" fillId="0" borderId="30" xfId="0" applyFont="1" applyFill="1" applyBorder="1" applyAlignment="1">
      <alignment horizontal="left" vertical="top"/>
    </xf>
    <xf numFmtId="0" fontId="13" fillId="4" borderId="0" xfId="0" applyFont="1" applyFill="1" applyBorder="1" applyAlignment="1">
      <alignment horizontal="left" vertical="top"/>
    </xf>
    <xf numFmtId="0" fontId="47" fillId="4" borderId="4" xfId="0" applyFont="1" applyFill="1" applyBorder="1" applyAlignment="1">
      <alignment horizontal="right" vertical="top" wrapText="1"/>
    </xf>
    <xf numFmtId="0" fontId="47" fillId="4" borderId="4" xfId="0" applyFont="1" applyFill="1" applyBorder="1" applyAlignment="1">
      <alignment horizontal="center" vertical="top" wrapText="1"/>
    </xf>
    <xf numFmtId="1" fontId="48" fillId="4" borderId="4" xfId="0" applyNumberFormat="1" applyFont="1" applyFill="1" applyBorder="1" applyAlignment="1">
      <alignment horizontal="center" vertical="center" shrinkToFit="1"/>
    </xf>
    <xf numFmtId="1" fontId="48" fillId="4" borderId="4" xfId="0" applyNumberFormat="1" applyFont="1" applyFill="1" applyBorder="1" applyAlignment="1">
      <alignment horizontal="right" vertical="center" shrinkToFit="1"/>
    </xf>
    <xf numFmtId="0" fontId="36" fillId="0" borderId="0" xfId="0" applyFont="1" applyFill="1" applyBorder="1" applyAlignment="1">
      <alignment horizontal="left" vertical="top"/>
    </xf>
    <xf numFmtId="0" fontId="38" fillId="4" borderId="0" xfId="0" applyFont="1" applyFill="1" applyBorder="1" applyAlignment="1">
      <alignment horizontal="left" vertical="top"/>
    </xf>
    <xf numFmtId="0" fontId="40" fillId="4" borderId="0" xfId="0" applyFont="1" applyFill="1" applyBorder="1" applyAlignment="1">
      <alignment horizontal="left" vertical="top"/>
    </xf>
    <xf numFmtId="164" fontId="53" fillId="0" borderId="14" xfId="0" applyNumberFormat="1" applyFont="1" applyFill="1" applyBorder="1" applyAlignment="1">
      <alignment horizontal="left" vertical="top"/>
    </xf>
    <xf numFmtId="164" fontId="43" fillId="4" borderId="14" xfId="0" applyNumberFormat="1" applyFont="1" applyFill="1" applyBorder="1" applyAlignment="1">
      <alignment horizontal="left" vertical="top"/>
    </xf>
    <xf numFmtId="4" fontId="0" fillId="0" borderId="0" xfId="0" applyNumberFormat="1" applyFill="1" applyBorder="1" applyAlignment="1">
      <alignment horizontal="left" vertical="top"/>
    </xf>
    <xf numFmtId="0" fontId="49" fillId="4" borderId="14" xfId="0" applyFont="1" applyFill="1" applyBorder="1" applyAlignment="1">
      <alignment horizontal="left" vertical="center"/>
    </xf>
    <xf numFmtId="0" fontId="38" fillId="4" borderId="14" xfId="0" applyFont="1" applyFill="1" applyBorder="1" applyAlignment="1">
      <alignment horizontal="left" vertical="top"/>
    </xf>
    <xf numFmtId="1" fontId="25" fillId="4" borderId="14" xfId="0" applyNumberFormat="1" applyFont="1" applyFill="1" applyBorder="1" applyAlignment="1">
      <alignment horizontal="center" vertical="center" shrinkToFit="1"/>
    </xf>
    <xf numFmtId="0" fontId="49" fillId="4" borderId="29" xfId="0" applyFont="1" applyFill="1" applyBorder="1" applyAlignment="1">
      <alignment horizontal="left" vertical="center"/>
    </xf>
    <xf numFmtId="0" fontId="49" fillId="4" borderId="31" xfId="0" applyFont="1" applyFill="1" applyBorder="1" applyAlignment="1">
      <alignment horizontal="left" vertical="center"/>
    </xf>
    <xf numFmtId="0" fontId="0" fillId="0" borderId="24" xfId="0" applyFill="1" applyBorder="1" applyAlignment="1">
      <alignment horizontal="left" vertical="top"/>
    </xf>
    <xf numFmtId="0" fontId="11" fillId="4" borderId="5" xfId="0" applyFont="1" applyFill="1" applyBorder="1" applyAlignment="1">
      <alignment horizontal="left" vertical="top" wrapText="1"/>
    </xf>
    <xf numFmtId="1" fontId="25" fillId="4" borderId="5" xfId="0" applyNumberFormat="1" applyFont="1" applyFill="1" applyBorder="1" applyAlignment="1">
      <alignment horizontal="center" vertical="center" shrinkToFit="1"/>
    </xf>
    <xf numFmtId="1" fontId="25" fillId="4" borderId="5" xfId="0" applyNumberFormat="1" applyFont="1" applyFill="1" applyBorder="1" applyAlignment="1">
      <alignment horizontal="left" vertical="center" shrinkToFit="1"/>
    </xf>
    <xf numFmtId="1" fontId="48" fillId="5" borderId="4" xfId="0" applyNumberFormat="1" applyFont="1" applyFill="1" applyBorder="1" applyAlignment="1">
      <alignment horizontal="right" vertical="center" shrinkToFit="1"/>
    </xf>
    <xf numFmtId="1" fontId="48" fillId="5" borderId="4" xfId="0" applyNumberFormat="1" applyFont="1" applyFill="1" applyBorder="1" applyAlignment="1">
      <alignment horizontal="center" vertical="center" shrinkToFit="1"/>
    </xf>
    <xf numFmtId="1" fontId="48" fillId="4" borderId="5" xfId="0" applyNumberFormat="1" applyFont="1" applyFill="1" applyBorder="1" applyAlignment="1">
      <alignment horizontal="right" vertical="center" shrinkToFit="1"/>
    </xf>
    <xf numFmtId="1" fontId="48" fillId="4" borderId="5" xfId="0" applyNumberFormat="1" applyFont="1" applyFill="1" applyBorder="1" applyAlignment="1">
      <alignment horizontal="center" vertical="center" shrinkToFit="1"/>
    </xf>
    <xf numFmtId="0" fontId="40" fillId="0" borderId="0" xfId="0" applyFont="1" applyFill="1" applyBorder="1" applyAlignment="1">
      <alignment horizontal="left" vertical="top"/>
    </xf>
    <xf numFmtId="0" fontId="60" fillId="4" borderId="4" xfId="0" applyFont="1" applyFill="1" applyBorder="1" applyAlignment="1">
      <alignment horizontal="center" vertical="center" wrapText="1"/>
    </xf>
    <xf numFmtId="0" fontId="60" fillId="4" borderId="4" xfId="0" applyFont="1" applyFill="1" applyBorder="1" applyAlignment="1">
      <alignment horizontal="left" vertical="center" wrapText="1"/>
    </xf>
    <xf numFmtId="1" fontId="61" fillId="4" borderId="4" xfId="0" applyNumberFormat="1" applyFont="1" applyFill="1" applyBorder="1" applyAlignment="1">
      <alignment horizontal="center" vertical="top" shrinkToFit="1"/>
    </xf>
    <xf numFmtId="1" fontId="61" fillId="4" borderId="4" xfId="0" applyNumberFormat="1" applyFont="1" applyFill="1" applyBorder="1" applyAlignment="1">
      <alignment horizontal="left" vertical="top" shrinkToFit="1"/>
    </xf>
    <xf numFmtId="164" fontId="43" fillId="0" borderId="14" xfId="0" applyNumberFormat="1" applyFont="1" applyFill="1" applyBorder="1" applyAlignment="1">
      <alignment horizontal="left" vertical="top"/>
    </xf>
    <xf numFmtId="0" fontId="40" fillId="4" borderId="4" xfId="0" applyFont="1" applyFill="1" applyBorder="1" applyAlignment="1">
      <alignment horizontal="left" wrapText="1"/>
    </xf>
    <xf numFmtId="0" fontId="40" fillId="4" borderId="2" xfId="0" applyFont="1" applyFill="1" applyBorder="1" applyAlignment="1">
      <alignment horizontal="left" vertical="center" wrapText="1"/>
    </xf>
    <xf numFmtId="1" fontId="61" fillId="4" borderId="4" xfId="0" applyNumberFormat="1" applyFont="1" applyFill="1" applyBorder="1" applyAlignment="1">
      <alignment horizontal="center" vertical="center" shrinkToFit="1"/>
    </xf>
    <xf numFmtId="1" fontId="61" fillId="4" borderId="4" xfId="0" applyNumberFormat="1" applyFont="1" applyFill="1" applyBorder="1" applyAlignment="1">
      <alignment horizontal="left" vertical="center" shrinkToFit="1"/>
    </xf>
    <xf numFmtId="0" fontId="58" fillId="4" borderId="4" xfId="0" applyFont="1" applyFill="1" applyBorder="1" applyAlignment="1">
      <alignment horizontal="center" vertical="center" wrapText="1"/>
    </xf>
    <xf numFmtId="0" fontId="58" fillId="4" borderId="4" xfId="0" applyFont="1" applyFill="1" applyBorder="1" applyAlignment="1">
      <alignment horizontal="left" vertical="center" wrapText="1"/>
    </xf>
    <xf numFmtId="0" fontId="13" fillId="4" borderId="17" xfId="0" applyFont="1" applyFill="1" applyBorder="1" applyAlignment="1">
      <alignment horizontal="left" vertical="top"/>
    </xf>
    <xf numFmtId="164" fontId="18" fillId="4" borderId="17" xfId="0" applyNumberFormat="1" applyFont="1" applyFill="1" applyBorder="1" applyAlignment="1">
      <alignment horizontal="left" vertical="top"/>
    </xf>
    <xf numFmtId="164" fontId="18" fillId="4" borderId="17" xfId="0" applyNumberFormat="1" applyFont="1" applyFill="1" applyBorder="1" applyAlignment="1">
      <alignment horizontal="center" vertical="top"/>
    </xf>
    <xf numFmtId="164" fontId="26" fillId="4" borderId="17" xfId="0" applyNumberFormat="1" applyFont="1" applyFill="1" applyBorder="1" applyAlignment="1">
      <alignment horizontal="left" vertical="top"/>
    </xf>
    <xf numFmtId="164" fontId="53" fillId="4" borderId="14" xfId="0" applyNumberFormat="1" applyFont="1" applyFill="1" applyBorder="1" applyAlignment="1">
      <alignment horizontal="left" vertical="top"/>
    </xf>
    <xf numFmtId="164" fontId="45" fillId="4" borderId="14" xfId="0" applyNumberFormat="1" applyFont="1" applyFill="1" applyBorder="1" applyAlignment="1">
      <alignment horizontal="left" vertical="top"/>
    </xf>
    <xf numFmtId="0" fontId="54" fillId="4" borderId="0" xfId="0" applyFont="1" applyFill="1" applyBorder="1" applyAlignment="1">
      <alignment horizontal="center" vertical="top"/>
    </xf>
    <xf numFmtId="0" fontId="36" fillId="4" borderId="14" xfId="0" applyFont="1" applyFill="1" applyBorder="1" applyAlignment="1">
      <alignment horizontal="left" vertical="top"/>
    </xf>
    <xf numFmtId="0" fontId="47" fillId="4" borderId="4" xfId="0" applyFont="1" applyFill="1" applyBorder="1" applyAlignment="1">
      <alignment horizontal="left" vertical="top" wrapText="1" indent="1"/>
    </xf>
    <xf numFmtId="0" fontId="36" fillId="4" borderId="26" xfId="0" applyFont="1" applyFill="1" applyBorder="1" applyAlignment="1">
      <alignment horizontal="center" vertical="top" wrapText="1"/>
    </xf>
    <xf numFmtId="1" fontId="64" fillId="2" borderId="4" xfId="0" applyNumberFormat="1" applyFont="1" applyFill="1" applyBorder="1" applyAlignment="1">
      <alignment horizontal="center" vertical="center" shrinkToFit="1"/>
    </xf>
    <xf numFmtId="1" fontId="64" fillId="0" borderId="4" xfId="0" applyNumberFormat="1" applyFont="1" applyFill="1" applyBorder="1" applyAlignment="1">
      <alignment horizontal="center" vertical="center" shrinkToFit="1"/>
    </xf>
    <xf numFmtId="1" fontId="64" fillId="3" borderId="4" xfId="0" applyNumberFormat="1" applyFont="1" applyFill="1" applyBorder="1" applyAlignment="1">
      <alignment horizontal="left" vertical="center" indent="1" shrinkToFit="1"/>
    </xf>
    <xf numFmtId="1" fontId="64" fillId="0" borderId="4" xfId="0" applyNumberFormat="1" applyFont="1" applyFill="1" applyBorder="1" applyAlignment="1">
      <alignment horizontal="center" vertical="top" shrinkToFit="1"/>
    </xf>
    <xf numFmtId="1" fontId="64" fillId="3" borderId="4" xfId="0" applyNumberFormat="1" applyFont="1" applyFill="1" applyBorder="1" applyAlignment="1">
      <alignment horizontal="left" vertical="center" shrinkToFit="1"/>
    </xf>
    <xf numFmtId="0" fontId="56" fillId="0" borderId="0" xfId="0" applyFont="1" applyFill="1" applyBorder="1" applyAlignment="1">
      <alignment horizontal="left" vertical="top"/>
    </xf>
    <xf numFmtId="0" fontId="60" fillId="4" borderId="4" xfId="0" applyFont="1" applyFill="1" applyBorder="1" applyAlignment="1">
      <alignment horizontal="center" vertical="top" wrapText="1"/>
    </xf>
    <xf numFmtId="0" fontId="60" fillId="4" borderId="4" xfId="0" applyFont="1" applyFill="1" applyBorder="1" applyAlignment="1">
      <alignment horizontal="left" vertical="top" wrapText="1" indent="1"/>
    </xf>
    <xf numFmtId="0" fontId="58" fillId="4" borderId="4" xfId="0" applyFont="1" applyFill="1" applyBorder="1" applyAlignment="1">
      <alignment horizontal="center" vertical="top" wrapText="1"/>
    </xf>
    <xf numFmtId="0" fontId="58" fillId="4" borderId="4" xfId="0" applyFont="1" applyFill="1" applyBorder="1" applyAlignment="1">
      <alignment horizontal="left" vertical="top" wrapText="1" indent="1"/>
    </xf>
    <xf numFmtId="0" fontId="58" fillId="4" borderId="4" xfId="0" applyFont="1" applyFill="1" applyBorder="1" applyAlignment="1">
      <alignment horizontal="left" vertical="top" wrapText="1"/>
    </xf>
    <xf numFmtId="0" fontId="52" fillId="4" borderId="14" xfId="0" applyFont="1" applyFill="1" applyBorder="1" applyAlignment="1">
      <alignment horizontal="center" vertical="top"/>
    </xf>
    <xf numFmtId="0" fontId="18" fillId="4" borderId="14" xfId="0" applyFont="1" applyFill="1" applyBorder="1" applyAlignment="1">
      <alignment horizontal="center" vertical="top" wrapText="1"/>
    </xf>
    <xf numFmtId="0" fontId="52" fillId="4" borderId="17" xfId="0" applyFont="1" applyFill="1" applyBorder="1" applyAlignment="1">
      <alignment horizontal="center" vertical="top" wrapText="1"/>
    </xf>
    <xf numFmtId="0" fontId="52" fillId="4" borderId="18" xfId="0" applyFont="1" applyFill="1" applyBorder="1" applyAlignment="1">
      <alignment horizontal="center" vertical="top" wrapText="1"/>
    </xf>
    <xf numFmtId="0" fontId="13" fillId="4" borderId="22" xfId="0" applyFont="1" applyFill="1" applyBorder="1" applyAlignment="1">
      <alignment horizontal="center" vertical="top"/>
    </xf>
    <xf numFmtId="0" fontId="36" fillId="4" borderId="4" xfId="0" applyFont="1" applyFill="1" applyBorder="1" applyAlignment="1">
      <alignment horizontal="center" vertical="top" wrapText="1"/>
    </xf>
    <xf numFmtId="0" fontId="47" fillId="4" borderId="4" xfId="0" applyFont="1" applyFill="1" applyBorder="1" applyAlignment="1">
      <alignment horizontal="left" vertical="top" wrapText="1"/>
    </xf>
    <xf numFmtId="0" fontId="36" fillId="4" borderId="4" xfId="0" applyFont="1" applyFill="1" applyBorder="1" applyAlignment="1">
      <alignment horizontal="left" vertical="top" wrapText="1"/>
    </xf>
    <xf numFmtId="0" fontId="38" fillId="4" borderId="14" xfId="0" applyFont="1" applyFill="1" applyBorder="1" applyAlignment="1">
      <alignment horizontal="left" vertical="center" wrapText="1"/>
    </xf>
    <xf numFmtId="0" fontId="58" fillId="4" borderId="1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center" vertical="top" wrapText="1"/>
    </xf>
    <xf numFmtId="1" fontId="48" fillId="4" borderId="6" xfId="0" applyNumberFormat="1" applyFont="1" applyFill="1" applyBorder="1" applyAlignment="1">
      <alignment horizontal="center" vertical="center" shrinkToFit="1"/>
    </xf>
    <xf numFmtId="1" fontId="48" fillId="4" borderId="6" xfId="0" applyNumberFormat="1" applyFont="1" applyFill="1" applyBorder="1" applyAlignment="1">
      <alignment horizontal="right" vertical="center" shrinkToFit="1"/>
    </xf>
    <xf numFmtId="164" fontId="20" fillId="4" borderId="24" xfId="0" applyNumberFormat="1" applyFont="1" applyFill="1" applyBorder="1" applyAlignment="1">
      <alignment horizontal="left" vertical="top"/>
    </xf>
    <xf numFmtId="0" fontId="43" fillId="4" borderId="0" xfId="0" applyFont="1" applyFill="1" applyBorder="1" applyAlignment="1">
      <alignment horizontal="left" vertical="top"/>
    </xf>
    <xf numFmtId="0" fontId="40" fillId="0" borderId="24" xfId="0" applyFont="1" applyFill="1" applyBorder="1" applyAlignment="1">
      <alignment horizontal="left" vertical="top"/>
    </xf>
    <xf numFmtId="0" fontId="40" fillId="0" borderId="14" xfId="0" applyFont="1" applyFill="1" applyBorder="1" applyAlignment="1">
      <alignment horizontal="left" vertical="top"/>
    </xf>
    <xf numFmtId="0" fontId="43" fillId="4" borderId="4" xfId="0" applyFont="1" applyFill="1" applyBorder="1" applyAlignment="1">
      <alignment horizontal="left" wrapText="1"/>
    </xf>
    <xf numFmtId="0" fontId="61" fillId="4" borderId="0" xfId="0" applyFont="1" applyFill="1" applyBorder="1" applyAlignment="1">
      <alignment vertical="top" wrapText="1"/>
    </xf>
    <xf numFmtId="0" fontId="60" fillId="4" borderId="4" xfId="0" applyFont="1" applyFill="1" applyBorder="1" applyAlignment="1">
      <alignment horizontal="right" vertical="top" wrapText="1"/>
    </xf>
    <xf numFmtId="1" fontId="61" fillId="4" borderId="4" xfId="0" applyNumberFormat="1" applyFont="1" applyFill="1" applyBorder="1" applyAlignment="1">
      <alignment horizontal="right" vertical="center" shrinkToFit="1"/>
    </xf>
    <xf numFmtId="1" fontId="70" fillId="4" borderId="4" xfId="0" applyNumberFormat="1" applyFont="1" applyFill="1" applyBorder="1" applyAlignment="1">
      <alignment horizontal="left" vertical="center" shrinkToFit="1"/>
    </xf>
    <xf numFmtId="1" fontId="70" fillId="4" borderId="4" xfId="0" applyNumberFormat="1" applyFont="1" applyFill="1" applyBorder="1" applyAlignment="1">
      <alignment horizontal="right" vertical="center" shrinkToFit="1"/>
    </xf>
    <xf numFmtId="0" fontId="71" fillId="4" borderId="4" xfId="0" applyFont="1" applyFill="1" applyBorder="1" applyAlignment="1">
      <alignment horizontal="center" vertical="center" wrapText="1"/>
    </xf>
    <xf numFmtId="1" fontId="70" fillId="4" borderId="4" xfId="0" applyNumberFormat="1" applyFont="1" applyFill="1" applyBorder="1" applyAlignment="1">
      <alignment horizontal="right" vertical="top" shrinkToFit="1"/>
    </xf>
    <xf numFmtId="1" fontId="70" fillId="4" borderId="4" xfId="0" applyNumberFormat="1" applyFont="1" applyFill="1" applyBorder="1" applyAlignment="1">
      <alignment horizontal="left" vertical="center" indent="1" shrinkToFit="1"/>
    </xf>
    <xf numFmtId="1" fontId="70" fillId="4" borderId="5" xfId="0" applyNumberFormat="1" applyFont="1" applyFill="1" applyBorder="1" applyAlignment="1">
      <alignment horizontal="right" vertical="center" shrinkToFit="1"/>
    </xf>
    <xf numFmtId="0" fontId="55" fillId="0" borderId="17" xfId="0" applyFont="1" applyFill="1" applyBorder="1" applyAlignment="1">
      <alignment horizontal="center" vertical="top"/>
    </xf>
    <xf numFmtId="0" fontId="55" fillId="0" borderId="17" xfId="0" applyFont="1" applyFill="1" applyBorder="1" applyAlignment="1">
      <alignment horizontal="left" vertical="top"/>
    </xf>
    <xf numFmtId="0" fontId="55" fillId="0" borderId="0" xfId="0" applyFont="1" applyFill="1" applyBorder="1" applyAlignment="1">
      <alignment horizontal="left" vertical="top"/>
    </xf>
    <xf numFmtId="0" fontId="55" fillId="4" borderId="17" xfId="0" applyFont="1" applyFill="1" applyBorder="1" applyAlignment="1">
      <alignment horizontal="center" vertical="top"/>
    </xf>
    <xf numFmtId="0" fontId="55" fillId="4" borderId="18" xfId="0" applyFont="1" applyFill="1" applyBorder="1" applyAlignment="1">
      <alignment horizontal="center" vertical="top"/>
    </xf>
    <xf numFmtId="0" fontId="55" fillId="4" borderId="17" xfId="0" applyFont="1" applyFill="1" applyBorder="1" applyAlignment="1">
      <alignment horizontal="center" vertical="top" wrapText="1"/>
    </xf>
    <xf numFmtId="0" fontId="55" fillId="4" borderId="18" xfId="0" applyFont="1" applyFill="1" applyBorder="1" applyAlignment="1">
      <alignment horizontal="center" vertical="top" wrapText="1"/>
    </xf>
    <xf numFmtId="1" fontId="48" fillId="4" borderId="4" xfId="0" applyNumberFormat="1" applyFont="1" applyFill="1" applyBorder="1" applyAlignment="1">
      <alignment horizontal="right" vertical="center" indent="1" shrinkToFit="1"/>
    </xf>
    <xf numFmtId="0" fontId="47" fillId="4" borderId="19" xfId="0" applyFont="1" applyFill="1" applyBorder="1" applyAlignment="1">
      <alignment vertical="top" wrapText="1"/>
    </xf>
    <xf numFmtId="1" fontId="66" fillId="4" borderId="4" xfId="0" applyNumberFormat="1" applyFont="1" applyFill="1" applyBorder="1" applyAlignment="1">
      <alignment horizontal="center" vertical="center" shrinkToFit="1"/>
    </xf>
    <xf numFmtId="1" fontId="66" fillId="4" borderId="4" xfId="0" applyNumberFormat="1" applyFont="1" applyFill="1" applyBorder="1" applyAlignment="1">
      <alignment horizontal="left" vertical="center" shrinkToFit="1"/>
    </xf>
    <xf numFmtId="1" fontId="66" fillId="4" borderId="4" xfId="0" applyNumberFormat="1" applyFont="1" applyFill="1" applyBorder="1" applyAlignment="1">
      <alignment horizontal="left" vertical="center" indent="1" shrinkToFit="1"/>
    </xf>
    <xf numFmtId="1" fontId="66" fillId="4" borderId="5" xfId="0" applyNumberFormat="1" applyFont="1" applyFill="1" applyBorder="1" applyAlignment="1">
      <alignment horizontal="left" vertical="center" shrinkToFit="1"/>
    </xf>
    <xf numFmtId="1" fontId="66" fillId="4" borderId="5" xfId="0" applyNumberFormat="1" applyFont="1" applyFill="1" applyBorder="1" applyAlignment="1">
      <alignment horizontal="center" vertical="center" shrinkToFit="1"/>
    </xf>
    <xf numFmtId="164" fontId="21" fillId="4" borderId="23" xfId="0" applyNumberFormat="1" applyFont="1" applyFill="1" applyBorder="1" applyAlignment="1">
      <alignment horizontal="left" vertical="top"/>
    </xf>
    <xf numFmtId="164" fontId="21" fillId="4" borderId="29" xfId="0" applyNumberFormat="1" applyFont="1" applyFill="1" applyBorder="1" applyAlignment="1">
      <alignment horizontal="left" vertical="top"/>
    </xf>
    <xf numFmtId="164" fontId="21" fillId="4" borderId="29" xfId="0" applyNumberFormat="1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/>
    </xf>
    <xf numFmtId="0" fontId="40" fillId="4" borderId="18" xfId="0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 wrapText="1"/>
    </xf>
    <xf numFmtId="0" fontId="40" fillId="4" borderId="18" xfId="0" applyFont="1" applyFill="1" applyBorder="1" applyAlignment="1">
      <alignment horizontal="center" vertical="top" wrapText="1"/>
    </xf>
    <xf numFmtId="1" fontId="74" fillId="4" borderId="4" xfId="0" applyNumberFormat="1" applyFont="1" applyFill="1" applyBorder="1" applyAlignment="1">
      <alignment horizontal="center" vertical="top" shrinkToFit="1"/>
    </xf>
    <xf numFmtId="1" fontId="48" fillId="4" borderId="4" xfId="0" applyNumberFormat="1" applyFont="1" applyFill="1" applyBorder="1" applyAlignment="1">
      <alignment horizontal="left" vertical="center" shrinkToFit="1"/>
    </xf>
    <xf numFmtId="0" fontId="36" fillId="4" borderId="4" xfId="0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left" vertical="top"/>
    </xf>
    <xf numFmtId="164" fontId="75" fillId="0" borderId="14" xfId="0" applyNumberFormat="1" applyFont="1" applyFill="1" applyBorder="1" applyAlignment="1">
      <alignment horizontal="left" vertical="top"/>
    </xf>
    <xf numFmtId="0" fontId="78" fillId="0" borderId="45" xfId="0" applyFont="1" applyFill="1" applyBorder="1" applyAlignment="1">
      <alignment horizontal="center" vertical="center"/>
    </xf>
    <xf numFmtId="0" fontId="78" fillId="0" borderId="14" xfId="0" applyFont="1" applyFill="1" applyBorder="1" applyAlignment="1">
      <alignment horizontal="center" vertical="top" wrapText="1" shrinkToFit="1"/>
    </xf>
    <xf numFmtId="0" fontId="52" fillId="0" borderId="0" xfId="0" applyFont="1" applyFill="1" applyBorder="1" applyAlignment="1">
      <alignment horizontal="left" vertical="top"/>
    </xf>
    <xf numFmtId="0" fontId="41" fillId="0" borderId="0" xfId="0" applyFont="1" applyFill="1" applyBorder="1" applyAlignment="1">
      <alignment horizontal="left" vertical="top"/>
    </xf>
    <xf numFmtId="0" fontId="53" fillId="4" borderId="35" xfId="0" applyFont="1" applyFill="1" applyBorder="1" applyAlignment="1">
      <alignment horizontal="center" vertical="top"/>
    </xf>
    <xf numFmtId="0" fontId="53" fillId="4" borderId="0" xfId="0" applyFont="1" applyFill="1" applyBorder="1" applyAlignment="1">
      <alignment horizontal="center" vertical="top"/>
    </xf>
    <xf numFmtId="0" fontId="53" fillId="4" borderId="40" xfId="0" applyFont="1" applyFill="1" applyBorder="1" applyAlignment="1">
      <alignment horizontal="center" vertical="top"/>
    </xf>
    <xf numFmtId="0" fontId="53" fillId="0" borderId="0" xfId="0" applyFont="1" applyFill="1" applyBorder="1" applyAlignment="1">
      <alignment horizontal="center" vertical="top" wrapText="1" shrinkToFit="1"/>
    </xf>
    <xf numFmtId="0" fontId="53" fillId="0" borderId="0" xfId="0" applyFont="1" applyFill="1" applyBorder="1" applyAlignment="1">
      <alignment horizontal="left" vertical="top"/>
    </xf>
    <xf numFmtId="0" fontId="53" fillId="0" borderId="40" xfId="0" applyFont="1" applyFill="1" applyBorder="1" applyAlignment="1">
      <alignment horizontal="left" vertical="top"/>
    </xf>
    <xf numFmtId="0" fontId="75" fillId="0" borderId="14" xfId="0" applyFont="1" applyFill="1" applyBorder="1" applyAlignment="1">
      <alignment horizontal="center" vertical="top" wrapText="1" shrinkToFit="1"/>
    </xf>
    <xf numFmtId="0" fontId="79" fillId="0" borderId="14" xfId="0" applyFont="1" applyFill="1" applyBorder="1" applyAlignment="1">
      <alignment horizontal="center" vertical="top" wrapText="1" shrinkToFit="1"/>
    </xf>
    <xf numFmtId="1" fontId="75" fillId="0" borderId="14" xfId="0" applyNumberFormat="1" applyFont="1" applyFill="1" applyBorder="1" applyAlignment="1">
      <alignment horizontal="left" vertical="top"/>
    </xf>
    <xf numFmtId="0" fontId="18" fillId="4" borderId="24" xfId="0" applyFont="1" applyFill="1" applyBorder="1" applyAlignment="1">
      <alignment horizontal="left" vertical="top" wrapText="1"/>
    </xf>
    <xf numFmtId="0" fontId="26" fillId="4" borderId="21" xfId="0" applyFont="1" applyFill="1" applyBorder="1" applyAlignment="1">
      <alignment horizontal="center" vertical="top" wrapText="1"/>
    </xf>
    <xf numFmtId="0" fontId="18" fillId="4" borderId="20" xfId="0" applyFont="1" applyFill="1" applyBorder="1" applyAlignment="1">
      <alignment horizontal="center" vertical="top" wrapText="1"/>
    </xf>
    <xf numFmtId="0" fontId="75" fillId="0" borderId="14" xfId="0" applyFont="1" applyFill="1" applyBorder="1" applyAlignment="1">
      <alignment horizontal="left" vertical="top"/>
    </xf>
    <xf numFmtId="0" fontId="54" fillId="4" borderId="14" xfId="0" applyFont="1" applyFill="1" applyBorder="1" applyAlignment="1">
      <alignment horizontal="center" vertical="top" wrapText="1"/>
    </xf>
    <xf numFmtId="0" fontId="59" fillId="4" borderId="14" xfId="0" applyFont="1" applyFill="1" applyBorder="1" applyAlignment="1">
      <alignment horizontal="left" vertical="top" wrapText="1"/>
    </xf>
    <xf numFmtId="1" fontId="61" fillId="4" borderId="11" xfId="0" applyNumberFormat="1" applyFont="1" applyFill="1" applyBorder="1" applyAlignment="1">
      <alignment horizontal="center" vertical="top" shrinkToFit="1"/>
    </xf>
    <xf numFmtId="0" fontId="75" fillId="0" borderId="17" xfId="0" applyFont="1" applyFill="1" applyBorder="1" applyAlignment="1">
      <alignment horizontal="left" vertical="top"/>
    </xf>
    <xf numFmtId="0" fontId="75" fillId="0" borderId="18" xfId="0" applyFont="1" applyFill="1" applyBorder="1" applyAlignment="1">
      <alignment horizontal="left" vertical="top"/>
    </xf>
    <xf numFmtId="0" fontId="77" fillId="0" borderId="45" xfId="0" applyFont="1" applyFill="1" applyBorder="1" applyAlignment="1">
      <alignment horizontal="left" vertical="top"/>
    </xf>
    <xf numFmtId="0" fontId="77" fillId="0" borderId="29" xfId="0" applyFont="1" applyFill="1" applyBorder="1" applyAlignment="1">
      <alignment vertical="top"/>
    </xf>
    <xf numFmtId="1" fontId="77" fillId="0" borderId="14" xfId="0" applyNumberFormat="1" applyFont="1" applyFill="1" applyBorder="1" applyAlignment="1">
      <alignment horizontal="center" vertical="top"/>
    </xf>
    <xf numFmtId="0" fontId="77" fillId="0" borderId="14" xfId="0" applyFont="1" applyFill="1" applyBorder="1" applyAlignment="1">
      <alignment horizontal="center" vertical="top"/>
    </xf>
    <xf numFmtId="164" fontId="77" fillId="0" borderId="14" xfId="0" applyNumberFormat="1" applyFont="1" applyFill="1" applyBorder="1" applyAlignment="1">
      <alignment horizontal="left" vertical="top"/>
    </xf>
    <xf numFmtId="1" fontId="77" fillId="0" borderId="14" xfId="0" quotePrefix="1" applyNumberFormat="1" applyFont="1" applyFill="1" applyBorder="1" applyAlignment="1">
      <alignment horizontal="center" vertical="top"/>
    </xf>
    <xf numFmtId="0" fontId="77" fillId="0" borderId="16" xfId="0" applyFont="1" applyFill="1" applyBorder="1" applyAlignment="1">
      <alignment vertical="top"/>
    </xf>
    <xf numFmtId="0" fontId="77" fillId="0" borderId="18" xfId="0" applyFont="1" applyFill="1" applyBorder="1" applyAlignment="1">
      <alignment vertical="top"/>
    </xf>
    <xf numFmtId="164" fontId="77" fillId="0" borderId="16" xfId="0" applyNumberFormat="1" applyFont="1" applyFill="1" applyBorder="1" applyAlignment="1">
      <alignment horizontal="left" vertical="top"/>
    </xf>
    <xf numFmtId="164" fontId="82" fillId="0" borderId="46" xfId="0" applyNumberFormat="1" applyFont="1" applyFill="1" applyBorder="1" applyAlignment="1">
      <alignment horizontal="left" vertical="top"/>
    </xf>
    <xf numFmtId="0" fontId="77" fillId="0" borderId="59" xfId="0" applyFont="1" applyFill="1" applyBorder="1" applyAlignment="1">
      <alignment horizontal="left" vertical="top"/>
    </xf>
    <xf numFmtId="0" fontId="77" fillId="0" borderId="17" xfId="0" applyFont="1" applyFill="1" applyBorder="1" applyAlignment="1">
      <alignment vertical="top"/>
    </xf>
    <xf numFmtId="1" fontId="77" fillId="0" borderId="17" xfId="0" applyNumberFormat="1" applyFont="1" applyFill="1" applyBorder="1" applyAlignment="1">
      <alignment horizontal="center" vertical="top"/>
    </xf>
    <xf numFmtId="164" fontId="77" fillId="0" borderId="17" xfId="0" applyNumberFormat="1" applyFont="1" applyFill="1" applyBorder="1" applyAlignment="1">
      <alignment horizontal="left" vertical="top"/>
    </xf>
    <xf numFmtId="164" fontId="75" fillId="0" borderId="0" xfId="0" applyNumberFormat="1" applyFont="1" applyFill="1" applyBorder="1" applyAlignment="1">
      <alignment horizontal="left" vertical="top"/>
    </xf>
    <xf numFmtId="164" fontId="82" fillId="0" borderId="60" xfId="0" applyNumberFormat="1" applyFont="1" applyFill="1" applyBorder="1" applyAlignment="1">
      <alignment horizontal="left" vertical="top"/>
    </xf>
    <xf numFmtId="1" fontId="77" fillId="0" borderId="14" xfId="0" applyNumberFormat="1" applyFont="1" applyFill="1" applyBorder="1" applyAlignment="1">
      <alignment horizontal="left" vertical="top"/>
    </xf>
    <xf numFmtId="164" fontId="37" fillId="4" borderId="23" xfId="0" applyNumberFormat="1" applyFont="1" applyFill="1" applyBorder="1" applyAlignment="1">
      <alignment horizontal="left" vertical="top"/>
    </xf>
    <xf numFmtId="1" fontId="48" fillId="4" borderId="63" xfId="0" applyNumberFormat="1" applyFont="1" applyFill="1" applyBorder="1" applyAlignment="1">
      <alignment horizontal="center" vertical="center" shrinkToFit="1"/>
    </xf>
    <xf numFmtId="164" fontId="20" fillId="0" borderId="46" xfId="0" applyNumberFormat="1" applyFont="1" applyFill="1" applyBorder="1" applyAlignment="1">
      <alignment horizontal="left" vertical="top"/>
    </xf>
    <xf numFmtId="0" fontId="36" fillId="4" borderId="61" xfId="0" applyFont="1" applyFill="1" applyBorder="1" applyAlignment="1">
      <alignment horizontal="left" vertical="center" wrapText="1"/>
    </xf>
    <xf numFmtId="0" fontId="36" fillId="0" borderId="37" xfId="0" applyFont="1" applyFill="1" applyBorder="1" applyAlignment="1">
      <alignment horizontal="left" vertical="top"/>
    </xf>
    <xf numFmtId="0" fontId="0" fillId="0" borderId="39" xfId="0" applyFill="1" applyBorder="1" applyAlignment="1">
      <alignment horizontal="left" vertical="top"/>
    </xf>
    <xf numFmtId="0" fontId="0" fillId="0" borderId="40" xfId="0" applyFill="1" applyBorder="1" applyAlignment="1">
      <alignment horizontal="left" vertical="top"/>
    </xf>
    <xf numFmtId="164" fontId="37" fillId="0" borderId="66" xfId="0" applyNumberFormat="1" applyFont="1" applyFill="1" applyBorder="1" applyAlignment="1">
      <alignment horizontal="left" vertical="top"/>
    </xf>
    <xf numFmtId="164" fontId="20" fillId="4" borderId="18" xfId="0" applyNumberFormat="1" applyFont="1" applyFill="1" applyBorder="1" applyAlignment="1">
      <alignment horizontal="left" vertical="top"/>
    </xf>
    <xf numFmtId="164" fontId="20" fillId="4" borderId="46" xfId="0" applyNumberFormat="1" applyFont="1" applyFill="1" applyBorder="1" applyAlignment="1">
      <alignment horizontal="left" vertical="top"/>
    </xf>
    <xf numFmtId="0" fontId="39" fillId="4" borderId="65" xfId="0" applyFont="1" applyFill="1" applyBorder="1" applyAlignment="1">
      <alignment horizontal="left" vertical="center"/>
    </xf>
    <xf numFmtId="164" fontId="43" fillId="4" borderId="46" xfId="0" applyNumberFormat="1" applyFont="1" applyFill="1" applyBorder="1" applyAlignment="1">
      <alignment horizontal="left" vertical="top"/>
    </xf>
    <xf numFmtId="0" fontId="41" fillId="4" borderId="39" xfId="0" applyFont="1" applyFill="1" applyBorder="1" applyAlignment="1">
      <alignment horizontal="left" vertical="top"/>
    </xf>
    <xf numFmtId="0" fontId="13" fillId="4" borderId="40" xfId="0" applyFont="1" applyFill="1" applyBorder="1" applyAlignment="1">
      <alignment horizontal="left" vertical="top"/>
    </xf>
    <xf numFmtId="164" fontId="54" fillId="4" borderId="66" xfId="0" applyNumberFormat="1" applyFont="1" applyFill="1" applyBorder="1" applyAlignment="1">
      <alignment horizontal="left" vertical="top"/>
    </xf>
    <xf numFmtId="1" fontId="66" fillId="4" borderId="63" xfId="0" applyNumberFormat="1" applyFont="1" applyFill="1" applyBorder="1" applyAlignment="1">
      <alignment horizontal="center" vertical="center" shrinkToFit="1"/>
    </xf>
    <xf numFmtId="0" fontId="38" fillId="4" borderId="61" xfId="0" applyFont="1" applyFill="1" applyBorder="1" applyAlignment="1">
      <alignment horizontal="left" vertical="top" wrapText="1"/>
    </xf>
    <xf numFmtId="164" fontId="21" fillId="4" borderId="84" xfId="0" applyNumberFormat="1" applyFont="1" applyFill="1" applyBorder="1" applyAlignment="1">
      <alignment horizontal="left" vertical="top"/>
    </xf>
    <xf numFmtId="164" fontId="18" fillId="4" borderId="59" xfId="0" applyNumberFormat="1" applyFont="1" applyFill="1" applyBorder="1" applyAlignment="1">
      <alignment horizontal="left" vertical="top"/>
    </xf>
    <xf numFmtId="0" fontId="0" fillId="4" borderId="39" xfId="0" applyFill="1" applyBorder="1" applyAlignment="1">
      <alignment horizontal="left" vertical="top"/>
    </xf>
    <xf numFmtId="0" fontId="0" fillId="4" borderId="40" xfId="0" applyFill="1" applyBorder="1" applyAlignment="1">
      <alignment horizontal="left" vertical="top"/>
    </xf>
    <xf numFmtId="0" fontId="41" fillId="4" borderId="40" xfId="0" applyFont="1" applyFill="1" applyBorder="1" applyAlignment="1">
      <alignment horizontal="center" vertical="top"/>
    </xf>
    <xf numFmtId="0" fontId="0" fillId="4" borderId="40" xfId="0" applyFill="1" applyBorder="1" applyAlignment="1">
      <alignment horizontal="center" vertical="top"/>
    </xf>
    <xf numFmtId="0" fontId="0" fillId="4" borderId="41" xfId="0" applyFill="1" applyBorder="1" applyAlignment="1">
      <alignment horizontal="left" vertical="top"/>
    </xf>
    <xf numFmtId="0" fontId="0" fillId="0" borderId="38" xfId="0" applyFill="1" applyBorder="1" applyAlignment="1">
      <alignment horizontal="left" vertical="top"/>
    </xf>
    <xf numFmtId="1" fontId="61" fillId="4" borderId="63" xfId="0" applyNumberFormat="1" applyFont="1" applyFill="1" applyBorder="1" applyAlignment="1">
      <alignment horizontal="center" vertical="center" shrinkToFit="1"/>
    </xf>
    <xf numFmtId="0" fontId="0" fillId="4" borderId="38" xfId="0" applyFill="1" applyBorder="1" applyAlignment="1">
      <alignment horizontal="left" vertical="top"/>
    </xf>
    <xf numFmtId="0" fontId="40" fillId="4" borderId="61" xfId="0" applyFont="1" applyFill="1" applyBorder="1" applyAlignment="1">
      <alignment horizontal="left" vertical="center" wrapText="1"/>
    </xf>
    <xf numFmtId="0" fontId="39" fillId="4" borderId="85" xfId="0" applyFont="1" applyFill="1" applyBorder="1" applyAlignment="1">
      <alignment horizontal="left" vertical="center"/>
    </xf>
    <xf numFmtId="0" fontId="13" fillId="4" borderId="40" xfId="0" applyFont="1" applyFill="1" applyBorder="1" applyAlignment="1">
      <alignment horizontal="left" vertical="top" wrapText="1"/>
    </xf>
    <xf numFmtId="0" fontId="13" fillId="4" borderId="86" xfId="0" applyFont="1" applyFill="1" applyBorder="1" applyAlignment="1">
      <alignment horizontal="left" vertical="top" wrapText="1"/>
    </xf>
    <xf numFmtId="164" fontId="53" fillId="4" borderId="76" xfId="0" applyNumberFormat="1" applyFont="1" applyFill="1" applyBorder="1" applyAlignment="1">
      <alignment horizontal="left" vertical="top"/>
    </xf>
    <xf numFmtId="0" fontId="0" fillId="0" borderId="41" xfId="0" applyFill="1" applyBorder="1" applyAlignment="1">
      <alignment horizontal="left" vertical="top"/>
    </xf>
    <xf numFmtId="0" fontId="15" fillId="4" borderId="62" xfId="0" applyFont="1" applyFill="1" applyBorder="1" applyAlignment="1">
      <alignment horizontal="left" vertical="center" wrapText="1"/>
    </xf>
    <xf numFmtId="0" fontId="80" fillId="4" borderId="64" xfId="0" applyFont="1" applyFill="1" applyBorder="1" applyAlignment="1">
      <alignment horizontal="right" vertical="center" wrapText="1" shrinkToFit="1"/>
    </xf>
    <xf numFmtId="164" fontId="26" fillId="4" borderId="46" xfId="0" applyNumberFormat="1" applyFont="1" applyFill="1" applyBorder="1" applyAlignment="1">
      <alignment horizontal="left" vertical="top"/>
    </xf>
    <xf numFmtId="0" fontId="35" fillId="4" borderId="40" xfId="0" applyFont="1" applyFill="1" applyBorder="1" applyAlignment="1">
      <alignment horizontal="left" vertical="top"/>
    </xf>
    <xf numFmtId="0" fontId="35" fillId="4" borderId="40" xfId="0" applyFont="1" applyFill="1" applyBorder="1" applyAlignment="1">
      <alignment horizontal="left" vertical="top" wrapText="1"/>
    </xf>
    <xf numFmtId="0" fontId="35" fillId="4" borderId="86" xfId="0" applyFont="1" applyFill="1" applyBorder="1" applyAlignment="1">
      <alignment horizontal="left" vertical="top" wrapText="1"/>
    </xf>
    <xf numFmtId="164" fontId="26" fillId="4" borderId="66" xfId="0" applyNumberFormat="1" applyFont="1" applyFill="1" applyBorder="1" applyAlignment="1">
      <alignment horizontal="left" vertical="top"/>
    </xf>
    <xf numFmtId="164" fontId="46" fillId="0" borderId="18" xfId="0" applyNumberFormat="1" applyFont="1" applyFill="1" applyBorder="1" applyAlignment="1">
      <alignment horizontal="left" vertical="top"/>
    </xf>
    <xf numFmtId="164" fontId="75" fillId="0" borderId="18" xfId="0" applyNumberFormat="1" applyFont="1" applyFill="1" applyBorder="1" applyAlignment="1">
      <alignment horizontal="left" vertical="top"/>
    </xf>
    <xf numFmtId="0" fontId="78" fillId="0" borderId="46" xfId="0" applyFont="1" applyFill="1" applyBorder="1" applyAlignment="1">
      <alignment horizontal="center" vertical="top" wrapText="1" shrinkToFit="1"/>
    </xf>
    <xf numFmtId="0" fontId="75" fillId="0" borderId="59" xfId="0" applyFont="1" applyFill="1" applyBorder="1" applyAlignment="1">
      <alignment horizontal="left" vertical="top"/>
    </xf>
    <xf numFmtId="164" fontId="77" fillId="0" borderId="76" xfId="0" applyNumberFormat="1" applyFont="1" applyFill="1" applyBorder="1" applyAlignment="1">
      <alignment horizontal="left" vertical="top"/>
    </xf>
    <xf numFmtId="1" fontId="25" fillId="4" borderId="18" xfId="0" applyNumberFormat="1" applyFont="1" applyFill="1" applyBorder="1" applyAlignment="1">
      <alignment horizontal="center" vertical="center" shrinkToFit="1"/>
    </xf>
    <xf numFmtId="1" fontId="25" fillId="6" borderId="18" xfId="0" applyNumberFormat="1" applyFont="1" applyFill="1" applyBorder="1" applyAlignment="1">
      <alignment horizontal="center" vertical="center" shrinkToFit="1"/>
    </xf>
    <xf numFmtId="0" fontId="13" fillId="4" borderId="14" xfId="0" applyFont="1" applyFill="1" applyBorder="1" applyAlignment="1">
      <alignment horizontal="left" vertical="center" wrapText="1"/>
    </xf>
    <xf numFmtId="1" fontId="70" fillId="4" borderId="7" xfId="0" applyNumberFormat="1" applyFont="1" applyFill="1" applyBorder="1" applyAlignment="1">
      <alignment horizontal="center" vertical="center" shrinkToFit="1"/>
    </xf>
    <xf numFmtId="1" fontId="25" fillId="4" borderId="63" xfId="0" applyNumberFormat="1" applyFont="1" applyFill="1" applyBorder="1" applyAlignment="1">
      <alignment horizontal="center" vertical="center" shrinkToFit="1"/>
    </xf>
    <xf numFmtId="164" fontId="26" fillId="4" borderId="60" xfId="0" applyNumberFormat="1" applyFont="1" applyFill="1" applyBorder="1" applyAlignment="1">
      <alignment horizontal="left" vertical="top"/>
    </xf>
    <xf numFmtId="0" fontId="11" fillId="4" borderId="61" xfId="0" applyFont="1" applyFill="1" applyBorder="1" applyAlignment="1">
      <alignment horizontal="left" vertical="top" wrapText="1"/>
    </xf>
    <xf numFmtId="0" fontId="49" fillId="4" borderId="84" xfId="0" applyFont="1" applyFill="1" applyBorder="1" applyAlignment="1">
      <alignment horizontal="left" vertical="center"/>
    </xf>
    <xf numFmtId="0" fontId="38" fillId="4" borderId="39" xfId="0" applyFont="1" applyFill="1" applyBorder="1" applyAlignment="1">
      <alignment horizontal="left" vertical="top"/>
    </xf>
    <xf numFmtId="0" fontId="38" fillId="4" borderId="40" xfId="0" applyFont="1" applyFill="1" applyBorder="1" applyAlignment="1">
      <alignment horizontal="left" vertical="top"/>
    </xf>
    <xf numFmtId="0" fontId="49" fillId="4" borderId="40" xfId="0" applyFont="1" applyFill="1" applyBorder="1" applyAlignment="1">
      <alignment horizontal="left" vertical="center"/>
    </xf>
    <xf numFmtId="0" fontId="0" fillId="0" borderId="95" xfId="0" applyFill="1" applyBorder="1" applyAlignment="1">
      <alignment horizontal="left" vertical="top"/>
    </xf>
    <xf numFmtId="164" fontId="37" fillId="4" borderId="96" xfId="0" applyNumberFormat="1" applyFont="1" applyFill="1" applyBorder="1" applyAlignment="1">
      <alignment horizontal="left" vertical="top"/>
    </xf>
    <xf numFmtId="0" fontId="21" fillId="4" borderId="70" xfId="0" applyFont="1" applyFill="1" applyBorder="1" applyAlignment="1">
      <alignment horizontal="center" vertical="top" wrapText="1"/>
    </xf>
    <xf numFmtId="1" fontId="66" fillId="4" borderId="64" xfId="0" applyNumberFormat="1" applyFont="1" applyFill="1" applyBorder="1" applyAlignment="1">
      <alignment horizontal="right" vertical="center" shrinkToFit="1"/>
    </xf>
    <xf numFmtId="1" fontId="17" fillId="4" borderId="63" xfId="0" applyNumberFormat="1" applyFont="1" applyFill="1" applyBorder="1" applyAlignment="1">
      <alignment horizontal="center" vertical="center" shrinkToFit="1"/>
    </xf>
    <xf numFmtId="164" fontId="18" fillId="0" borderId="46" xfId="0" applyNumberFormat="1" applyFont="1" applyFill="1" applyBorder="1" applyAlignment="1">
      <alignment horizontal="right" vertical="top"/>
    </xf>
    <xf numFmtId="0" fontId="13" fillId="4" borderId="61" xfId="0" applyFont="1" applyFill="1" applyBorder="1" applyAlignment="1">
      <alignment horizontal="left" vertical="center" wrapText="1"/>
    </xf>
    <xf numFmtId="164" fontId="26" fillId="0" borderId="76" xfId="0" applyNumberFormat="1" applyFont="1" applyFill="1" applyBorder="1" applyAlignment="1">
      <alignment horizontal="left" vertical="top"/>
    </xf>
    <xf numFmtId="164" fontId="20" fillId="0" borderId="66" xfId="0" applyNumberFormat="1" applyFont="1" applyFill="1" applyBorder="1" applyAlignment="1">
      <alignment horizontal="right" vertical="top"/>
    </xf>
    <xf numFmtId="0" fontId="47" fillId="4" borderId="5" xfId="0" applyFont="1" applyFill="1" applyBorder="1" applyAlignment="1">
      <alignment horizontal="center" vertical="center" wrapText="1"/>
    </xf>
    <xf numFmtId="1" fontId="17" fillId="4" borderId="98" xfId="0" applyNumberFormat="1" applyFont="1" applyFill="1" applyBorder="1" applyAlignment="1">
      <alignment horizontal="center" vertical="center" shrinkToFit="1"/>
    </xf>
    <xf numFmtId="0" fontId="47" fillId="4" borderId="102" xfId="0" applyFont="1" applyFill="1" applyBorder="1" applyAlignment="1">
      <alignment horizontal="center" vertical="top" wrapText="1"/>
    </xf>
    <xf numFmtId="1" fontId="48" fillId="4" borderId="102" xfId="0" applyNumberFormat="1" applyFont="1" applyFill="1" applyBorder="1" applyAlignment="1">
      <alignment horizontal="center" vertical="center" shrinkToFit="1"/>
    </xf>
    <xf numFmtId="164" fontId="20" fillId="0" borderId="74" xfId="0" applyNumberFormat="1" applyFont="1" applyFill="1" applyBorder="1" applyAlignment="1">
      <alignment horizontal="left" vertical="top"/>
    </xf>
    <xf numFmtId="0" fontId="27" fillId="4" borderId="37" xfId="0" applyFont="1" applyFill="1" applyBorder="1" applyAlignment="1">
      <alignment horizontal="left" vertical="center" wrapText="1"/>
    </xf>
    <xf numFmtId="0" fontId="59" fillId="4" borderId="61" xfId="0" applyFont="1" applyFill="1" applyBorder="1" applyAlignment="1">
      <alignment horizontal="left" vertical="top" wrapText="1"/>
    </xf>
    <xf numFmtId="1" fontId="48" fillId="4" borderId="91" xfId="0" applyNumberFormat="1" applyFont="1" applyFill="1" applyBorder="1" applyAlignment="1">
      <alignment horizontal="center" vertical="center" shrinkToFit="1"/>
    </xf>
    <xf numFmtId="1" fontId="48" fillId="4" borderId="40" xfId="0" applyNumberFormat="1" applyFont="1" applyFill="1" applyBorder="1" applyAlignment="1">
      <alignment horizontal="center" vertical="center" shrinkToFit="1"/>
    </xf>
    <xf numFmtId="1" fontId="48" fillId="4" borderId="90" xfId="0" applyNumberFormat="1" applyFont="1" applyFill="1" applyBorder="1" applyAlignment="1">
      <alignment horizontal="center" vertical="center" shrinkToFit="1"/>
    </xf>
    <xf numFmtId="1" fontId="48" fillId="4" borderId="76" xfId="0" applyNumberFormat="1" applyFont="1" applyFill="1" applyBorder="1" applyAlignment="1">
      <alignment horizontal="center" vertical="center" shrinkToFit="1"/>
    </xf>
    <xf numFmtId="164" fontId="20" fillId="0" borderId="66" xfId="0" applyNumberFormat="1" applyFont="1" applyFill="1" applyBorder="1" applyAlignment="1">
      <alignment horizontal="left" vertical="top"/>
    </xf>
    <xf numFmtId="1" fontId="61" fillId="4" borderId="63" xfId="0" applyNumberFormat="1" applyFont="1" applyFill="1" applyBorder="1" applyAlignment="1">
      <alignment horizontal="center" vertical="top" shrinkToFit="1"/>
    </xf>
    <xf numFmtId="164" fontId="43" fillId="0" borderId="46" xfId="0" applyNumberFormat="1" applyFont="1" applyFill="1" applyBorder="1" applyAlignment="1">
      <alignment horizontal="center" vertical="top"/>
    </xf>
    <xf numFmtId="1" fontId="61" fillId="4" borderId="61" xfId="0" applyNumberFormat="1" applyFont="1" applyFill="1" applyBorder="1" applyAlignment="1">
      <alignment horizontal="center" vertical="top" shrinkToFit="1"/>
    </xf>
    <xf numFmtId="0" fontId="43" fillId="4" borderId="106" xfId="0" applyFont="1" applyFill="1" applyBorder="1" applyAlignment="1">
      <alignment horizontal="left" vertical="center" wrapText="1"/>
    </xf>
    <xf numFmtId="0" fontId="17" fillId="4" borderId="40" xfId="0" applyFont="1" applyFill="1" applyBorder="1" applyAlignment="1">
      <alignment vertical="top" wrapText="1"/>
    </xf>
    <xf numFmtId="164" fontId="43" fillId="0" borderId="66" xfId="0" applyNumberFormat="1" applyFont="1" applyFill="1" applyBorder="1" applyAlignment="1">
      <alignment horizontal="center" vertical="top"/>
    </xf>
    <xf numFmtId="1" fontId="70" fillId="4" borderId="63" xfId="0" applyNumberFormat="1" applyFont="1" applyFill="1" applyBorder="1" applyAlignment="1">
      <alignment horizontal="left" vertical="center" shrinkToFit="1"/>
    </xf>
    <xf numFmtId="164" fontId="45" fillId="0" borderId="46" xfId="0" applyNumberFormat="1" applyFont="1" applyFill="1" applyBorder="1" applyAlignment="1">
      <alignment horizontal="left" vertical="top"/>
    </xf>
    <xf numFmtId="0" fontId="55" fillId="4" borderId="61" xfId="0" applyFont="1" applyFill="1" applyBorder="1" applyAlignment="1">
      <alignment horizontal="left" vertical="center" wrapText="1"/>
    </xf>
    <xf numFmtId="0" fontId="55" fillId="0" borderId="59" xfId="0" applyFont="1" applyFill="1" applyBorder="1" applyAlignment="1">
      <alignment horizontal="center" vertical="top"/>
    </xf>
    <xf numFmtId="0" fontId="0" fillId="0" borderId="37" xfId="0" applyFill="1" applyBorder="1" applyAlignment="1">
      <alignment horizontal="center" vertical="top"/>
    </xf>
    <xf numFmtId="0" fontId="0" fillId="0" borderId="39" xfId="0" applyFill="1" applyBorder="1" applyAlignment="1">
      <alignment horizontal="center" vertical="top"/>
    </xf>
    <xf numFmtId="0" fontId="0" fillId="0" borderId="40" xfId="0" applyFill="1" applyBorder="1" applyAlignment="1">
      <alignment horizontal="center" vertical="top"/>
    </xf>
    <xf numFmtId="1" fontId="48" fillId="4" borderId="61" xfId="0" applyNumberFormat="1" applyFont="1" applyFill="1" applyBorder="1" applyAlignment="1">
      <alignment horizontal="center" vertical="center" shrinkToFit="1"/>
    </xf>
    <xf numFmtId="0" fontId="36" fillId="4" borderId="45" xfId="0" applyFont="1" applyFill="1" applyBorder="1" applyAlignment="1">
      <alignment horizontal="left" vertical="center" wrapText="1"/>
    </xf>
    <xf numFmtId="164" fontId="45" fillId="0" borderId="66" xfId="0" applyNumberFormat="1" applyFont="1" applyFill="1" applyBorder="1" applyAlignment="1">
      <alignment horizontal="left" vertical="top"/>
    </xf>
    <xf numFmtId="1" fontId="48" fillId="4" borderId="11" xfId="0" applyNumberFormat="1" applyFont="1" applyFill="1" applyBorder="1" applyAlignment="1">
      <alignment horizontal="center" vertical="center" shrinkToFit="1"/>
    </xf>
    <xf numFmtId="1" fontId="48" fillId="4" borderId="1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right" vertical="center" shrinkToFit="1"/>
    </xf>
    <xf numFmtId="1" fontId="48" fillId="4" borderId="1" xfId="0" applyNumberFormat="1" applyFont="1" applyFill="1" applyBorder="1" applyAlignment="1">
      <alignment horizontal="right" vertical="center" shrinkToFit="1"/>
    </xf>
    <xf numFmtId="1" fontId="48" fillId="4" borderId="1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left" vertical="center" shrinkToFit="1"/>
    </xf>
    <xf numFmtId="1" fontId="48" fillId="4" borderId="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center" vertical="center" shrinkToFit="1"/>
    </xf>
    <xf numFmtId="1" fontId="48" fillId="4" borderId="12" xfId="0" applyNumberFormat="1" applyFont="1" applyFill="1" applyBorder="1" applyAlignment="1">
      <alignment horizontal="right" vertical="center" shrinkToFit="1"/>
    </xf>
    <xf numFmtId="1" fontId="48" fillId="4" borderId="15" xfId="0" applyNumberFormat="1" applyFont="1" applyFill="1" applyBorder="1" applyAlignment="1">
      <alignment horizontal="center" vertical="center" shrinkToFit="1"/>
    </xf>
    <xf numFmtId="0" fontId="47" fillId="4" borderId="11" xfId="0" applyFont="1" applyFill="1" applyBorder="1" applyAlignment="1">
      <alignment horizontal="left" vertical="top" wrapText="1"/>
    </xf>
    <xf numFmtId="0" fontId="47" fillId="4" borderId="1" xfId="0" applyFont="1" applyFill="1" applyBorder="1" applyAlignment="1">
      <alignment horizontal="left" vertical="top" wrapText="1"/>
    </xf>
    <xf numFmtId="0" fontId="13" fillId="4" borderId="0" xfId="0" applyFont="1" applyFill="1" applyBorder="1" applyAlignment="1">
      <alignment horizontal="left" vertical="top"/>
    </xf>
    <xf numFmtId="0" fontId="47" fillId="4" borderId="11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left" vertical="center" wrapText="1"/>
    </xf>
    <xf numFmtId="1" fontId="48" fillId="4" borderId="14" xfId="0" applyNumberFormat="1" applyFont="1" applyFill="1" applyBorder="1" applyAlignment="1">
      <alignment horizontal="center" vertical="center" shrinkToFit="1"/>
    </xf>
    <xf numFmtId="0" fontId="45" fillId="4" borderId="57" xfId="0" applyFont="1" applyFill="1" applyBorder="1" applyAlignment="1">
      <alignment horizontal="center" vertical="top"/>
    </xf>
    <xf numFmtId="0" fontId="45" fillId="4" borderId="58" xfId="0" applyFont="1" applyFill="1" applyBorder="1" applyAlignment="1">
      <alignment horizontal="center" vertical="top"/>
    </xf>
    <xf numFmtId="0" fontId="45" fillId="4" borderId="17" xfId="0" applyFont="1" applyFill="1" applyBorder="1" applyAlignment="1">
      <alignment horizontal="center" vertical="top" wrapText="1"/>
    </xf>
    <xf numFmtId="0" fontId="45" fillId="4" borderId="60" xfId="0" applyFont="1" applyFill="1" applyBorder="1" applyAlignment="1">
      <alignment horizontal="center" vertical="top" wrapText="1"/>
    </xf>
    <xf numFmtId="0" fontId="45" fillId="4" borderId="17" xfId="0" applyFont="1" applyFill="1" applyBorder="1" applyAlignment="1">
      <alignment horizontal="center" vertical="top"/>
    </xf>
    <xf numFmtId="0" fontId="45" fillId="4" borderId="60" xfId="0" applyFont="1" applyFill="1" applyBorder="1" applyAlignment="1">
      <alignment horizontal="center" vertical="top"/>
    </xf>
    <xf numFmtId="0" fontId="26" fillId="4" borderId="3" xfId="0" applyFont="1" applyFill="1" applyBorder="1" applyAlignment="1">
      <alignment horizontal="center" vertical="center" wrapText="1"/>
    </xf>
    <xf numFmtId="0" fontId="7" fillId="0" borderId="0" xfId="1"/>
    <xf numFmtId="0" fontId="87" fillId="0" borderId="14" xfId="1" applyFont="1" applyBorder="1"/>
    <xf numFmtId="0" fontId="87" fillId="0" borderId="0" xfId="1" applyFont="1"/>
    <xf numFmtId="0" fontId="90" fillId="0" borderId="0" xfId="1" applyFont="1"/>
    <xf numFmtId="0" fontId="92" fillId="7" borderId="27" xfId="1" applyFont="1" applyFill="1" applyBorder="1" applyAlignment="1" applyProtection="1">
      <alignment horizontal="center" vertical="center" wrapText="1"/>
      <protection hidden="1"/>
    </xf>
    <xf numFmtId="0" fontId="93" fillId="0" borderId="27" xfId="1" applyFont="1" applyBorder="1" applyAlignment="1" applyProtection="1">
      <alignment horizontal="left" vertical="center" wrapText="1"/>
      <protection hidden="1"/>
    </xf>
    <xf numFmtId="0" fontId="92" fillId="0" borderId="24" xfId="1" applyFont="1" applyBorder="1"/>
    <xf numFmtId="0" fontId="92" fillId="7" borderId="16" xfId="1" applyFont="1" applyFill="1" applyBorder="1" applyAlignment="1" applyProtection="1">
      <alignment horizontal="center" vertical="center" wrapText="1"/>
      <protection hidden="1"/>
    </xf>
    <xf numFmtId="0" fontId="93" fillId="8" borderId="16" xfId="1" applyFont="1" applyFill="1" applyBorder="1" applyAlignment="1" applyProtection="1">
      <alignment horizontal="left" vertical="center" wrapText="1"/>
      <protection hidden="1"/>
    </xf>
    <xf numFmtId="0" fontId="92" fillId="0" borderId="14" xfId="1" applyFont="1" applyBorder="1"/>
    <xf numFmtId="0" fontId="93" fillId="0" borderId="16" xfId="1" applyFont="1" applyBorder="1" applyAlignment="1" applyProtection="1">
      <alignment horizontal="left" vertical="center" wrapText="1"/>
      <protection hidden="1"/>
    </xf>
    <xf numFmtId="0" fontId="93" fillId="0" borderId="30" xfId="1" applyFont="1" applyBorder="1" applyAlignment="1" applyProtection="1">
      <alignment horizontal="left" vertical="center" wrapText="1"/>
      <protection hidden="1"/>
    </xf>
    <xf numFmtId="0" fontId="93" fillId="0" borderId="113" xfId="1" applyFont="1" applyBorder="1" applyAlignment="1" applyProtection="1">
      <alignment horizontal="left" vertical="center" wrapText="1"/>
      <protection hidden="1"/>
    </xf>
    <xf numFmtId="0" fontId="93" fillId="0" borderId="114" xfId="1" applyFont="1" applyBorder="1" applyAlignment="1" applyProtection="1">
      <alignment horizontal="left" vertical="center" wrapText="1"/>
      <protection hidden="1"/>
    </xf>
    <xf numFmtId="0" fontId="92" fillId="0" borderId="113" xfId="1" applyFont="1" applyBorder="1" applyAlignment="1" applyProtection="1">
      <alignment horizontal="left" vertical="center" wrapText="1"/>
      <protection hidden="1"/>
    </xf>
    <xf numFmtId="0" fontId="92" fillId="4" borderId="16" xfId="1" applyFont="1" applyFill="1" applyBorder="1" applyAlignment="1" applyProtection="1">
      <alignment horizontal="left" vertical="center" wrapText="1"/>
      <protection hidden="1"/>
    </xf>
    <xf numFmtId="0" fontId="92" fillId="0" borderId="16" xfId="1" applyFont="1" applyBorder="1" applyAlignment="1" applyProtection="1">
      <alignment horizontal="left" vertical="center" wrapText="1"/>
      <protection hidden="1"/>
    </xf>
    <xf numFmtId="0" fontId="92" fillId="0" borderId="114" xfId="1" applyFont="1" applyBorder="1" applyAlignment="1" applyProtection="1">
      <alignment horizontal="left" vertical="center" wrapText="1"/>
      <protection hidden="1"/>
    </xf>
    <xf numFmtId="0" fontId="94" fillId="0" borderId="14" xfId="1" applyFont="1" applyBorder="1" applyAlignment="1">
      <alignment horizontal="center"/>
    </xf>
    <xf numFmtId="0" fontId="94" fillId="0" borderId="14" xfId="1" applyFont="1" applyBorder="1"/>
    <xf numFmtId="0" fontId="10" fillId="4" borderId="16" xfId="0" applyFont="1" applyFill="1" applyBorder="1" applyAlignment="1">
      <alignment horizontal="center" vertical="center" wrapText="1" shrinkToFit="1"/>
    </xf>
    <xf numFmtId="0" fontId="63" fillId="4" borderId="16" xfId="0" applyFont="1" applyFill="1" applyBorder="1" applyAlignment="1">
      <alignment horizontal="center" vertical="center" wrapText="1" shrinkToFit="1"/>
    </xf>
    <xf numFmtId="0" fontId="63" fillId="4" borderId="14" xfId="0" applyFont="1" applyFill="1" applyBorder="1" applyAlignment="1">
      <alignment horizontal="center" vertical="center" wrapText="1" shrinkToFit="1"/>
    </xf>
    <xf numFmtId="0" fontId="63" fillId="4" borderId="33" xfId="0" applyFont="1" applyFill="1" applyBorder="1" applyAlignment="1">
      <alignment horizontal="center" vertical="center" wrapText="1" shrinkToFit="1"/>
    </xf>
    <xf numFmtId="0" fontId="56" fillId="4" borderId="0" xfId="0" applyFont="1" applyFill="1" applyBorder="1" applyAlignment="1">
      <alignment horizontal="left" vertical="top" wrapText="1" shrinkToFit="1"/>
    </xf>
    <xf numFmtId="0" fontId="63" fillId="4" borderId="115" xfId="0" applyFont="1" applyFill="1" applyBorder="1" applyAlignment="1">
      <alignment horizontal="right" vertical="center" wrapText="1" shrinkToFit="1"/>
    </xf>
    <xf numFmtId="0" fontId="63" fillId="4" borderId="32" xfId="0" applyFont="1" applyFill="1" applyBorder="1" applyAlignment="1">
      <alignment horizontal="center" vertical="center" wrapText="1" shrinkToFit="1"/>
    </xf>
    <xf numFmtId="1" fontId="17" fillId="4" borderId="14" xfId="0" applyNumberFormat="1" applyFont="1" applyFill="1" applyBorder="1" applyAlignment="1">
      <alignment horizontal="center" vertical="center" wrapText="1" shrinkToFit="1"/>
    </xf>
    <xf numFmtId="0" fontId="7" fillId="0" borderId="0" xfId="1" applyFill="1"/>
    <xf numFmtId="0" fontId="7" fillId="0" borderId="0" xfId="1" applyFill="1" applyAlignment="1">
      <alignment horizontal="center" vertical="center"/>
    </xf>
    <xf numFmtId="0" fontId="95" fillId="0" borderId="14" xfId="1" applyFont="1" applyFill="1" applyBorder="1" applyAlignment="1">
      <alignment horizontal="center" vertical="center"/>
    </xf>
    <xf numFmtId="0" fontId="95" fillId="0" borderId="0" xfId="1" applyFont="1" applyFill="1" applyAlignment="1">
      <alignment vertical="center"/>
    </xf>
    <xf numFmtId="0" fontId="97" fillId="0" borderId="14" xfId="1" applyFont="1" applyFill="1" applyBorder="1" applyAlignment="1" applyProtection="1">
      <alignment horizontal="left" vertical="center" wrapText="1"/>
      <protection hidden="1"/>
    </xf>
    <xf numFmtId="0" fontId="95" fillId="0" borderId="14" xfId="1" applyFont="1" applyFill="1" applyBorder="1"/>
    <xf numFmtId="0" fontId="95" fillId="0" borderId="0" xfId="1" applyFont="1" applyFill="1"/>
    <xf numFmtId="0" fontId="95" fillId="0" borderId="14" xfId="1" applyFont="1" applyFill="1" applyBorder="1" applyAlignment="1">
      <alignment vertical="center" wrapText="1"/>
    </xf>
    <xf numFmtId="0" fontId="95" fillId="0" borderId="0" xfId="1" applyFont="1" applyFill="1" applyBorder="1"/>
    <xf numFmtId="0" fontId="96" fillId="0" borderId="16" xfId="1" applyFont="1" applyFill="1" applyBorder="1" applyAlignment="1">
      <alignment horizontal="left" vertical="center"/>
    </xf>
    <xf numFmtId="0" fontId="85" fillId="0" borderId="14" xfId="1" applyFont="1" applyFill="1" applyBorder="1" applyAlignment="1">
      <alignment horizontal="center"/>
    </xf>
    <xf numFmtId="0" fontId="100" fillId="0" borderId="0" xfId="1" applyFont="1" applyBorder="1" applyAlignment="1">
      <alignment horizontal="center" vertical="center"/>
    </xf>
    <xf numFmtId="0" fontId="100" fillId="0" borderId="0" xfId="1" applyFont="1" applyBorder="1" applyAlignment="1">
      <alignment horizontal="center" vertical="center" wrapText="1"/>
    </xf>
    <xf numFmtId="1" fontId="48" fillId="4" borderId="37" xfId="0" applyNumberFormat="1" applyFont="1" applyFill="1" applyBorder="1" applyAlignment="1">
      <alignment horizontal="center" vertical="center" shrinkToFit="1"/>
    </xf>
    <xf numFmtId="0" fontId="86" fillId="0" borderId="118" xfId="1" applyFont="1" applyBorder="1" applyAlignment="1">
      <alignment horizontal="center" vertical="top" wrapText="1"/>
    </xf>
    <xf numFmtId="0" fontId="98" fillId="0" borderId="119" xfId="1" applyFont="1" applyBorder="1" applyAlignment="1">
      <alignment horizontal="center" vertical="top" wrapText="1" shrinkToFit="1"/>
    </xf>
    <xf numFmtId="0" fontId="86" fillId="0" borderId="120" xfId="1" applyFont="1" applyBorder="1" applyAlignment="1">
      <alignment horizontal="center" vertical="top" wrapText="1"/>
    </xf>
    <xf numFmtId="0" fontId="98" fillId="0" borderId="121" xfId="1" applyFont="1" applyBorder="1" applyAlignment="1">
      <alignment horizontal="center" vertical="top" wrapText="1" shrinkToFit="1"/>
    </xf>
    <xf numFmtId="0" fontId="86" fillId="0" borderId="120" xfId="1" applyFont="1" applyBorder="1" applyAlignment="1">
      <alignment vertical="top" wrapText="1"/>
    </xf>
    <xf numFmtId="0" fontId="87" fillId="0" borderId="121" xfId="1" applyFont="1" applyBorder="1" applyAlignment="1">
      <alignment horizontal="center" vertical="top" wrapText="1"/>
    </xf>
    <xf numFmtId="0" fontId="58" fillId="4" borderId="11" xfId="0" applyFont="1" applyFill="1" applyBorder="1" applyAlignment="1">
      <alignment horizontal="left" vertical="top" wrapText="1"/>
    </xf>
    <xf numFmtId="0" fontId="37" fillId="4" borderId="14" xfId="0" applyFont="1" applyFill="1" applyBorder="1" applyAlignment="1">
      <alignment horizontal="center" vertical="top"/>
    </xf>
    <xf numFmtId="0" fontId="37" fillId="4" borderId="17" xfId="0" applyFont="1" applyFill="1" applyBorder="1" applyAlignment="1">
      <alignment horizontal="center" vertical="top" wrapText="1"/>
    </xf>
    <xf numFmtId="0" fontId="37" fillId="4" borderId="18" xfId="0" applyFont="1" applyFill="1" applyBorder="1" applyAlignment="1">
      <alignment horizontal="center" vertical="top" wrapText="1"/>
    </xf>
    <xf numFmtId="0" fontId="67" fillId="4" borderId="11" xfId="0" applyFont="1" applyFill="1" applyBorder="1" applyAlignment="1">
      <alignment horizontal="left" vertical="top" wrapText="1"/>
    </xf>
    <xf numFmtId="0" fontId="37" fillId="4" borderId="73" xfId="0" applyFont="1" applyFill="1" applyBorder="1" applyAlignment="1">
      <alignment horizontal="center" vertical="top"/>
    </xf>
    <xf numFmtId="0" fontId="37" fillId="4" borderId="74" xfId="0" applyFont="1" applyFill="1" applyBorder="1" applyAlignment="1">
      <alignment horizontal="center" vertical="top"/>
    </xf>
    <xf numFmtId="0" fontId="37" fillId="4" borderId="46" xfId="0" applyFont="1" applyFill="1" applyBorder="1" applyAlignment="1">
      <alignment horizontal="center" vertical="top"/>
    </xf>
    <xf numFmtId="0" fontId="37" fillId="4" borderId="17" xfId="0" applyFont="1" applyFill="1" applyBorder="1" applyAlignment="1">
      <alignment horizontal="center" vertical="top"/>
    </xf>
    <xf numFmtId="0" fontId="37" fillId="4" borderId="18" xfId="0" applyFont="1" applyFill="1" applyBorder="1" applyAlignment="1">
      <alignment horizontal="center" vertical="top"/>
    </xf>
    <xf numFmtId="1" fontId="25" fillId="4" borderId="17" xfId="0" applyNumberFormat="1" applyFont="1" applyFill="1" applyBorder="1" applyAlignment="1">
      <alignment horizontal="center" wrapText="1" shrinkToFit="1"/>
    </xf>
    <xf numFmtId="1" fontId="25" fillId="4" borderId="18" xfId="0" applyNumberFormat="1" applyFont="1" applyFill="1" applyBorder="1" applyAlignment="1">
      <alignment horizontal="center" wrapText="1" shrinkToFit="1"/>
    </xf>
    <xf numFmtId="0" fontId="6" fillId="0" borderId="0" xfId="2"/>
    <xf numFmtId="0" fontId="84" fillId="0" borderId="14" xfId="2" applyFont="1" applyBorder="1" applyAlignment="1">
      <alignment horizontal="center" vertical="center"/>
    </xf>
    <xf numFmtId="0" fontId="84" fillId="0" borderId="14" xfId="2" applyFont="1" applyBorder="1"/>
    <xf numFmtId="0" fontId="84" fillId="0" borderId="14" xfId="2" applyFont="1" applyBorder="1" applyAlignment="1">
      <alignment horizontal="center"/>
    </xf>
    <xf numFmtId="0" fontId="6" fillId="0" borderId="14" xfId="2" applyBorder="1"/>
    <xf numFmtId="0" fontId="6" fillId="0" borderId="14" xfId="2" applyBorder="1" applyAlignment="1">
      <alignment horizontal="center" vertical="center"/>
    </xf>
    <xf numFmtId="0" fontId="6" fillId="0" borderId="14" xfId="2" applyBorder="1" applyAlignment="1">
      <alignment wrapText="1"/>
    </xf>
    <xf numFmtId="0" fontId="102" fillId="0" borderId="14" xfId="2" applyFont="1" applyBorder="1" applyAlignment="1">
      <alignment horizontal="center"/>
    </xf>
    <xf numFmtId="0" fontId="101" fillId="0" borderId="14" xfId="1" applyFont="1" applyBorder="1" applyAlignment="1">
      <alignment horizontal="center"/>
    </xf>
    <xf numFmtId="0" fontId="104" fillId="0" borderId="0" xfId="1" applyFont="1" applyBorder="1" applyAlignment="1">
      <alignment horizontal="center" vertical="center"/>
    </xf>
    <xf numFmtId="0" fontId="101" fillId="0" borderId="14" xfId="1" applyFont="1" applyBorder="1" applyAlignment="1">
      <alignment wrapText="1"/>
    </xf>
    <xf numFmtId="0" fontId="101" fillId="0" borderId="14" xfId="1" applyFont="1" applyFill="1" applyBorder="1" applyAlignment="1">
      <alignment wrapText="1"/>
    </xf>
    <xf numFmtId="0" fontId="6" fillId="0" borderId="0" xfId="2" applyAlignment="1">
      <alignment horizontal="center" vertical="center"/>
    </xf>
    <xf numFmtId="0" fontId="84" fillId="0" borderId="0" xfId="2" applyFont="1" applyBorder="1" applyAlignment="1">
      <alignment horizontal="center"/>
    </xf>
    <xf numFmtId="0" fontId="84" fillId="0" borderId="16" xfId="2" applyFont="1" applyBorder="1" applyAlignment="1">
      <alignment horizontal="center"/>
    </xf>
    <xf numFmtId="0" fontId="98" fillId="0" borderId="14" xfId="2" applyFont="1" applyBorder="1" applyAlignment="1">
      <alignment horizontal="center" vertical="center"/>
    </xf>
    <xf numFmtId="0" fontId="102" fillId="0" borderId="14" xfId="2" quotePrefix="1" applyFont="1" applyBorder="1" applyAlignment="1">
      <alignment horizontal="center" vertical="center"/>
    </xf>
    <xf numFmtId="0" fontId="6" fillId="0" borderId="0" xfId="2" applyBorder="1"/>
    <xf numFmtId="0" fontId="98" fillId="0" borderId="14" xfId="2" applyFont="1" applyBorder="1" applyAlignment="1">
      <alignment horizontal="center"/>
    </xf>
    <xf numFmtId="0" fontId="107" fillId="0" borderId="0" xfId="2" applyFont="1" applyBorder="1" applyAlignment="1">
      <alignment horizontal="center" vertical="center"/>
    </xf>
    <xf numFmtId="0" fontId="102" fillId="0" borderId="16" xfId="2" applyFont="1" applyFill="1" applyBorder="1" applyAlignment="1">
      <alignment horizontal="center" vertical="center"/>
    </xf>
    <xf numFmtId="0" fontId="102" fillId="0" borderId="14" xfId="2" quotePrefix="1" applyFont="1" applyFill="1" applyBorder="1" applyAlignment="1">
      <alignment horizontal="center" vertical="center"/>
    </xf>
    <xf numFmtId="0" fontId="105" fillId="0" borderId="0" xfId="2" applyFont="1" applyFill="1" applyBorder="1" applyAlignment="1">
      <alignment horizontal="center"/>
    </xf>
    <xf numFmtId="0" fontId="108" fillId="0" borderId="0" xfId="2" applyFont="1" applyAlignment="1">
      <alignment horizontal="center" vertical="center" wrapText="1"/>
    </xf>
    <xf numFmtId="0" fontId="108" fillId="0" borderId="0" xfId="2" applyFont="1" applyBorder="1" applyAlignment="1">
      <alignment horizontal="center" vertical="center" wrapText="1"/>
    </xf>
    <xf numFmtId="0" fontId="109" fillId="0" borderId="14" xfId="2" applyFont="1" applyFill="1" applyBorder="1" applyAlignment="1">
      <alignment horizontal="center" vertical="center" wrapText="1"/>
    </xf>
    <xf numFmtId="0" fontId="88" fillId="0" borderId="14" xfId="2" applyFont="1" applyFill="1" applyBorder="1" applyAlignment="1">
      <alignment horizontal="center" vertical="top"/>
    </xf>
    <xf numFmtId="0" fontId="87" fillId="0" borderId="14" xfId="2" applyFont="1" applyBorder="1" applyAlignment="1">
      <alignment horizontal="center" vertical="center"/>
    </xf>
    <xf numFmtId="0" fontId="103" fillId="0" borderId="0" xfId="2" applyFont="1" applyBorder="1" applyAlignment="1">
      <alignment horizontal="center" vertical="center" wrapText="1"/>
    </xf>
    <xf numFmtId="0" fontId="103" fillId="0" borderId="0" xfId="2" applyFont="1" applyAlignment="1">
      <alignment horizontal="center" vertical="center" wrapText="1"/>
    </xf>
    <xf numFmtId="0" fontId="107" fillId="0" borderId="14" xfId="2" applyFont="1" applyBorder="1"/>
    <xf numFmtId="0" fontId="107" fillId="0" borderId="14" xfId="2" applyFont="1" applyBorder="1" applyAlignment="1">
      <alignment wrapText="1"/>
    </xf>
    <xf numFmtId="1" fontId="48" fillId="4" borderId="76" xfId="0" applyNumberFormat="1" applyFont="1" applyFill="1" applyBorder="1" applyAlignment="1">
      <alignment horizontal="center" vertical="center" wrapText="1" shrinkToFit="1"/>
    </xf>
    <xf numFmtId="0" fontId="53" fillId="4" borderId="73" xfId="0" applyFont="1" applyFill="1" applyBorder="1" applyAlignment="1">
      <alignment horizontal="center" vertical="top"/>
    </xf>
    <xf numFmtId="0" fontId="53" fillId="4" borderId="74" xfId="0" applyFont="1" applyFill="1" applyBorder="1" applyAlignment="1">
      <alignment horizontal="center" vertical="top"/>
    </xf>
    <xf numFmtId="0" fontId="53" fillId="4" borderId="14" xfId="0" applyFont="1" applyFill="1" applyBorder="1" applyAlignment="1">
      <alignment horizontal="center" vertical="top"/>
    </xf>
    <xf numFmtId="0" fontId="53" fillId="4" borderId="46" xfId="0" applyFont="1" applyFill="1" applyBorder="1" applyAlignment="1">
      <alignment horizontal="center" vertical="top"/>
    </xf>
    <xf numFmtId="0" fontId="5" fillId="0" borderId="0" xfId="6"/>
    <xf numFmtId="0" fontId="102" fillId="10" borderId="14" xfId="6" applyFont="1" applyFill="1" applyBorder="1" applyAlignment="1">
      <alignment horizontal="center" vertical="center"/>
    </xf>
    <xf numFmtId="0" fontId="98" fillId="10" borderId="14" xfId="6" applyFont="1" applyFill="1" applyBorder="1" applyAlignment="1">
      <alignment horizontal="center" vertical="center"/>
    </xf>
    <xf numFmtId="0" fontId="113" fillId="10" borderId="14" xfId="6" applyFont="1" applyFill="1" applyBorder="1"/>
    <xf numFmtId="0" fontId="114" fillId="10" borderId="14" xfId="6" applyFont="1" applyFill="1" applyBorder="1"/>
    <xf numFmtId="0" fontId="98" fillId="10" borderId="14" xfId="6" applyFont="1" applyFill="1" applyBorder="1"/>
    <xf numFmtId="0" fontId="84" fillId="0" borderId="0" xfId="6" applyFont="1"/>
    <xf numFmtId="0" fontId="115" fillId="10" borderId="14" xfId="6" applyFont="1" applyFill="1" applyBorder="1" applyAlignment="1">
      <alignment horizontal="center" vertical="center"/>
    </xf>
    <xf numFmtId="0" fontId="99" fillId="10" borderId="23" xfId="6" applyFont="1" applyFill="1" applyBorder="1"/>
    <xf numFmtId="0" fontId="98" fillId="10" borderId="23" xfId="6" applyFont="1" applyFill="1" applyBorder="1" applyAlignment="1">
      <alignment horizontal="center" vertical="center"/>
    </xf>
    <xf numFmtId="0" fontId="84" fillId="0" borderId="126" xfId="6" applyFont="1" applyBorder="1"/>
    <xf numFmtId="0" fontId="119" fillId="0" borderId="0" xfId="6" applyFont="1"/>
    <xf numFmtId="0" fontId="119" fillId="0" borderId="0" xfId="6" applyFont="1" applyAlignment="1">
      <alignment vertical="center"/>
    </xf>
    <xf numFmtId="0" fontId="120" fillId="0" borderId="0" xfId="6" applyFont="1" applyAlignment="1">
      <alignment horizontal="center" vertical="center" wrapText="1"/>
    </xf>
    <xf numFmtId="0" fontId="121" fillId="0" borderId="0" xfId="6" applyFont="1" applyAlignment="1">
      <alignment vertical="center"/>
    </xf>
    <xf numFmtId="0" fontId="122" fillId="0" borderId="14" xfId="6" applyFont="1" applyBorder="1" applyAlignment="1">
      <alignment vertical="center"/>
    </xf>
    <xf numFmtId="0" fontId="119" fillId="0" borderId="0" xfId="6" applyFont="1" applyAlignment="1">
      <alignment vertical="center" wrapText="1"/>
    </xf>
    <xf numFmtId="0" fontId="119" fillId="0" borderId="0" xfId="6" applyFont="1" applyBorder="1"/>
    <xf numFmtId="0" fontId="119" fillId="0" borderId="0" xfId="6" applyFont="1" applyBorder="1" applyAlignment="1">
      <alignment horizontal="center"/>
    </xf>
    <xf numFmtId="0" fontId="123" fillId="0" borderId="14" xfId="6" applyFont="1" applyBorder="1" applyAlignment="1">
      <alignment vertical="center"/>
    </xf>
    <xf numFmtId="0" fontId="123" fillId="0" borderId="14" xfId="6" applyFont="1" applyBorder="1" applyAlignment="1">
      <alignment vertical="center" wrapText="1"/>
    </xf>
    <xf numFmtId="0" fontId="123" fillId="0" borderId="14" xfId="6" applyFont="1" applyBorder="1" applyAlignment="1">
      <alignment horizontal="right"/>
    </xf>
    <xf numFmtId="0" fontId="123" fillId="0" borderId="14" xfId="6" applyFont="1" applyBorder="1" applyAlignment="1">
      <alignment horizontal="center" vertical="center"/>
    </xf>
    <xf numFmtId="0" fontId="123" fillId="0" borderId="14" xfId="6" applyFont="1" applyBorder="1" applyAlignment="1">
      <alignment horizontal="left" vertical="center" wrapText="1"/>
    </xf>
    <xf numFmtId="0" fontId="123" fillId="0" borderId="14" xfId="6" applyFont="1" applyBorder="1"/>
    <xf numFmtId="0" fontId="122" fillId="0" borderId="14" xfId="6" applyFont="1" applyBorder="1" applyAlignment="1">
      <alignment horizontal="center" vertical="center"/>
    </xf>
    <xf numFmtId="0" fontId="118" fillId="0" borderId="0" xfId="6" applyFont="1" applyAlignment="1">
      <alignment vertical="center"/>
    </xf>
    <xf numFmtId="0" fontId="123" fillId="0" borderId="30" xfId="6" applyFont="1" applyBorder="1" applyAlignment="1">
      <alignment horizontal="center"/>
    </xf>
    <xf numFmtId="0" fontId="119" fillId="0" borderId="27" xfId="6" applyFont="1" applyBorder="1" applyAlignment="1">
      <alignment horizontal="center"/>
    </xf>
    <xf numFmtId="0" fontId="4" fillId="0" borderId="0" xfId="8"/>
    <xf numFmtId="0" fontId="4" fillId="0" borderId="71" xfId="8" applyFill="1" applyBorder="1"/>
    <xf numFmtId="0" fontId="89" fillId="0" borderId="0" xfId="8" applyFont="1"/>
    <xf numFmtId="0" fontId="86" fillId="0" borderId="14" xfId="8" applyFont="1" applyBorder="1" applyAlignment="1">
      <alignment horizontal="center"/>
    </xf>
    <xf numFmtId="0" fontId="89" fillId="0" borderId="14" xfId="8" applyFont="1" applyBorder="1"/>
    <xf numFmtId="0" fontId="89" fillId="0" borderId="18" xfId="8" applyFont="1" applyBorder="1"/>
    <xf numFmtId="0" fontId="89" fillId="0" borderId="14" xfId="8" applyFont="1" applyFill="1" applyBorder="1"/>
    <xf numFmtId="0" fontId="86" fillId="0" borderId="14" xfId="8" applyFont="1" applyFill="1" applyBorder="1"/>
    <xf numFmtId="0" fontId="86" fillId="0" borderId="14" xfId="8" applyFont="1" applyBorder="1"/>
    <xf numFmtId="164" fontId="85" fillId="0" borderId="14" xfId="8" applyNumberFormat="1" applyFont="1" applyBorder="1" applyAlignment="1">
      <alignment horizontal="left"/>
    </xf>
    <xf numFmtId="0" fontId="126" fillId="0" borderId="0" xfId="9" applyFont="1"/>
    <xf numFmtId="0" fontId="3" fillId="0" borderId="0" xfId="9"/>
    <xf numFmtId="0" fontId="84" fillId="0" borderId="16" xfId="9" applyFont="1" applyBorder="1"/>
    <xf numFmtId="0" fontId="86" fillId="0" borderId="17" xfId="9" applyFont="1" applyBorder="1"/>
    <xf numFmtId="0" fontId="96" fillId="0" borderId="0" xfId="9" applyFont="1" applyAlignment="1">
      <alignment horizontal="center" vertical="center"/>
    </xf>
    <xf numFmtId="0" fontId="127" fillId="0" borderId="14" xfId="9" applyFont="1" applyBorder="1" applyAlignment="1">
      <alignment horizontal="left" vertical="center"/>
    </xf>
    <xf numFmtId="0" fontId="128" fillId="0" borderId="14" xfId="9" applyFont="1" applyBorder="1" applyAlignment="1">
      <alignment horizontal="left" vertical="center" wrapText="1"/>
    </xf>
    <xf numFmtId="0" fontId="127" fillId="0" borderId="14" xfId="9" applyFont="1" applyBorder="1" applyAlignment="1">
      <alignment horizontal="left" vertical="center" wrapText="1"/>
    </xf>
    <xf numFmtId="0" fontId="106" fillId="0" borderId="0" xfId="9" applyFont="1" applyAlignment="1">
      <alignment horizontal="left" vertical="center"/>
    </xf>
    <xf numFmtId="0" fontId="86" fillId="0" borderId="0" xfId="9" applyFont="1"/>
    <xf numFmtId="49" fontId="3" fillId="0" borderId="0" xfId="9" applyNumberFormat="1" applyAlignment="1">
      <alignment wrapText="1"/>
    </xf>
    <xf numFmtId="0" fontId="3" fillId="0" borderId="0" xfId="9" applyAlignment="1">
      <alignment horizontal="center"/>
    </xf>
    <xf numFmtId="0" fontId="3" fillId="0" borderId="0" xfId="9" applyAlignment="1">
      <alignment wrapText="1"/>
    </xf>
    <xf numFmtId="0" fontId="106" fillId="0" borderId="14" xfId="9" applyFont="1" applyBorder="1" applyAlignment="1">
      <alignment horizontal="center" vertical="center"/>
    </xf>
    <xf numFmtId="0" fontId="127" fillId="0" borderId="0" xfId="9" applyFont="1"/>
    <xf numFmtId="0" fontId="84" fillId="0" borderId="14" xfId="9" applyFont="1" applyBorder="1" applyAlignment="1">
      <alignment horizontal="center" vertical="center" wrapText="1"/>
    </xf>
    <xf numFmtId="0" fontId="84" fillId="0" borderId="0" xfId="9" applyFont="1" applyAlignment="1">
      <alignment horizontal="center" vertical="center" wrapText="1"/>
    </xf>
    <xf numFmtId="0" fontId="3" fillId="0" borderId="0" xfId="9" applyAlignment="1">
      <alignment horizontal="center" vertical="center" wrapText="1"/>
    </xf>
    <xf numFmtId="0" fontId="3" fillId="0" borderId="14" xfId="9" applyBorder="1"/>
    <xf numFmtId="0" fontId="130" fillId="0" borderId="14" xfId="10" applyFont="1" applyFill="1" applyBorder="1" applyAlignment="1" applyProtection="1">
      <alignment horizontal="left" vertical="center" wrapText="1"/>
      <protection hidden="1"/>
    </xf>
    <xf numFmtId="0" fontId="102" fillId="0" borderId="14" xfId="9" applyFont="1" applyBorder="1"/>
    <xf numFmtId="0" fontId="131" fillId="0" borderId="14" xfId="10" applyFont="1" applyFill="1" applyBorder="1" applyAlignment="1" applyProtection="1">
      <alignment horizontal="center" vertical="center" wrapText="1"/>
      <protection hidden="1"/>
    </xf>
    <xf numFmtId="0" fontId="102" fillId="0" borderId="14" xfId="9" applyFont="1" applyBorder="1" applyAlignment="1">
      <alignment horizontal="center" vertical="center"/>
    </xf>
    <xf numFmtId="0" fontId="102" fillId="0" borderId="0" xfId="9" applyFont="1" applyBorder="1"/>
    <xf numFmtId="0" fontId="130" fillId="0" borderId="0" xfId="10" applyFont="1" applyFill="1" applyBorder="1" applyAlignment="1" applyProtection="1">
      <alignment horizontal="left" vertical="center" wrapText="1"/>
      <protection hidden="1"/>
    </xf>
    <xf numFmtId="0" fontId="3" fillId="0" borderId="0" xfId="9" applyBorder="1"/>
    <xf numFmtId="0" fontId="84" fillId="0" borderId="14" xfId="9" applyFont="1" applyBorder="1" applyAlignment="1">
      <alignment horizontal="center" vertical="center"/>
    </xf>
    <xf numFmtId="0" fontId="3" fillId="0" borderId="14" xfId="9" applyBorder="1" applyAlignment="1">
      <alignment wrapText="1"/>
    </xf>
    <xf numFmtId="0" fontId="106" fillId="0" borderId="14" xfId="9" applyFont="1" applyBorder="1" applyAlignment="1">
      <alignment horizontal="left" wrapText="1"/>
    </xf>
    <xf numFmtId="0" fontId="106" fillId="0" borderId="14" xfId="9" applyFont="1" applyBorder="1" applyAlignment="1">
      <alignment horizontal="left"/>
    </xf>
    <xf numFmtId="49" fontId="3" fillId="0" borderId="0" xfId="9" applyNumberFormat="1"/>
    <xf numFmtId="0" fontId="85" fillId="0" borderId="0" xfId="9" applyFont="1"/>
    <xf numFmtId="0" fontId="3" fillId="0" borderId="0" xfId="9" applyAlignment="1">
      <alignment horizontal="left"/>
    </xf>
    <xf numFmtId="0" fontId="90" fillId="0" borderId="0" xfId="9" applyFont="1"/>
    <xf numFmtId="0" fontId="3" fillId="0" borderId="24" xfId="9" applyBorder="1" applyAlignment="1">
      <alignment horizontal="center"/>
    </xf>
    <xf numFmtId="0" fontId="3" fillId="0" borderId="24" xfId="9" applyBorder="1" applyAlignment="1">
      <alignment horizontal="center" wrapText="1"/>
    </xf>
    <xf numFmtId="49" fontId="3" fillId="0" borderId="24" xfId="9" applyNumberFormat="1" applyBorder="1" applyAlignment="1">
      <alignment horizontal="center" wrapText="1"/>
    </xf>
    <xf numFmtId="0" fontId="3" fillId="0" borderId="24" xfId="9" applyBorder="1" applyAlignment="1">
      <alignment horizontal="left" wrapText="1"/>
    </xf>
    <xf numFmtId="0" fontId="132" fillId="0" borderId="14" xfId="9" applyFont="1" applyBorder="1" applyAlignment="1">
      <alignment horizontal="center" wrapText="1"/>
    </xf>
    <xf numFmtId="49" fontId="3" fillId="0" borderId="14" xfId="9" applyNumberFormat="1" applyBorder="1"/>
    <xf numFmtId="49" fontId="3" fillId="0" borderId="14" xfId="9" applyNumberFormat="1" applyBorder="1" applyAlignment="1">
      <alignment horizontal="left"/>
    </xf>
    <xf numFmtId="49" fontId="84" fillId="0" borderId="14" xfId="9" applyNumberFormat="1" applyFont="1" applyBorder="1" applyAlignment="1">
      <alignment horizontal="right"/>
    </xf>
    <xf numFmtId="0" fontId="127" fillId="0" borderId="14" xfId="9" applyFont="1" applyBorder="1"/>
    <xf numFmtId="0" fontId="87" fillId="0" borderId="0" xfId="9" applyFont="1" applyAlignment="1">
      <alignment horizontal="left"/>
    </xf>
    <xf numFmtId="0" fontId="3" fillId="0" borderId="31" xfId="9" applyBorder="1" applyAlignment="1">
      <alignment horizontal="center" wrapText="1"/>
    </xf>
    <xf numFmtId="0" fontId="3" fillId="0" borderId="23" xfId="9" applyBorder="1" applyAlignment="1">
      <alignment horizontal="center" wrapText="1"/>
    </xf>
    <xf numFmtId="0" fontId="3" fillId="0" borderId="28" xfId="9" applyBorder="1" applyAlignment="1">
      <alignment horizontal="center" wrapText="1"/>
    </xf>
    <xf numFmtId="0" fontId="3" fillId="0" borderId="16" xfId="9" applyBorder="1"/>
    <xf numFmtId="0" fontId="87" fillId="0" borderId="14" xfId="9" applyFont="1" applyBorder="1" applyAlignment="1">
      <alignment horizontal="center"/>
    </xf>
    <xf numFmtId="0" fontId="84" fillId="0" borderId="14" xfId="9" applyFont="1" applyBorder="1" applyAlignment="1">
      <alignment horizontal="center"/>
    </xf>
    <xf numFmtId="0" fontId="135" fillId="0" borderId="14" xfId="9" applyFont="1" applyBorder="1" applyAlignment="1">
      <alignment horizontal="left" vertical="center" wrapText="1"/>
    </xf>
    <xf numFmtId="0" fontId="136" fillId="0" borderId="14" xfId="9" applyFont="1" applyBorder="1" applyAlignment="1">
      <alignment horizontal="left" vertical="center" wrapText="1"/>
    </xf>
    <xf numFmtId="0" fontId="136" fillId="0" borderId="14" xfId="9" applyFont="1" applyBorder="1" applyAlignment="1">
      <alignment horizontal="left"/>
    </xf>
    <xf numFmtId="0" fontId="136" fillId="0" borderId="14" xfId="9" applyFont="1" applyBorder="1" applyAlignment="1">
      <alignment horizontal="left" wrapText="1"/>
    </xf>
    <xf numFmtId="0" fontId="137" fillId="0" borderId="14" xfId="9" applyFont="1" applyBorder="1" applyAlignment="1">
      <alignment horizontal="left" vertical="center" wrapText="1"/>
    </xf>
    <xf numFmtId="0" fontId="136" fillId="0" borderId="14" xfId="9" applyFont="1" applyBorder="1" applyAlignment="1">
      <alignment horizontal="left" vertical="center"/>
    </xf>
    <xf numFmtId="0" fontId="136" fillId="0" borderId="14" xfId="9" applyFont="1" applyBorder="1" applyAlignment="1">
      <alignment horizontal="left" vertical="top"/>
    </xf>
    <xf numFmtId="0" fontId="136" fillId="0" borderId="14" xfId="9" applyFont="1" applyBorder="1" applyAlignment="1">
      <alignment vertical="top"/>
    </xf>
    <xf numFmtId="0" fontId="3" fillId="0" borderId="0" xfId="11"/>
    <xf numFmtId="0" fontId="96" fillId="0" borderId="0" xfId="11" applyFont="1"/>
    <xf numFmtId="0" fontId="84" fillId="0" borderId="14" xfId="11" applyFont="1" applyBorder="1" applyAlignment="1">
      <alignment horizontal="center" wrapText="1"/>
    </xf>
    <xf numFmtId="0" fontId="3" fillId="0" borderId="14" xfId="11" applyBorder="1" applyAlignment="1">
      <alignment horizontal="center"/>
    </xf>
    <xf numFmtId="0" fontId="101" fillId="0" borderId="116" xfId="1" applyFont="1" applyBorder="1" applyAlignment="1">
      <alignment horizontal="center"/>
    </xf>
    <xf numFmtId="0" fontId="101" fillId="0" borderId="117" xfId="1" applyFont="1" applyBorder="1" applyAlignment="1">
      <alignment horizontal="center"/>
    </xf>
    <xf numFmtId="0" fontId="119" fillId="0" borderId="0" xfId="6" applyFont="1" applyBorder="1"/>
    <xf numFmtId="0" fontId="113" fillId="10" borderId="23" xfId="6" applyFont="1" applyFill="1" applyBorder="1" applyAlignment="1">
      <alignment horizontal="center"/>
    </xf>
    <xf numFmtId="0" fontId="132" fillId="0" borderId="0" xfId="2" applyFont="1"/>
    <xf numFmtId="0" fontId="84" fillId="0" borderId="0" xfId="11" applyFont="1"/>
    <xf numFmtId="0" fontId="3" fillId="0" borderId="14" xfId="11" applyBorder="1"/>
    <xf numFmtId="0" fontId="84" fillId="0" borderId="14" xfId="11" applyFont="1" applyBorder="1"/>
    <xf numFmtId="0" fontId="89" fillId="0" borderId="14" xfId="11" applyFont="1" applyBorder="1"/>
    <xf numFmtId="0" fontId="86" fillId="0" borderId="14" xfId="11" applyFont="1" applyBorder="1"/>
    <xf numFmtId="0" fontId="89" fillId="0" borderId="14" xfId="11" applyFont="1" applyFill="1" applyBorder="1"/>
    <xf numFmtId="0" fontId="89" fillId="0" borderId="23" xfId="11" applyFont="1" applyFill="1" applyBorder="1"/>
    <xf numFmtId="0" fontId="89" fillId="0" borderId="23" xfId="11" applyFont="1" applyBorder="1"/>
    <xf numFmtId="0" fontId="1" fillId="0" borderId="0" xfId="12"/>
    <xf numFmtId="0" fontId="91" fillId="0" borderId="14" xfId="12" applyFont="1" applyBorder="1" applyAlignment="1">
      <alignment wrapText="1" shrinkToFit="1"/>
    </xf>
    <xf numFmtId="0" fontId="91" fillId="0" borderId="0" xfId="12" applyFont="1" applyAlignment="1">
      <alignment wrapText="1" shrinkToFit="1"/>
    </xf>
    <xf numFmtId="0" fontId="139" fillId="0" borderId="14" xfId="12" applyFont="1" applyBorder="1"/>
    <xf numFmtId="0" fontId="139" fillId="0" borderId="0" xfId="12" applyFont="1"/>
    <xf numFmtId="0" fontId="88" fillId="0" borderId="14" xfId="12" applyFont="1" applyBorder="1"/>
    <xf numFmtId="0" fontId="88" fillId="0" borderId="14" xfId="12" applyFont="1" applyBorder="1" applyAlignment="1">
      <alignment horizontal="center"/>
    </xf>
    <xf numFmtId="0" fontId="1" fillId="0" borderId="0" xfId="12" quotePrefix="1"/>
    <xf numFmtId="0" fontId="141" fillId="0" borderId="14" xfId="4" applyFont="1" applyBorder="1" applyAlignment="1" applyProtection="1">
      <alignment horizontal="center" vertical="center"/>
    </xf>
    <xf numFmtId="0" fontId="141" fillId="0" borderId="14" xfId="4" applyFont="1" applyBorder="1" applyAlignment="1" applyProtection="1">
      <alignment horizontal="left" vertical="center"/>
    </xf>
    <xf numFmtId="0" fontId="142" fillId="0" borderId="14" xfId="3" applyFont="1" applyFill="1" applyBorder="1" applyAlignment="1">
      <alignment horizontal="center" vertical="center"/>
    </xf>
    <xf numFmtId="0" fontId="142" fillId="0" borderId="14" xfId="3" applyFont="1" applyFill="1" applyBorder="1" applyAlignment="1">
      <alignment vertical="center" wrapText="1"/>
    </xf>
    <xf numFmtId="0" fontId="142" fillId="0" borderId="14" xfId="3" applyFont="1" applyFill="1" applyBorder="1">
      <alignment vertical="center"/>
    </xf>
    <xf numFmtId="0" fontId="142" fillId="0" borderId="14" xfId="3" applyFont="1" applyFill="1" applyBorder="1" applyAlignment="1"/>
    <xf numFmtId="0" fontId="142" fillId="0" borderId="14" xfId="3" applyFont="1" applyFill="1" applyBorder="1" applyAlignment="1">
      <alignment horizontal="left" vertical="center"/>
    </xf>
    <xf numFmtId="0" fontId="142" fillId="0" borderId="14" xfId="3" applyFont="1" applyFill="1" applyBorder="1" applyAlignment="1">
      <alignment horizontal="left" vertical="center" wrapText="1"/>
    </xf>
    <xf numFmtId="0" fontId="142" fillId="0" borderId="14" xfId="3" applyFont="1" applyFill="1" applyBorder="1" applyAlignment="1">
      <alignment horizontal="center"/>
    </xf>
    <xf numFmtId="0" fontId="142" fillId="0" borderId="14" xfId="3" applyFont="1" applyFill="1" applyBorder="1" applyAlignment="1">
      <alignment horizontal="left"/>
    </xf>
    <xf numFmtId="0" fontId="143" fillId="0" borderId="14" xfId="3" applyFont="1" applyFill="1" applyBorder="1" applyAlignment="1">
      <alignment horizontal="left" wrapText="1" shrinkToFit="1"/>
    </xf>
    <xf numFmtId="0" fontId="144" fillId="0" borderId="0" xfId="3" applyFont="1">
      <alignment vertical="center"/>
    </xf>
    <xf numFmtId="0" fontId="142" fillId="0" borderId="14" xfId="4" applyFont="1" applyBorder="1" applyAlignment="1" applyProtection="1">
      <alignment horizontal="center" vertical="center"/>
    </xf>
    <xf numFmtId="0" fontId="142" fillId="0" borderId="14" xfId="4" applyFont="1" applyBorder="1" applyAlignment="1" applyProtection="1">
      <alignment horizontal="left" vertical="center"/>
    </xf>
    <xf numFmtId="0" fontId="145" fillId="0" borderId="0" xfId="3" applyFont="1" applyFill="1" applyBorder="1" applyAlignment="1" applyProtection="1">
      <alignment horizontal="center" vertical="center" wrapText="1"/>
      <protection hidden="1"/>
    </xf>
    <xf numFmtId="0" fontId="145" fillId="0" borderId="0" xfId="3" applyFont="1" applyFill="1" applyBorder="1" applyAlignment="1" applyProtection="1">
      <alignment vertical="center" wrapText="1"/>
      <protection hidden="1"/>
    </xf>
    <xf numFmtId="0" fontId="146" fillId="0" borderId="0" xfId="3" applyFont="1" applyFill="1" applyBorder="1" applyAlignment="1"/>
    <xf numFmtId="0" fontId="146" fillId="9" borderId="126" xfId="3" applyFont="1" applyFill="1" applyBorder="1" applyAlignment="1" applyProtection="1">
      <alignment wrapText="1"/>
      <protection locked="0"/>
    </xf>
    <xf numFmtId="0" fontId="146" fillId="9" borderId="0" xfId="3" applyFont="1" applyFill="1" applyBorder="1" applyAlignment="1" applyProtection="1">
      <alignment wrapText="1"/>
      <protection locked="0"/>
    </xf>
    <xf numFmtId="0" fontId="147" fillId="9" borderId="23" xfId="3" applyFont="1" applyFill="1" applyBorder="1" applyAlignment="1" applyProtection="1">
      <alignment vertical="center" wrapText="1"/>
      <protection locked="0"/>
    </xf>
    <xf numFmtId="0" fontId="147" fillId="0" borderId="23" xfId="3" applyFont="1" applyFill="1" applyBorder="1" applyAlignment="1" applyProtection="1">
      <alignment vertical="center" wrapText="1"/>
      <protection locked="0"/>
    </xf>
    <xf numFmtId="0" fontId="142" fillId="0" borderId="0" xfId="3" applyFont="1" applyFill="1" applyAlignment="1">
      <alignment horizontal="center"/>
    </xf>
    <xf numFmtId="0" fontId="143" fillId="0" borderId="14" xfId="3" applyFont="1" applyFill="1" applyBorder="1" applyAlignment="1">
      <alignment horizontal="center" wrapText="1" shrinkToFit="1"/>
    </xf>
    <xf numFmtId="0" fontId="136" fillId="0" borderId="14" xfId="3" applyFont="1" applyFill="1" applyBorder="1" applyAlignment="1">
      <alignment horizontal="center" vertical="center"/>
    </xf>
    <xf numFmtId="0" fontId="136" fillId="0" borderId="14" xfId="3" applyFont="1" applyFill="1" applyBorder="1" applyAlignment="1">
      <alignment horizontal="left" vertical="center"/>
    </xf>
    <xf numFmtId="0" fontId="136" fillId="0" borderId="14" xfId="3" applyFont="1" applyFill="1" applyBorder="1" applyAlignment="1">
      <alignment horizontal="left" vertical="center" wrapText="1"/>
    </xf>
    <xf numFmtId="0" fontId="136" fillId="0" borderId="14" xfId="3" applyFont="1" applyFill="1" applyBorder="1" applyAlignment="1">
      <alignment horizontal="left"/>
    </xf>
    <xf numFmtId="0" fontId="148" fillId="0" borderId="14" xfId="3" applyFont="1" applyFill="1" applyBorder="1" applyAlignment="1">
      <alignment horizontal="left" wrapText="1" shrinkToFit="1"/>
    </xf>
    <xf numFmtId="0" fontId="146" fillId="0" borderId="14" xfId="3" applyFont="1" applyFill="1" applyBorder="1" applyAlignment="1"/>
    <xf numFmtId="0" fontId="149" fillId="0" borderId="0" xfId="3" applyFont="1" applyFill="1" applyBorder="1" applyAlignment="1" applyProtection="1">
      <alignment horizontal="center" vertical="center" wrapText="1"/>
      <protection hidden="1"/>
    </xf>
    <xf numFmtId="1" fontId="150" fillId="0" borderId="14" xfId="0" applyNumberFormat="1" applyFont="1" applyFill="1" applyBorder="1" applyAlignment="1">
      <alignment horizontal="center" vertical="top"/>
    </xf>
    <xf numFmtId="164" fontId="150" fillId="0" borderId="14" xfId="0" applyNumberFormat="1" applyFont="1" applyFill="1" applyBorder="1" applyAlignment="1">
      <alignment horizontal="left" vertical="top"/>
    </xf>
    <xf numFmtId="1" fontId="77" fillId="0" borderId="27" xfId="0" applyNumberFormat="1" applyFont="1" applyFill="1" applyBorder="1" applyAlignment="1">
      <alignment horizontal="left" vertical="top"/>
    </xf>
    <xf numFmtId="164" fontId="77" fillId="0" borderId="91" xfId="0" applyNumberFormat="1" applyFont="1" applyFill="1" applyBorder="1" applyAlignment="1">
      <alignment horizontal="left" vertical="top"/>
    </xf>
    <xf numFmtId="165" fontId="77" fillId="0" borderId="14" xfId="13" applyNumberFormat="1" applyFont="1" applyFill="1" applyBorder="1" applyAlignment="1">
      <alignment horizontal="center" vertical="top"/>
    </xf>
    <xf numFmtId="0" fontId="82" fillId="0" borderId="0" xfId="0" applyFont="1" applyFill="1" applyBorder="1" applyAlignment="1">
      <alignment horizontal="left" vertical="top"/>
    </xf>
    <xf numFmtId="0" fontId="82" fillId="0" borderId="38" xfId="0" applyFont="1" applyFill="1" applyBorder="1" applyAlignment="1">
      <alignment horizontal="left" vertical="top"/>
    </xf>
    <xf numFmtId="0" fontId="77" fillId="0" borderId="59" xfId="0" applyFont="1" applyFill="1" applyBorder="1" applyAlignment="1">
      <alignment horizontal="left" vertical="top"/>
    </xf>
    <xf numFmtId="0" fontId="77" fillId="0" borderId="14" xfId="0" applyFont="1" applyFill="1" applyBorder="1" applyAlignment="1">
      <alignment horizontal="left" vertical="top"/>
    </xf>
    <xf numFmtId="1" fontId="77" fillId="0" borderId="30" xfId="0" applyNumberFormat="1" applyFont="1" applyFill="1" applyBorder="1" applyAlignment="1">
      <alignment horizontal="left" vertical="top"/>
    </xf>
    <xf numFmtId="1" fontId="77" fillId="0" borderId="43" xfId="0" applyNumberFormat="1" applyFont="1" applyFill="1" applyBorder="1" applyAlignment="1">
      <alignment horizontal="left" vertical="top"/>
    </xf>
    <xf numFmtId="0" fontId="77" fillId="0" borderId="17" xfId="0" applyFont="1" applyFill="1" applyBorder="1" applyAlignment="1">
      <alignment horizontal="left" vertical="top"/>
    </xf>
    <xf numFmtId="0" fontId="77" fillId="0" borderId="18" xfId="0" applyFont="1" applyFill="1" applyBorder="1" applyAlignment="1">
      <alignment horizontal="left" vertical="top"/>
    </xf>
    <xf numFmtId="164" fontId="77" fillId="0" borderId="30" xfId="0" applyNumberFormat="1" applyFont="1" applyFill="1" applyBorder="1" applyAlignment="1">
      <alignment horizontal="left" vertical="top"/>
    </xf>
    <xf numFmtId="165" fontId="77" fillId="0" borderId="27" xfId="0" applyNumberFormat="1" applyFont="1" applyFill="1" applyBorder="1" applyAlignment="1">
      <alignment horizontal="left" vertical="top"/>
    </xf>
    <xf numFmtId="0" fontId="151" fillId="0" borderId="14" xfId="11" applyFont="1" applyBorder="1" applyAlignment="1" applyProtection="1">
      <alignment horizontal="left" vertical="center" wrapText="1"/>
      <protection hidden="1"/>
    </xf>
    <xf numFmtId="0" fontId="151" fillId="8" borderId="14" xfId="11" applyFont="1" applyFill="1" applyBorder="1" applyAlignment="1" applyProtection="1">
      <alignment horizontal="left" vertical="center" wrapText="1"/>
      <protection hidden="1"/>
    </xf>
    <xf numFmtId="0" fontId="107" fillId="0" borderId="14" xfId="11" applyFont="1" applyBorder="1" applyAlignment="1" applyProtection="1">
      <alignment horizontal="left" vertical="center" wrapText="1"/>
      <protection hidden="1"/>
    </xf>
    <xf numFmtId="0" fontId="107" fillId="4" borderId="14" xfId="11" applyFont="1" applyFill="1" applyBorder="1" applyAlignment="1" applyProtection="1">
      <alignment horizontal="left" vertical="center" wrapText="1"/>
      <protection hidden="1"/>
    </xf>
    <xf numFmtId="1" fontId="152" fillId="0" borderId="14" xfId="0" applyNumberFormat="1" applyFont="1" applyFill="1" applyBorder="1" applyAlignment="1">
      <alignment horizontal="center" vertical="top"/>
    </xf>
    <xf numFmtId="164" fontId="152" fillId="0" borderId="14" xfId="0" applyNumberFormat="1" applyFont="1" applyFill="1" applyBorder="1" applyAlignment="1">
      <alignment horizontal="left" vertical="top"/>
    </xf>
    <xf numFmtId="0" fontId="77" fillId="0" borderId="45" xfId="0" applyFont="1" applyFill="1" applyBorder="1" applyAlignment="1">
      <alignment horizontal="center" vertical="center"/>
    </xf>
    <xf numFmtId="0" fontId="77" fillId="0" borderId="14" xfId="0" applyFont="1" applyFill="1" applyBorder="1" applyAlignment="1">
      <alignment horizontal="center" vertical="top" wrapText="1" shrinkToFit="1"/>
    </xf>
    <xf numFmtId="0" fontId="150" fillId="0" borderId="16" xfId="0" applyFont="1" applyFill="1" applyBorder="1" applyAlignment="1">
      <alignment vertical="top"/>
    </xf>
    <xf numFmtId="0" fontId="153" fillId="0" borderId="45" xfId="0" applyFont="1" applyFill="1" applyBorder="1" applyAlignment="1">
      <alignment horizontal="left" vertical="top"/>
    </xf>
    <xf numFmtId="0" fontId="153" fillId="0" borderId="29" xfId="0" applyFont="1" applyFill="1" applyBorder="1" applyAlignment="1">
      <alignment vertical="top"/>
    </xf>
    <xf numFmtId="1" fontId="153" fillId="0" borderId="14" xfId="0" applyNumberFormat="1" applyFont="1" applyFill="1" applyBorder="1" applyAlignment="1">
      <alignment horizontal="center" vertical="top"/>
    </xf>
    <xf numFmtId="0" fontId="153" fillId="0" borderId="14" xfId="0" applyFont="1" applyFill="1" applyBorder="1" applyAlignment="1">
      <alignment horizontal="center" vertical="top"/>
    </xf>
    <xf numFmtId="0" fontId="153" fillId="0" borderId="14" xfId="0" applyFont="1" applyFill="1" applyBorder="1" applyAlignment="1">
      <alignment horizontal="center" vertical="top" wrapText="1" shrinkToFit="1"/>
    </xf>
    <xf numFmtId="164" fontId="153" fillId="0" borderId="14" xfId="0" applyNumberFormat="1" applyFont="1" applyFill="1" applyBorder="1" applyAlignment="1">
      <alignment horizontal="left" vertical="top"/>
    </xf>
    <xf numFmtId="0" fontId="154" fillId="0" borderId="0" xfId="0" applyFont="1" applyFill="1" applyBorder="1" applyAlignment="1">
      <alignment horizontal="left" vertical="top"/>
    </xf>
    <xf numFmtId="0" fontId="154" fillId="0" borderId="38" xfId="0" applyFont="1" applyFill="1" applyBorder="1" applyAlignment="1">
      <alignment horizontal="left" vertical="top"/>
    </xf>
    <xf numFmtId="1" fontId="153" fillId="0" borderId="14" xfId="0" quotePrefix="1" applyNumberFormat="1" applyFont="1" applyFill="1" applyBorder="1" applyAlignment="1">
      <alignment horizontal="center" vertical="top"/>
    </xf>
    <xf numFmtId="0" fontId="106" fillId="0" borderId="0" xfId="11" applyFont="1"/>
    <xf numFmtId="0" fontId="106" fillId="0" borderId="14" xfId="11" applyFont="1" applyBorder="1" applyAlignment="1">
      <alignment horizontal="center" vertical="center"/>
    </xf>
    <xf numFmtId="0" fontId="106" fillId="0" borderId="14" xfId="11" applyFont="1" applyBorder="1" applyAlignment="1">
      <alignment horizontal="left" vertical="center" wrapText="1"/>
    </xf>
    <xf numFmtId="0" fontId="106" fillId="0" borderId="14" xfId="11" applyFont="1" applyBorder="1" applyAlignment="1">
      <alignment horizontal="left" vertical="center"/>
    </xf>
    <xf numFmtId="0" fontId="137" fillId="0" borderId="14" xfId="11" applyFont="1" applyBorder="1" applyAlignment="1">
      <alignment vertical="center" wrapText="1"/>
    </xf>
    <xf numFmtId="0" fontId="137" fillId="0" borderId="14" xfId="11" applyFont="1" applyBorder="1" applyAlignment="1">
      <alignment horizontal="left" vertical="center" wrapText="1"/>
    </xf>
    <xf numFmtId="0" fontId="106" fillId="0" borderId="23" xfId="11" applyFont="1" applyBorder="1" applyAlignment="1">
      <alignment horizontal="center" vertical="center"/>
    </xf>
    <xf numFmtId="0" fontId="106" fillId="0" borderId="23" xfId="11" applyFont="1" applyBorder="1" applyAlignment="1">
      <alignment horizontal="left" vertical="center" wrapText="1"/>
    </xf>
    <xf numFmtId="0" fontId="106" fillId="0" borderId="127" xfId="11" applyFont="1" applyBorder="1" applyAlignment="1">
      <alignment horizontal="center" vertical="center"/>
    </xf>
    <xf numFmtId="0" fontId="96" fillId="0" borderId="128" xfId="11" applyFont="1" applyBorder="1" applyAlignment="1">
      <alignment horizontal="center" vertical="center"/>
    </xf>
    <xf numFmtId="0" fontId="96" fillId="0" borderId="127" xfId="11" applyFont="1" applyBorder="1" applyAlignment="1">
      <alignment horizontal="center" vertical="center"/>
    </xf>
    <xf numFmtId="0" fontId="137" fillId="0" borderId="23" xfId="11" applyFont="1" applyBorder="1" applyAlignment="1">
      <alignment horizontal="left" vertical="center" wrapText="1"/>
    </xf>
    <xf numFmtId="0" fontId="126" fillId="0" borderId="0" xfId="9" applyFont="1" applyAlignment="1">
      <alignment horizontal="center"/>
    </xf>
    <xf numFmtId="0" fontId="67" fillId="4" borderId="12" xfId="0" applyFont="1" applyFill="1" applyBorder="1" applyAlignment="1">
      <alignment horizontal="left" vertical="top" wrapText="1"/>
    </xf>
    <xf numFmtId="0" fontId="124" fillId="0" borderId="17" xfId="6" applyFont="1" applyBorder="1" applyAlignment="1">
      <alignment horizontal="right"/>
    </xf>
    <xf numFmtId="1" fontId="48" fillId="4" borderId="114" xfId="0" applyNumberFormat="1" applyFont="1" applyFill="1" applyBorder="1" applyAlignment="1">
      <alignment horizontal="right" vertical="center" wrapText="1" shrinkToFit="1"/>
    </xf>
    <xf numFmtId="1" fontId="25" fillId="4" borderId="16" xfId="0" applyNumberFormat="1" applyFont="1" applyFill="1" applyBorder="1" applyAlignment="1">
      <alignment horizontal="center" vertical="center" wrapText="1" shrinkToFit="1"/>
    </xf>
    <xf numFmtId="0" fontId="96" fillId="0" borderId="16" xfId="1" applyFont="1" applyFill="1" applyBorder="1" applyAlignment="1">
      <alignment horizontal="left" vertical="center"/>
    </xf>
    <xf numFmtId="0" fontId="85" fillId="0" borderId="68" xfId="6" applyFont="1" applyBorder="1"/>
    <xf numFmtId="0" fontId="58" fillId="4" borderId="12" xfId="0" applyFont="1" applyFill="1" applyBorder="1" applyAlignment="1">
      <alignment horizontal="left" vertical="top" wrapText="1"/>
    </xf>
    <xf numFmtId="0" fontId="84" fillId="0" borderId="14" xfId="9" applyFont="1" applyBorder="1" applyAlignment="1">
      <alignment horizontal="center" vertical="center" wrapText="1"/>
    </xf>
    <xf numFmtId="0" fontId="3" fillId="0" borderId="16" xfId="9" applyBorder="1" applyAlignment="1">
      <alignment horizontal="center"/>
    </xf>
    <xf numFmtId="0" fontId="102" fillId="0" borderId="18" xfId="2" applyFont="1" applyFill="1" applyBorder="1" applyAlignment="1">
      <alignment horizontal="left" vertical="top"/>
    </xf>
    <xf numFmtId="0" fontId="102" fillId="0" borderId="18" xfId="2" applyFont="1" applyFill="1" applyBorder="1" applyAlignment="1">
      <alignment horizontal="center" vertical="top"/>
    </xf>
    <xf numFmtId="0" fontId="98" fillId="0" borderId="18" xfId="2" applyFont="1" applyBorder="1" applyAlignment="1">
      <alignment horizontal="center"/>
    </xf>
    <xf numFmtId="0" fontId="102" fillId="0" borderId="18" xfId="2" applyFont="1" applyBorder="1"/>
    <xf numFmtId="0" fontId="84" fillId="0" borderId="18" xfId="2" applyFont="1" applyBorder="1" applyAlignment="1">
      <alignment horizontal="center"/>
    </xf>
    <xf numFmtId="0" fontId="58" fillId="4" borderId="129" xfId="0" applyFont="1" applyFill="1" applyBorder="1" applyAlignment="1">
      <alignment horizontal="left" vertical="top" wrapText="1"/>
    </xf>
    <xf numFmtId="0" fontId="67" fillId="4" borderId="129" xfId="0" applyFont="1" applyFill="1" applyBorder="1" applyAlignment="1">
      <alignment horizontal="left" vertical="top" wrapText="1"/>
    </xf>
    <xf numFmtId="0" fontId="58" fillId="4" borderId="129" xfId="0" applyFont="1" applyFill="1" applyBorder="1" applyAlignment="1">
      <alignment horizontal="center" vertical="top" wrapText="1"/>
    </xf>
    <xf numFmtId="0" fontId="100" fillId="0" borderId="22" xfId="1" applyFont="1" applyBorder="1" applyAlignment="1">
      <alignment horizontal="center" vertical="center" wrapText="1"/>
    </xf>
    <xf numFmtId="0" fontId="6" fillId="0" borderId="22" xfId="2" applyBorder="1"/>
    <xf numFmtId="0" fontId="3" fillId="0" borderId="22" xfId="9" applyBorder="1"/>
    <xf numFmtId="0" fontId="127" fillId="0" borderId="22" xfId="9" applyFont="1" applyBorder="1"/>
    <xf numFmtId="0" fontId="129" fillId="0" borderId="14" xfId="10" applyFont="1" applyFill="1" applyBorder="1" applyAlignment="1" applyProtection="1">
      <alignment horizontal="left" vertical="center" wrapText="1"/>
      <protection hidden="1"/>
    </xf>
    <xf numFmtId="0" fontId="130" fillId="0" borderId="14" xfId="10" applyFont="1" applyFill="1" applyBorder="1" applyAlignment="1" applyProtection="1">
      <alignment horizontal="center" vertical="center" wrapText="1"/>
      <protection hidden="1"/>
    </xf>
    <xf numFmtId="0" fontId="132" fillId="0" borderId="22" xfId="2" applyFont="1" applyBorder="1"/>
    <xf numFmtId="0" fontId="3" fillId="0" borderId="18" xfId="9" applyBorder="1"/>
    <xf numFmtId="0" fontId="86" fillId="0" borderId="24" xfId="9" applyFont="1" applyBorder="1" applyAlignment="1">
      <alignment horizontal="center"/>
    </xf>
    <xf numFmtId="0" fontId="127" fillId="0" borderId="14" xfId="9" applyFont="1" applyBorder="1" applyAlignment="1">
      <alignment wrapText="1"/>
    </xf>
    <xf numFmtId="0" fontId="127" fillId="0" borderId="14" xfId="9" applyFont="1" applyBorder="1" applyAlignment="1">
      <alignment horizontal="left" shrinkToFit="1"/>
    </xf>
    <xf numFmtId="0" fontId="127" fillId="0" borderId="14" xfId="9" applyFont="1" applyBorder="1" applyAlignment="1">
      <alignment horizontal="left" wrapText="1"/>
    </xf>
    <xf numFmtId="0" fontId="127" fillId="0" borderId="14" xfId="9" applyFont="1" applyBorder="1" applyAlignment="1">
      <alignment horizontal="left"/>
    </xf>
    <xf numFmtId="0" fontId="127" fillId="0" borderId="14" xfId="9" applyFont="1" applyBorder="1" applyAlignment="1">
      <alignment horizontal="center" wrapText="1"/>
    </xf>
    <xf numFmtId="0" fontId="133" fillId="0" borderId="14" xfId="9" applyFont="1" applyBorder="1" applyAlignment="1">
      <alignment wrapText="1"/>
    </xf>
    <xf numFmtId="0" fontId="127" fillId="0" borderId="14" xfId="9" applyFont="1" applyBorder="1" applyAlignment="1">
      <alignment shrinkToFit="1"/>
    </xf>
    <xf numFmtId="0" fontId="158" fillId="0" borderId="22" xfId="9" applyFont="1" applyBorder="1"/>
    <xf numFmtId="0" fontId="77" fillId="0" borderId="14" xfId="0" applyFont="1" applyFill="1" applyBorder="1" applyAlignment="1">
      <alignment horizontal="center" vertical="center" wrapText="1" shrinkToFit="1"/>
    </xf>
    <xf numFmtId="0" fontId="77" fillId="4" borderId="14" xfId="0" applyFont="1" applyFill="1" applyBorder="1" applyAlignment="1">
      <alignment horizontal="center" vertical="top"/>
    </xf>
    <xf numFmtId="0" fontId="76" fillId="4" borderId="14" xfId="0" applyFont="1" applyFill="1" applyBorder="1" applyAlignment="1">
      <alignment horizontal="center" vertical="top"/>
    </xf>
    <xf numFmtId="0" fontId="127" fillId="0" borderId="0" xfId="11" applyFont="1" applyAlignment="1">
      <alignment horizontal="center" vertical="center"/>
    </xf>
    <xf numFmtId="0" fontId="98" fillId="0" borderId="23" xfId="11" applyFont="1" applyBorder="1" applyAlignment="1">
      <alignment horizontal="center" vertical="center"/>
    </xf>
    <xf numFmtId="0" fontId="98" fillId="0" borderId="24" xfId="11" applyFont="1" applyBorder="1" applyAlignment="1">
      <alignment horizontal="center" vertical="center"/>
    </xf>
    <xf numFmtId="0" fontId="98" fillId="0" borderId="23" xfId="11" applyFont="1" applyBorder="1" applyAlignment="1">
      <alignment horizontal="center" vertical="center" wrapText="1"/>
    </xf>
    <xf numFmtId="0" fontId="98" fillId="0" borderId="24" xfId="11" applyFont="1" applyBorder="1" applyAlignment="1">
      <alignment horizontal="center" vertical="center" wrapText="1"/>
    </xf>
    <xf numFmtId="0" fontId="91" fillId="0" borderId="0" xfId="11" applyFont="1" applyAlignment="1">
      <alignment horizontal="center" vertical="center"/>
    </xf>
    <xf numFmtId="0" fontId="126" fillId="0" borderId="0" xfId="9" applyFont="1" applyAlignment="1">
      <alignment horizontal="center"/>
    </xf>
    <xf numFmtId="0" fontId="96" fillId="0" borderId="71" xfId="9" applyFont="1" applyBorder="1" applyAlignment="1">
      <alignment horizontal="center" vertical="center"/>
    </xf>
    <xf numFmtId="0" fontId="96" fillId="0" borderId="24" xfId="9" applyFont="1" applyBorder="1" applyAlignment="1">
      <alignment horizontal="center" vertical="center"/>
    </xf>
    <xf numFmtId="0" fontId="101" fillId="0" borderId="14" xfId="1" applyFont="1" applyBorder="1" applyAlignment="1">
      <alignment horizontal="center" vertical="center"/>
    </xf>
    <xf numFmtId="0" fontId="101" fillId="0" borderId="124" xfId="1" applyFont="1" applyBorder="1" applyAlignment="1">
      <alignment horizontal="center" wrapText="1"/>
    </xf>
    <xf numFmtId="0" fontId="101" fillId="0" borderId="26" xfId="1" applyFont="1" applyBorder="1" applyAlignment="1">
      <alignment horizontal="center" wrapText="1"/>
    </xf>
    <xf numFmtId="0" fontId="101" fillId="0" borderId="14" xfId="1" applyFont="1" applyBorder="1" applyAlignment="1">
      <alignment horizontal="center" wrapText="1"/>
    </xf>
    <xf numFmtId="0" fontId="47" fillId="4" borderId="11" xfId="0" applyFont="1" applyFill="1" applyBorder="1" applyAlignment="1">
      <alignment horizontal="left" vertical="top" wrapText="1" indent="2"/>
    </xf>
    <xf numFmtId="0" fontId="47" fillId="4" borderId="12" xfId="0" applyFont="1" applyFill="1" applyBorder="1" applyAlignment="1">
      <alignment horizontal="left" vertical="top" wrapText="1" indent="2"/>
    </xf>
    <xf numFmtId="0" fontId="47" fillId="4" borderId="1" xfId="0" applyFont="1" applyFill="1" applyBorder="1" applyAlignment="1">
      <alignment horizontal="left" vertical="top" wrapText="1" indent="2"/>
    </xf>
    <xf numFmtId="0" fontId="47" fillId="4" borderId="11" xfId="0" applyFont="1" applyFill="1" applyBorder="1" applyAlignment="1">
      <alignment horizontal="left" vertical="top" wrapText="1"/>
    </xf>
    <xf numFmtId="0" fontId="47" fillId="4" borderId="12" xfId="0" applyFont="1" applyFill="1" applyBorder="1" applyAlignment="1">
      <alignment horizontal="left" vertical="top" wrapText="1"/>
    </xf>
    <xf numFmtId="0" fontId="47" fillId="4" borderId="11" xfId="0" applyFont="1" applyFill="1" applyBorder="1" applyAlignment="1">
      <alignment horizontal="center" vertical="top" wrapText="1"/>
    </xf>
    <xf numFmtId="0" fontId="47" fillId="4" borderId="1" xfId="0" applyFont="1" applyFill="1" applyBorder="1" applyAlignment="1">
      <alignment horizontal="center" vertical="top" wrapText="1"/>
    </xf>
    <xf numFmtId="0" fontId="47" fillId="4" borderId="11" xfId="0" applyFont="1" applyFill="1" applyBorder="1" applyAlignment="1">
      <alignment horizontal="left" vertical="top" wrapText="1" indent="1"/>
    </xf>
    <xf numFmtId="0" fontId="47" fillId="4" borderId="1" xfId="0" applyFont="1" applyFill="1" applyBorder="1" applyAlignment="1">
      <alignment horizontal="left" vertical="top" wrapText="1" indent="1"/>
    </xf>
    <xf numFmtId="0" fontId="47" fillId="4" borderId="12" xfId="0" applyFont="1" applyFill="1" applyBorder="1" applyAlignment="1">
      <alignment horizontal="center" vertical="top" wrapText="1"/>
    </xf>
    <xf numFmtId="0" fontId="47" fillId="4" borderId="12" xfId="0" applyFont="1" applyFill="1" applyBorder="1" applyAlignment="1">
      <alignment horizontal="left" vertical="top" wrapText="1" indent="1"/>
    </xf>
    <xf numFmtId="0" fontId="47" fillId="4" borderId="1" xfId="0" applyFont="1" applyFill="1" applyBorder="1" applyAlignment="1">
      <alignment horizontal="left" vertical="top" wrapText="1"/>
    </xf>
    <xf numFmtId="0" fontId="47" fillId="4" borderId="2" xfId="0" applyFont="1" applyFill="1" applyBorder="1" applyAlignment="1">
      <alignment horizontal="left" vertical="center" wrapText="1"/>
    </xf>
    <xf numFmtId="0" fontId="47" fillId="4" borderId="3" xfId="0" applyFont="1" applyFill="1" applyBorder="1" applyAlignment="1">
      <alignment horizontal="left" vertical="center" wrapText="1"/>
    </xf>
    <xf numFmtId="0" fontId="36" fillId="4" borderId="7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10" xfId="0" applyFont="1" applyFill="1" applyBorder="1" applyAlignment="1">
      <alignment horizontal="center" vertical="center" wrapText="1"/>
    </xf>
    <xf numFmtId="0" fontId="36" fillId="4" borderId="3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textRotation="90" wrapText="1"/>
    </xf>
    <xf numFmtId="0" fontId="47" fillId="4" borderId="8" xfId="0" applyFont="1" applyFill="1" applyBorder="1" applyAlignment="1">
      <alignment horizontal="left" textRotation="90" wrapText="1"/>
    </xf>
    <xf numFmtId="0" fontId="47" fillId="4" borderId="2" xfId="0" applyFont="1" applyFill="1" applyBorder="1" applyAlignment="1">
      <alignment horizontal="left" textRotation="90" wrapText="1"/>
    </xf>
    <xf numFmtId="0" fontId="47" fillId="4" borderId="9" xfId="0" applyFont="1" applyFill="1" applyBorder="1" applyAlignment="1">
      <alignment horizontal="left" textRotation="90" wrapText="1"/>
    </xf>
    <xf numFmtId="0" fontId="47" fillId="4" borderId="10" xfId="0" applyFont="1" applyFill="1" applyBorder="1" applyAlignment="1">
      <alignment horizontal="left" textRotation="90" wrapText="1"/>
    </xf>
    <xf numFmtId="0" fontId="47" fillId="4" borderId="3" xfId="0" applyFont="1" applyFill="1" applyBorder="1" applyAlignment="1">
      <alignment horizontal="left" textRotation="90" wrapText="1"/>
    </xf>
    <xf numFmtId="0" fontId="63" fillId="0" borderId="11" xfId="0" applyFont="1" applyFill="1" applyBorder="1" applyAlignment="1">
      <alignment horizontal="left" vertical="top" wrapText="1"/>
    </xf>
    <xf numFmtId="0" fontId="63" fillId="0" borderId="12" xfId="0" applyFont="1" applyFill="1" applyBorder="1" applyAlignment="1">
      <alignment horizontal="left" vertical="top" wrapText="1"/>
    </xf>
    <xf numFmtId="0" fontId="63" fillId="0" borderId="1" xfId="0" applyFont="1" applyFill="1" applyBorder="1" applyAlignment="1">
      <alignment horizontal="left" vertical="top" wrapText="1"/>
    </xf>
    <xf numFmtId="0" fontId="63" fillId="0" borderId="11" xfId="0" applyFont="1" applyFill="1" applyBorder="1" applyAlignment="1">
      <alignment horizontal="left" vertical="center" wrapText="1"/>
    </xf>
    <xf numFmtId="0" fontId="63" fillId="0" borderId="12" xfId="0" applyFont="1" applyFill="1" applyBorder="1" applyAlignment="1">
      <alignment horizontal="left" vertical="center" wrapText="1"/>
    </xf>
    <xf numFmtId="0" fontId="63" fillId="0" borderId="1" xfId="0" applyFont="1" applyFill="1" applyBorder="1" applyAlignment="1">
      <alignment horizontal="left" vertical="center" wrapText="1"/>
    </xf>
    <xf numFmtId="1" fontId="64" fillId="0" borderId="11" xfId="0" applyNumberFormat="1" applyFont="1" applyFill="1" applyBorder="1" applyAlignment="1">
      <alignment horizontal="left" vertical="center" shrinkToFit="1"/>
    </xf>
    <xf numFmtId="1" fontId="64" fillId="0" borderId="1" xfId="0" applyNumberFormat="1" applyFont="1" applyFill="1" applyBorder="1" applyAlignment="1">
      <alignment horizontal="left" vertical="center" shrinkToFit="1"/>
    </xf>
    <xf numFmtId="1" fontId="64" fillId="0" borderId="11" xfId="0" applyNumberFormat="1" applyFont="1" applyFill="1" applyBorder="1" applyAlignment="1">
      <alignment horizontal="center" vertical="center" shrinkToFit="1"/>
    </xf>
    <xf numFmtId="1" fontId="64" fillId="0" borderId="1" xfId="0" applyNumberFormat="1" applyFont="1" applyFill="1" applyBorder="1" applyAlignment="1">
      <alignment horizontal="center" vertical="center" shrinkToFit="1"/>
    </xf>
    <xf numFmtId="0" fontId="47" fillId="4" borderId="11" xfId="0" applyFont="1" applyFill="1" applyBorder="1" applyAlignment="1">
      <alignment horizontal="right" vertical="top" wrapText="1"/>
    </xf>
    <xf numFmtId="0" fontId="47" fillId="4" borderId="12" xfId="0" applyFont="1" applyFill="1" applyBorder="1" applyAlignment="1">
      <alignment horizontal="right" vertical="top" wrapText="1"/>
    </xf>
    <xf numFmtId="0" fontId="47" fillId="4" borderId="1" xfId="0" applyFont="1" applyFill="1" applyBorder="1" applyAlignment="1">
      <alignment horizontal="right" vertical="top" wrapText="1"/>
    </xf>
    <xf numFmtId="1" fontId="64" fillId="0" borderId="11" xfId="0" applyNumberFormat="1" applyFont="1" applyFill="1" applyBorder="1" applyAlignment="1">
      <alignment horizontal="right" vertical="center" shrinkToFit="1"/>
    </xf>
    <xf numFmtId="1" fontId="64" fillId="0" borderId="1" xfId="0" applyNumberFormat="1" applyFont="1" applyFill="1" applyBorder="1" applyAlignment="1">
      <alignment horizontal="right" vertical="center" shrinkToFit="1"/>
    </xf>
    <xf numFmtId="1" fontId="64" fillId="3" borderId="11" xfId="0" applyNumberFormat="1" applyFont="1" applyFill="1" applyBorder="1" applyAlignment="1">
      <alignment horizontal="center" vertical="center" shrinkToFit="1"/>
    </xf>
    <xf numFmtId="1" fontId="64" fillId="3" borderId="12" xfId="0" applyNumberFormat="1" applyFont="1" applyFill="1" applyBorder="1" applyAlignment="1">
      <alignment horizontal="center" vertical="center" shrinkToFit="1"/>
    </xf>
    <xf numFmtId="1" fontId="64" fillId="3" borderId="1" xfId="0" applyNumberFormat="1" applyFont="1" applyFill="1" applyBorder="1" applyAlignment="1">
      <alignment horizontal="center" vertical="center" shrinkToFit="1"/>
    </xf>
    <xf numFmtId="1" fontId="64" fillId="0" borderId="12" xfId="0" applyNumberFormat="1" applyFont="1" applyFill="1" applyBorder="1" applyAlignment="1">
      <alignment horizontal="center" vertical="center" shrinkToFit="1"/>
    </xf>
    <xf numFmtId="1" fontId="65" fillId="4" borderId="11" xfId="0" applyNumberFormat="1" applyFont="1" applyFill="1" applyBorder="1" applyAlignment="1">
      <alignment horizontal="right" vertical="center" shrinkToFit="1"/>
    </xf>
    <xf numFmtId="1" fontId="65" fillId="4" borderId="12" xfId="0" applyNumberFormat="1" applyFont="1" applyFill="1" applyBorder="1" applyAlignment="1">
      <alignment horizontal="right" vertical="center" shrinkToFit="1"/>
    </xf>
    <xf numFmtId="1" fontId="65" fillId="4" borderId="1" xfId="0" applyNumberFormat="1" applyFont="1" applyFill="1" applyBorder="1" applyAlignment="1">
      <alignment horizontal="right" vertical="center" shrinkToFit="1"/>
    </xf>
    <xf numFmtId="1" fontId="65" fillId="4" borderId="11" xfId="0" applyNumberFormat="1" applyFont="1" applyFill="1" applyBorder="1" applyAlignment="1">
      <alignment horizontal="center" vertical="center" shrinkToFit="1"/>
    </xf>
    <xf numFmtId="1" fontId="65" fillId="4" borderId="12" xfId="0" applyNumberFormat="1" applyFont="1" applyFill="1" applyBorder="1" applyAlignment="1">
      <alignment horizontal="center" vertical="center" shrinkToFit="1"/>
    </xf>
    <xf numFmtId="1" fontId="65" fillId="4" borderId="1" xfId="0" applyNumberFormat="1" applyFont="1" applyFill="1" applyBorder="1" applyAlignment="1">
      <alignment horizontal="center" vertical="center" shrinkToFit="1"/>
    </xf>
    <xf numFmtId="1" fontId="64" fillId="0" borderId="12" xfId="0" applyNumberFormat="1" applyFont="1" applyFill="1" applyBorder="1" applyAlignment="1">
      <alignment horizontal="left" vertical="center" shrinkToFit="1"/>
    </xf>
    <xf numFmtId="1" fontId="64" fillId="3" borderId="11" xfId="0" applyNumberFormat="1" applyFont="1" applyFill="1" applyBorder="1" applyAlignment="1">
      <alignment horizontal="left" vertical="center" indent="1" shrinkToFit="1"/>
    </xf>
    <xf numFmtId="1" fontId="64" fillId="3" borderId="12" xfId="0" applyNumberFormat="1" applyFont="1" applyFill="1" applyBorder="1" applyAlignment="1">
      <alignment horizontal="left" vertical="center" indent="1" shrinkToFit="1"/>
    </xf>
    <xf numFmtId="1" fontId="64" fillId="3" borderId="1" xfId="0" applyNumberFormat="1" applyFont="1" applyFill="1" applyBorder="1" applyAlignment="1">
      <alignment horizontal="left" vertical="center" indent="1" shrinkToFit="1"/>
    </xf>
    <xf numFmtId="1" fontId="64" fillId="3" borderId="11" xfId="0" applyNumberFormat="1" applyFont="1" applyFill="1" applyBorder="1" applyAlignment="1">
      <alignment horizontal="right" vertical="center" shrinkToFit="1"/>
    </xf>
    <xf numFmtId="1" fontId="64" fillId="3" borderId="12" xfId="0" applyNumberFormat="1" applyFont="1" applyFill="1" applyBorder="1" applyAlignment="1">
      <alignment horizontal="right" vertical="center" shrinkToFit="1"/>
    </xf>
    <xf numFmtId="1" fontId="64" fillId="3" borderId="1" xfId="0" applyNumberFormat="1" applyFont="1" applyFill="1" applyBorder="1" applyAlignment="1">
      <alignment horizontal="right" vertical="center" shrinkToFit="1"/>
    </xf>
    <xf numFmtId="1" fontId="64" fillId="3" borderId="11" xfId="0" applyNumberFormat="1" applyFont="1" applyFill="1" applyBorder="1" applyAlignment="1">
      <alignment horizontal="left" vertical="center" shrinkToFit="1"/>
    </xf>
    <xf numFmtId="1" fontId="64" fillId="3" borderId="1" xfId="0" applyNumberFormat="1" applyFont="1" applyFill="1" applyBorder="1" applyAlignment="1">
      <alignment horizontal="left" vertical="center" shrinkToFit="1"/>
    </xf>
    <xf numFmtId="1" fontId="64" fillId="0" borderId="11" xfId="0" applyNumberFormat="1" applyFont="1" applyFill="1" applyBorder="1" applyAlignment="1">
      <alignment horizontal="left" vertical="center" indent="1" shrinkToFit="1"/>
    </xf>
    <xf numFmtId="1" fontId="64" fillId="0" borderId="12" xfId="0" applyNumberFormat="1" applyFont="1" applyFill="1" applyBorder="1" applyAlignment="1">
      <alignment horizontal="left" vertical="center" indent="1" shrinkToFit="1"/>
    </xf>
    <xf numFmtId="1" fontId="64" fillId="0" borderId="1" xfId="0" applyNumberFormat="1" applyFont="1" applyFill="1" applyBorder="1" applyAlignment="1">
      <alignment horizontal="left" vertical="center" indent="1" shrinkToFit="1"/>
    </xf>
    <xf numFmtId="1" fontId="64" fillId="0" borderId="11" xfId="0" applyNumberFormat="1" applyFont="1" applyFill="1" applyBorder="1" applyAlignment="1">
      <alignment horizontal="center" vertical="top" shrinkToFit="1"/>
    </xf>
    <xf numFmtId="1" fontId="64" fillId="0" borderId="1" xfId="0" applyNumberFormat="1" applyFont="1" applyFill="1" applyBorder="1" applyAlignment="1">
      <alignment horizontal="center" vertical="top" shrinkToFit="1"/>
    </xf>
    <xf numFmtId="1" fontId="64" fillId="0" borderId="11" xfId="0" applyNumberFormat="1" applyFont="1" applyFill="1" applyBorder="1" applyAlignment="1">
      <alignment horizontal="left" vertical="top" shrinkToFit="1"/>
    </xf>
    <xf numFmtId="1" fontId="64" fillId="0" borderId="1" xfId="0" applyNumberFormat="1" applyFont="1" applyFill="1" applyBorder="1" applyAlignment="1">
      <alignment horizontal="left" vertical="top" shrinkToFit="1"/>
    </xf>
    <xf numFmtId="1" fontId="64" fillId="0" borderId="12" xfId="0" applyNumberFormat="1" applyFont="1" applyFill="1" applyBorder="1" applyAlignment="1">
      <alignment horizontal="center" vertical="top" shrinkToFit="1"/>
    </xf>
    <xf numFmtId="1" fontId="64" fillId="0" borderId="11" xfId="0" applyNumberFormat="1" applyFont="1" applyFill="1" applyBorder="1" applyAlignment="1">
      <alignment horizontal="right" vertical="top" shrinkToFit="1"/>
    </xf>
    <xf numFmtId="1" fontId="64" fillId="0" borderId="1" xfId="0" applyNumberFormat="1" applyFont="1" applyFill="1" applyBorder="1" applyAlignment="1">
      <alignment horizontal="right" vertical="top" shrinkToFit="1"/>
    </xf>
    <xf numFmtId="1" fontId="64" fillId="0" borderId="12" xfId="0" applyNumberFormat="1" applyFont="1" applyFill="1" applyBorder="1" applyAlignment="1">
      <alignment horizontal="left" vertical="top" shrinkToFit="1"/>
    </xf>
    <xf numFmtId="1" fontId="64" fillId="3" borderId="12" xfId="0" applyNumberFormat="1" applyFont="1" applyFill="1" applyBorder="1" applyAlignment="1">
      <alignment horizontal="left" vertical="center" shrinkToFit="1"/>
    </xf>
    <xf numFmtId="1" fontId="64" fillId="3" borderId="11" xfId="0" applyNumberFormat="1" applyFont="1" applyFill="1" applyBorder="1" applyAlignment="1">
      <alignment horizontal="right" vertical="center" indent="1" shrinkToFit="1"/>
    </xf>
    <xf numFmtId="1" fontId="64" fillId="3" borderId="12" xfId="0" applyNumberFormat="1" applyFont="1" applyFill="1" applyBorder="1" applyAlignment="1">
      <alignment horizontal="right" vertical="center" indent="1" shrinkToFit="1"/>
    </xf>
    <xf numFmtId="1" fontId="64" fillId="3" borderId="1" xfId="0" applyNumberFormat="1" applyFont="1" applyFill="1" applyBorder="1" applyAlignment="1">
      <alignment horizontal="right" vertical="center" indent="1" shrinkToFit="1"/>
    </xf>
    <xf numFmtId="0" fontId="63" fillId="0" borderId="11" xfId="0" applyFont="1" applyFill="1" applyBorder="1" applyAlignment="1">
      <alignment horizontal="center" vertical="center" wrapText="1"/>
    </xf>
    <xf numFmtId="0" fontId="63" fillId="0" borderId="12" xfId="0" applyFont="1" applyFill="1" applyBorder="1" applyAlignment="1">
      <alignment horizontal="center" vertical="center" wrapText="1"/>
    </xf>
    <xf numFmtId="0" fontId="63" fillId="0" borderId="1" xfId="0" applyFont="1" applyFill="1" applyBorder="1" applyAlignment="1">
      <alignment horizontal="center" vertical="center" wrapText="1"/>
    </xf>
    <xf numFmtId="1" fontId="65" fillId="4" borderId="16" xfId="0" applyNumberFormat="1" applyFont="1" applyFill="1" applyBorder="1" applyAlignment="1">
      <alignment horizontal="center" vertical="center" shrinkToFit="1"/>
    </xf>
    <xf numFmtId="1" fontId="65" fillId="4" borderId="17" xfId="0" applyNumberFormat="1" applyFont="1" applyFill="1" applyBorder="1" applyAlignment="1">
      <alignment horizontal="center" vertical="center" shrinkToFit="1"/>
    </xf>
    <xf numFmtId="1" fontId="65" fillId="4" borderId="33" xfId="0" applyNumberFormat="1" applyFont="1" applyFill="1" applyBorder="1" applyAlignment="1">
      <alignment horizontal="center" vertical="center" shrinkToFit="1"/>
    </xf>
    <xf numFmtId="1" fontId="65" fillId="4" borderId="32" xfId="0" applyNumberFormat="1" applyFont="1" applyFill="1" applyBorder="1" applyAlignment="1">
      <alignment horizontal="right" vertical="center" shrinkToFit="1"/>
    </xf>
    <xf numFmtId="1" fontId="65" fillId="4" borderId="17" xfId="0" applyNumberFormat="1" applyFont="1" applyFill="1" applyBorder="1" applyAlignment="1">
      <alignment horizontal="right" vertical="center" shrinkToFit="1"/>
    </xf>
    <xf numFmtId="1" fontId="65" fillId="4" borderId="18" xfId="0" applyNumberFormat="1" applyFont="1" applyFill="1" applyBorder="1" applyAlignment="1">
      <alignment horizontal="right" vertical="center" shrinkToFit="1"/>
    </xf>
    <xf numFmtId="1" fontId="53" fillId="0" borderId="16" xfId="0" applyNumberFormat="1" applyFont="1" applyFill="1" applyBorder="1" applyAlignment="1">
      <alignment horizontal="center" vertical="top"/>
    </xf>
    <xf numFmtId="1" fontId="53" fillId="0" borderId="18" xfId="0" applyNumberFormat="1" applyFont="1" applyFill="1" applyBorder="1" applyAlignment="1">
      <alignment horizontal="center" vertical="top"/>
    </xf>
    <xf numFmtId="0" fontId="56" fillId="0" borderId="8" xfId="0" applyFont="1" applyFill="1" applyBorder="1" applyAlignment="1">
      <alignment horizontal="left" vertical="top"/>
    </xf>
    <xf numFmtId="0" fontId="36" fillId="4" borderId="0" xfId="0" applyFont="1" applyFill="1" applyBorder="1" applyAlignment="1">
      <alignment horizontal="left" vertical="top"/>
    </xf>
    <xf numFmtId="0" fontId="45" fillId="0" borderId="0" xfId="0" applyFont="1" applyFill="1" applyBorder="1" applyAlignment="1">
      <alignment horizontal="center" vertical="top"/>
    </xf>
    <xf numFmtId="1" fontId="65" fillId="4" borderId="7" xfId="0" applyNumberFormat="1" applyFont="1" applyFill="1" applyBorder="1" applyAlignment="1">
      <alignment horizontal="center" vertical="center" shrinkToFit="1"/>
    </xf>
    <xf numFmtId="1" fontId="65" fillId="4" borderId="8" xfId="0" applyNumberFormat="1" applyFont="1" applyFill="1" applyBorder="1" applyAlignment="1">
      <alignment horizontal="center" vertical="center" shrinkToFit="1"/>
    </xf>
    <xf numFmtId="1" fontId="65" fillId="4" borderId="2" xfId="0" applyNumberFormat="1" applyFont="1" applyFill="1" applyBorder="1" applyAlignment="1">
      <alignment horizontal="center" vertical="center" shrinkToFit="1"/>
    </xf>
    <xf numFmtId="1" fontId="65" fillId="4" borderId="7" xfId="0" applyNumberFormat="1" applyFont="1" applyFill="1" applyBorder="1" applyAlignment="1">
      <alignment horizontal="right" vertical="center" shrinkToFit="1"/>
    </xf>
    <xf numFmtId="1" fontId="65" fillId="4" borderId="8" xfId="0" applyNumberFormat="1" applyFont="1" applyFill="1" applyBorder="1" applyAlignment="1">
      <alignment horizontal="right" vertical="center" shrinkToFit="1"/>
    </xf>
    <xf numFmtId="1" fontId="65" fillId="4" borderId="2" xfId="0" applyNumberFormat="1" applyFont="1" applyFill="1" applyBorder="1" applyAlignment="1">
      <alignment horizontal="right" vertical="center" shrinkToFit="1"/>
    </xf>
    <xf numFmtId="0" fontId="85" fillId="0" borderId="0" xfId="2" applyFont="1" applyAlignment="1">
      <alignment horizontal="right" vertical="center"/>
    </xf>
    <xf numFmtId="0" fontId="37" fillId="4" borderId="16" xfId="0" applyFont="1" applyFill="1" applyBorder="1" applyAlignment="1">
      <alignment horizontal="center" vertical="top"/>
    </xf>
    <xf numFmtId="0" fontId="37" fillId="4" borderId="17" xfId="0" applyFont="1" applyFill="1" applyBorder="1" applyAlignment="1">
      <alignment horizontal="center" vertical="top"/>
    </xf>
    <xf numFmtId="0" fontId="37" fillId="4" borderId="16" xfId="0" applyFont="1" applyFill="1" applyBorder="1" applyAlignment="1">
      <alignment horizontal="center" vertical="top" wrapText="1"/>
    </xf>
    <xf numFmtId="0" fontId="37" fillId="4" borderId="17" xfId="0" applyFont="1" applyFill="1" applyBorder="1" applyAlignment="1">
      <alignment horizontal="center" vertical="top" wrapText="1"/>
    </xf>
    <xf numFmtId="0" fontId="37" fillId="4" borderId="30" xfId="0" applyFont="1" applyFill="1" applyBorder="1" applyAlignment="1">
      <alignment horizontal="center" vertical="top"/>
    </xf>
    <xf numFmtId="0" fontId="37" fillId="4" borderId="29" xfId="0" applyFont="1" applyFill="1" applyBorder="1" applyAlignment="1">
      <alignment horizontal="center" vertical="top"/>
    </xf>
    <xf numFmtId="0" fontId="37" fillId="4" borderId="14" xfId="0" applyFont="1" applyFill="1" applyBorder="1" applyAlignment="1">
      <alignment horizontal="center" vertical="top"/>
    </xf>
    <xf numFmtId="0" fontId="37" fillId="4" borderId="14" xfId="0" applyFont="1" applyFill="1" applyBorder="1" applyAlignment="1">
      <alignment horizontal="center" vertical="top" wrapText="1"/>
    </xf>
    <xf numFmtId="0" fontId="37" fillId="4" borderId="18" xfId="0" applyFont="1" applyFill="1" applyBorder="1" applyAlignment="1">
      <alignment horizontal="center" vertical="top" wrapText="1"/>
    </xf>
    <xf numFmtId="1" fontId="17" fillId="4" borderId="11" xfId="0" applyNumberFormat="1" applyFont="1" applyFill="1" applyBorder="1" applyAlignment="1">
      <alignment horizontal="left" vertical="center" shrinkToFit="1"/>
    </xf>
    <xf numFmtId="1" fontId="17" fillId="4" borderId="1" xfId="0" applyNumberFormat="1" applyFont="1" applyFill="1" applyBorder="1" applyAlignment="1">
      <alignment horizontal="left" vertical="center" shrinkToFit="1"/>
    </xf>
    <xf numFmtId="1" fontId="17" fillId="4" borderId="11" xfId="0" applyNumberFormat="1" applyFont="1" applyFill="1" applyBorder="1" applyAlignment="1">
      <alignment horizontal="center" vertical="center" shrinkToFit="1"/>
    </xf>
    <xf numFmtId="1" fontId="17" fillId="4" borderId="1" xfId="0" applyNumberFormat="1" applyFont="1" applyFill="1" applyBorder="1" applyAlignment="1">
      <alignment horizontal="center" vertical="center" shrinkToFit="1"/>
    </xf>
    <xf numFmtId="1" fontId="17" fillId="4" borderId="7" xfId="0" applyNumberFormat="1" applyFont="1" applyFill="1" applyBorder="1" applyAlignment="1">
      <alignment horizontal="center" vertical="center" shrinkToFit="1"/>
    </xf>
    <xf numFmtId="1" fontId="17" fillId="4" borderId="8" xfId="0" applyNumberFormat="1" applyFont="1" applyFill="1" applyBorder="1" applyAlignment="1">
      <alignment horizontal="center" vertical="center" shrinkToFit="1"/>
    </xf>
    <xf numFmtId="1" fontId="17" fillId="4" borderId="11" xfId="0" applyNumberFormat="1" applyFont="1" applyFill="1" applyBorder="1" applyAlignment="1">
      <alignment horizontal="right" vertical="center" shrinkToFit="1"/>
    </xf>
    <xf numFmtId="1" fontId="17" fillId="4" borderId="12" xfId="0" applyNumberFormat="1" applyFont="1" applyFill="1" applyBorder="1" applyAlignment="1">
      <alignment horizontal="right" vertical="center" shrinkToFit="1"/>
    </xf>
    <xf numFmtId="1" fontId="17" fillId="4" borderId="1" xfId="0" applyNumberFormat="1" applyFont="1" applyFill="1" applyBorder="1" applyAlignment="1">
      <alignment horizontal="right" vertical="center" shrinkToFit="1"/>
    </xf>
    <xf numFmtId="1" fontId="17" fillId="4" borderId="12" xfId="0" applyNumberFormat="1" applyFont="1" applyFill="1" applyBorder="1" applyAlignment="1">
      <alignment horizontal="center" vertical="center" shrinkToFit="1"/>
    </xf>
    <xf numFmtId="1" fontId="17" fillId="4" borderId="12" xfId="0" applyNumberFormat="1" applyFont="1" applyFill="1" applyBorder="1" applyAlignment="1">
      <alignment horizontal="left" vertical="center" shrinkToFit="1"/>
    </xf>
    <xf numFmtId="0" fontId="12" fillId="4" borderId="11" xfId="0" applyFont="1" applyFill="1" applyBorder="1" applyAlignment="1">
      <alignment horizontal="left" vertical="top" wrapText="1"/>
    </xf>
    <xf numFmtId="0" fontId="12" fillId="4" borderId="12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wrapText="1"/>
    </xf>
    <xf numFmtId="0" fontId="13" fillId="4" borderId="12" xfId="0" applyFont="1" applyFill="1" applyBorder="1" applyAlignment="1">
      <alignment horizontal="left" wrapText="1"/>
    </xf>
    <xf numFmtId="1" fontId="17" fillId="4" borderId="11" xfId="0" applyNumberFormat="1" applyFont="1" applyFill="1" applyBorder="1" applyAlignment="1">
      <alignment horizontal="left" vertical="top" shrinkToFit="1"/>
    </xf>
    <xf numFmtId="1" fontId="17" fillId="4" borderId="1" xfId="0" applyNumberFormat="1" applyFont="1" applyFill="1" applyBorder="1" applyAlignment="1">
      <alignment horizontal="left" vertical="top" shrinkToFit="1"/>
    </xf>
    <xf numFmtId="1" fontId="17" fillId="4" borderId="11" xfId="0" applyNumberFormat="1" applyFont="1" applyFill="1" applyBorder="1" applyAlignment="1">
      <alignment horizontal="center" vertical="top" shrinkToFit="1"/>
    </xf>
    <xf numFmtId="1" fontId="17" fillId="4" borderId="12" xfId="0" applyNumberFormat="1" applyFont="1" applyFill="1" applyBorder="1" applyAlignment="1">
      <alignment horizontal="center" vertical="top" shrinkToFit="1"/>
    </xf>
    <xf numFmtId="1" fontId="17" fillId="4" borderId="1" xfId="0" applyNumberFormat="1" applyFont="1" applyFill="1" applyBorder="1" applyAlignment="1">
      <alignment horizontal="center" vertical="top" shrinkToFit="1"/>
    </xf>
    <xf numFmtId="0" fontId="12" fillId="4" borderId="11" xfId="0" applyFont="1" applyFill="1" applyBorder="1" applyAlignment="1">
      <alignment horizontal="center" vertical="top" wrapText="1"/>
    </xf>
    <xf numFmtId="0" fontId="12" fillId="4" borderId="12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/>
    </xf>
    <xf numFmtId="1" fontId="17" fillId="4" borderId="11" xfId="0" applyNumberFormat="1" applyFont="1" applyFill="1" applyBorder="1" applyAlignment="1">
      <alignment horizontal="right" vertical="top" shrinkToFit="1"/>
    </xf>
    <xf numFmtId="1" fontId="17" fillId="4" borderId="12" xfId="0" applyNumberFormat="1" applyFont="1" applyFill="1" applyBorder="1" applyAlignment="1">
      <alignment horizontal="right" vertical="top" shrinkToFit="1"/>
    </xf>
    <xf numFmtId="1" fontId="17" fillId="4" borderId="1" xfId="0" applyNumberFormat="1" applyFont="1" applyFill="1" applyBorder="1" applyAlignment="1">
      <alignment horizontal="right" vertical="top" shrinkToFit="1"/>
    </xf>
    <xf numFmtId="1" fontId="17" fillId="4" borderId="12" xfId="0" applyNumberFormat="1" applyFont="1" applyFill="1" applyBorder="1" applyAlignment="1">
      <alignment horizontal="left" vertical="top" shrinkToFit="1"/>
    </xf>
    <xf numFmtId="0" fontId="28" fillId="4" borderId="11" xfId="0" applyFont="1" applyFill="1" applyBorder="1" applyAlignment="1">
      <alignment horizontal="left" vertical="top" wrapText="1"/>
    </xf>
    <xf numFmtId="0" fontId="28" fillId="4" borderId="12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horizontal="left" vertical="top" wrapText="1"/>
    </xf>
    <xf numFmtId="0" fontId="28" fillId="4" borderId="11" xfId="0" applyFont="1" applyFill="1" applyBorder="1" applyAlignment="1">
      <alignment horizontal="center" vertical="top" wrapText="1"/>
    </xf>
    <xf numFmtId="0" fontId="28" fillId="4" borderId="12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top" wrapText="1"/>
    </xf>
    <xf numFmtId="0" fontId="67" fillId="4" borderId="11" xfId="0" applyFont="1" applyFill="1" applyBorder="1" applyAlignment="1">
      <alignment horizontal="left" vertical="top" wrapText="1"/>
    </xf>
    <xf numFmtId="0" fontId="67" fillId="4" borderId="12" xfId="0" applyFont="1" applyFill="1" applyBorder="1" applyAlignment="1">
      <alignment horizontal="left" vertical="top" wrapText="1"/>
    </xf>
    <xf numFmtId="0" fontId="67" fillId="4" borderId="1" xfId="0" applyFont="1" applyFill="1" applyBorder="1" applyAlignment="1">
      <alignment horizontal="left" vertical="top" wrapText="1"/>
    </xf>
    <xf numFmtId="1" fontId="17" fillId="4" borderId="11" xfId="0" applyNumberFormat="1" applyFont="1" applyFill="1" applyBorder="1" applyAlignment="1">
      <alignment horizontal="right" vertical="top" indent="1" shrinkToFit="1"/>
    </xf>
    <xf numFmtId="1" fontId="17" fillId="4" borderId="1" xfId="0" applyNumberFormat="1" applyFont="1" applyFill="1" applyBorder="1" applyAlignment="1">
      <alignment horizontal="right" vertical="top" indent="1" shrinkToFit="1"/>
    </xf>
    <xf numFmtId="1" fontId="17" fillId="4" borderId="12" xfId="0" applyNumberFormat="1" applyFont="1" applyFill="1" applyBorder="1" applyAlignment="1">
      <alignment horizontal="right" vertical="top" indent="1" shrinkToFit="1"/>
    </xf>
    <xf numFmtId="0" fontId="38" fillId="4" borderId="11" xfId="0" applyFont="1" applyFill="1" applyBorder="1" applyAlignment="1">
      <alignment horizontal="left" vertical="top" wrapText="1"/>
    </xf>
    <xf numFmtId="0" fontId="38" fillId="4" borderId="12" xfId="0" applyFont="1" applyFill="1" applyBorder="1" applyAlignment="1">
      <alignment horizontal="left" vertical="top" wrapText="1"/>
    </xf>
    <xf numFmtId="0" fontId="38" fillId="4" borderId="1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center" vertical="top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3" xfId="0" applyFont="1" applyFill="1" applyBorder="1" applyAlignment="1">
      <alignment horizontal="center" vertical="top" wrapText="1"/>
    </xf>
    <xf numFmtId="0" fontId="12" fillId="4" borderId="9" xfId="0" applyFont="1" applyFill="1" applyBorder="1" applyAlignment="1">
      <alignment horizontal="left" vertical="top" wrapText="1"/>
    </xf>
    <xf numFmtId="0" fontId="12" fillId="4" borderId="10" xfId="0" applyFont="1" applyFill="1" applyBorder="1" applyAlignment="1">
      <alignment horizontal="left" vertical="top" wrapText="1"/>
    </xf>
    <xf numFmtId="0" fontId="12" fillId="4" borderId="48" xfId="0" applyFont="1" applyFill="1" applyBorder="1" applyAlignment="1">
      <alignment horizontal="left" vertical="top" wrapText="1"/>
    </xf>
    <xf numFmtId="0" fontId="12" fillId="4" borderId="43" xfId="0" applyFont="1" applyFill="1" applyBorder="1" applyAlignment="1">
      <alignment horizontal="left" vertical="top" wrapText="1" indent="2"/>
    </xf>
    <xf numFmtId="0" fontId="12" fillId="4" borderId="0" xfId="0" applyFont="1" applyFill="1" applyBorder="1" applyAlignment="1">
      <alignment horizontal="left" vertical="top" wrapText="1" indent="2"/>
    </xf>
    <xf numFmtId="0" fontId="12" fillId="4" borderId="3" xfId="0" applyFont="1" applyFill="1" applyBorder="1" applyAlignment="1">
      <alignment horizontal="left" vertical="top" wrapText="1"/>
    </xf>
    <xf numFmtId="0" fontId="12" fillId="4" borderId="1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 wrapText="1"/>
    </xf>
    <xf numFmtId="0" fontId="12" fillId="4" borderId="12" xfId="0" applyFont="1" applyFill="1" applyBorder="1" applyAlignment="1">
      <alignment horizontal="right" vertical="center" wrapText="1"/>
    </xf>
    <xf numFmtId="0" fontId="13" fillId="4" borderId="0" xfId="0" applyFont="1" applyFill="1" applyBorder="1" applyAlignment="1">
      <alignment horizontal="left" vertical="top"/>
    </xf>
    <xf numFmtId="0" fontId="12" fillId="4" borderId="1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left" textRotation="90" wrapText="1"/>
    </xf>
    <xf numFmtId="0" fontId="12" fillId="4" borderId="0" xfId="0" applyFont="1" applyFill="1" applyBorder="1" applyAlignment="1">
      <alignment horizontal="left" textRotation="90" wrapText="1"/>
    </xf>
    <xf numFmtId="0" fontId="12" fillId="4" borderId="13" xfId="0" applyFont="1" applyFill="1" applyBorder="1" applyAlignment="1">
      <alignment horizontal="left" textRotation="90" wrapText="1"/>
    </xf>
    <xf numFmtId="0" fontId="12" fillId="4" borderId="9" xfId="0" applyFont="1" applyFill="1" applyBorder="1" applyAlignment="1">
      <alignment horizontal="left" textRotation="90" wrapText="1"/>
    </xf>
    <xf numFmtId="0" fontId="12" fillId="4" borderId="10" xfId="0" applyFont="1" applyFill="1" applyBorder="1" applyAlignment="1">
      <alignment horizontal="left" textRotation="90" wrapText="1"/>
    </xf>
    <xf numFmtId="0" fontId="12" fillId="4" borderId="3" xfId="0" applyFont="1" applyFill="1" applyBorder="1" applyAlignment="1">
      <alignment horizontal="left" textRotation="90" wrapText="1"/>
    </xf>
    <xf numFmtId="0" fontId="12" fillId="4" borderId="9" xfId="0" applyFont="1" applyFill="1" applyBorder="1" applyAlignment="1">
      <alignment horizontal="left" vertical="top" wrapText="1" indent="1"/>
    </xf>
    <xf numFmtId="0" fontId="12" fillId="4" borderId="10" xfId="0" applyFont="1" applyFill="1" applyBorder="1" applyAlignment="1">
      <alignment horizontal="left" vertical="top" wrapText="1" indent="1"/>
    </xf>
    <xf numFmtId="0" fontId="12" fillId="4" borderId="3" xfId="0" applyFont="1" applyFill="1" applyBorder="1" applyAlignment="1">
      <alignment horizontal="left" vertical="top" wrapText="1" indent="1"/>
    </xf>
    <xf numFmtId="0" fontId="12" fillId="4" borderId="49" xfId="0" applyFont="1" applyFill="1" applyBorder="1" applyAlignment="1">
      <alignment horizontal="left" vertical="top" wrapText="1" indent="1"/>
    </xf>
    <xf numFmtId="0" fontId="12" fillId="4" borderId="0" xfId="0" applyFont="1" applyFill="1" applyBorder="1" applyAlignment="1">
      <alignment horizontal="left" vertical="top" wrapText="1" indent="1"/>
    </xf>
    <xf numFmtId="0" fontId="12" fillId="4" borderId="51" xfId="0" applyFont="1" applyFill="1" applyBorder="1" applyAlignment="1">
      <alignment horizontal="left" vertical="top" wrapText="1" indent="1"/>
    </xf>
    <xf numFmtId="0" fontId="12" fillId="4" borderId="26" xfId="0" applyFont="1" applyFill="1" applyBorder="1" applyAlignment="1">
      <alignment horizontal="left" vertical="top" wrapText="1" indent="1"/>
    </xf>
    <xf numFmtId="1" fontId="17" fillId="4" borderId="9" xfId="0" applyNumberFormat="1" applyFont="1" applyFill="1" applyBorder="1" applyAlignment="1">
      <alignment horizontal="right" vertical="top" shrinkToFit="1"/>
    </xf>
    <xf numFmtId="1" fontId="17" fillId="4" borderId="10" xfId="0" applyNumberFormat="1" applyFont="1" applyFill="1" applyBorder="1" applyAlignment="1">
      <alignment horizontal="right" vertical="top" shrinkToFit="1"/>
    </xf>
    <xf numFmtId="1" fontId="17" fillId="4" borderId="3" xfId="0" applyNumberFormat="1" applyFont="1" applyFill="1" applyBorder="1" applyAlignment="1">
      <alignment horizontal="right" vertical="top" shrinkToFit="1"/>
    </xf>
    <xf numFmtId="1" fontId="17" fillId="4" borderId="9" xfId="0" applyNumberFormat="1" applyFont="1" applyFill="1" applyBorder="1" applyAlignment="1">
      <alignment horizontal="center" vertical="top" shrinkToFit="1"/>
    </xf>
    <xf numFmtId="1" fontId="17" fillId="4" borderId="10" xfId="0" applyNumberFormat="1" applyFont="1" applyFill="1" applyBorder="1" applyAlignment="1">
      <alignment horizontal="center" vertical="top" shrinkToFit="1"/>
    </xf>
    <xf numFmtId="1" fontId="17" fillId="4" borderId="3" xfId="0" applyNumberFormat="1" applyFont="1" applyFill="1" applyBorder="1" applyAlignment="1">
      <alignment horizontal="center" vertical="top" shrinkToFit="1"/>
    </xf>
    <xf numFmtId="1" fontId="17" fillId="4" borderId="9" xfId="0" applyNumberFormat="1" applyFont="1" applyFill="1" applyBorder="1" applyAlignment="1">
      <alignment horizontal="left" vertical="top" shrinkToFit="1"/>
    </xf>
    <xf numFmtId="1" fontId="17" fillId="4" borderId="10" xfId="0" applyNumberFormat="1" applyFont="1" applyFill="1" applyBorder="1" applyAlignment="1">
      <alignment horizontal="left" vertical="top" shrinkToFit="1"/>
    </xf>
    <xf numFmtId="1" fontId="17" fillId="4" borderId="3" xfId="0" applyNumberFormat="1" applyFont="1" applyFill="1" applyBorder="1" applyAlignment="1">
      <alignment horizontal="left" vertical="top" shrinkToFit="1"/>
    </xf>
    <xf numFmtId="0" fontId="12" fillId="4" borderId="11" xfId="0" applyFont="1" applyFill="1" applyBorder="1" applyAlignment="1">
      <alignment horizontal="right" vertical="center" wrapText="1" indent="1"/>
    </xf>
    <xf numFmtId="0" fontId="12" fillId="4" borderId="1" xfId="0" applyFont="1" applyFill="1" applyBorder="1" applyAlignment="1">
      <alignment horizontal="right" vertical="center" wrapText="1" indent="1"/>
    </xf>
    <xf numFmtId="0" fontId="12" fillId="4" borderId="12" xfId="0" applyFont="1" applyFill="1" applyBorder="1" applyAlignment="1">
      <alignment horizontal="left" vertical="center" wrapText="1"/>
    </xf>
    <xf numFmtId="0" fontId="12" fillId="4" borderId="52" xfId="0" applyFont="1" applyFill="1" applyBorder="1" applyAlignment="1">
      <alignment horizontal="left" vertical="center" wrapText="1"/>
    </xf>
    <xf numFmtId="0" fontId="12" fillId="4" borderId="53" xfId="0" applyFont="1" applyFill="1" applyBorder="1" applyAlignment="1">
      <alignment horizontal="left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53" xfId="0" applyFont="1" applyFill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left" vertical="center" wrapText="1"/>
    </xf>
    <xf numFmtId="0" fontId="12" fillId="4" borderId="25" xfId="0" applyFont="1" applyFill="1" applyBorder="1" applyAlignment="1">
      <alignment horizontal="left" vertical="center" wrapText="1"/>
    </xf>
    <xf numFmtId="0" fontId="12" fillId="4" borderId="15" xfId="0" applyFont="1" applyFill="1" applyBorder="1" applyAlignment="1">
      <alignment horizontal="right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right" vertical="center" wrapText="1"/>
    </xf>
    <xf numFmtId="0" fontId="12" fillId="4" borderId="17" xfId="0" applyFont="1" applyFill="1" applyBorder="1" applyAlignment="1">
      <alignment horizontal="right" vertical="center" wrapText="1"/>
    </xf>
    <xf numFmtId="0" fontId="12" fillId="4" borderId="18" xfId="0" applyFont="1" applyFill="1" applyBorder="1" applyAlignment="1">
      <alignment horizontal="right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4" fillId="0" borderId="0" xfId="6" applyFont="1" applyAlignment="1">
      <alignment horizontal="center"/>
    </xf>
    <xf numFmtId="0" fontId="66" fillId="0" borderId="0" xfId="6" applyFont="1" applyBorder="1" applyAlignment="1">
      <alignment horizontal="center"/>
    </xf>
    <xf numFmtId="0" fontId="125" fillId="0" borderId="0" xfId="6" applyFont="1" applyAlignment="1">
      <alignment horizontal="center"/>
    </xf>
    <xf numFmtId="0" fontId="124" fillId="0" borderId="0" xfId="6" applyFont="1" applyBorder="1" applyAlignment="1">
      <alignment horizontal="center"/>
    </xf>
    <xf numFmtId="0" fontId="120" fillId="0" borderId="14" xfId="6" applyFont="1" applyBorder="1" applyAlignment="1">
      <alignment horizontal="center" vertical="center" wrapText="1"/>
    </xf>
    <xf numFmtId="1" fontId="23" fillId="4" borderId="87" xfId="0" applyNumberFormat="1" applyFont="1" applyFill="1" applyBorder="1" applyAlignment="1">
      <alignment horizontal="center" vertical="center" shrinkToFit="1"/>
    </xf>
    <xf numFmtId="1" fontId="23" fillId="4" borderId="88" xfId="0" applyNumberFormat="1" applyFont="1" applyFill="1" applyBorder="1" applyAlignment="1">
      <alignment horizontal="center" vertical="center" shrinkToFit="1"/>
    </xf>
    <xf numFmtId="1" fontId="23" fillId="4" borderId="89" xfId="0" applyNumberFormat="1" applyFont="1" applyFill="1" applyBorder="1" applyAlignment="1">
      <alignment horizontal="center" vertical="center" shrinkToFit="1"/>
    </xf>
    <xf numFmtId="1" fontId="23" fillId="4" borderId="87" xfId="0" applyNumberFormat="1" applyFont="1" applyFill="1" applyBorder="1" applyAlignment="1">
      <alignment horizontal="left" vertical="center" shrinkToFit="1"/>
    </xf>
    <xf numFmtId="1" fontId="23" fillId="4" borderId="88" xfId="0" applyNumberFormat="1" applyFont="1" applyFill="1" applyBorder="1" applyAlignment="1">
      <alignment horizontal="left" vertical="center" shrinkToFit="1"/>
    </xf>
    <xf numFmtId="1" fontId="23" fillId="4" borderId="89" xfId="0" applyNumberFormat="1" applyFont="1" applyFill="1" applyBorder="1" applyAlignment="1">
      <alignment horizontal="left" vertical="center" shrinkToFit="1"/>
    </xf>
    <xf numFmtId="0" fontId="27" fillId="4" borderId="87" xfId="0" applyFont="1" applyFill="1" applyBorder="1" applyAlignment="1">
      <alignment horizontal="left" vertical="center" wrapText="1"/>
    </xf>
    <xf numFmtId="0" fontId="27" fillId="4" borderId="88" xfId="0" applyFont="1" applyFill="1" applyBorder="1" applyAlignment="1">
      <alignment horizontal="left" vertical="center" wrapText="1"/>
    </xf>
    <xf numFmtId="0" fontId="27" fillId="4" borderId="89" xfId="0" applyFont="1" applyFill="1" applyBorder="1" applyAlignment="1">
      <alignment horizontal="left" vertical="center" wrapText="1"/>
    </xf>
    <xf numFmtId="0" fontId="40" fillId="4" borderId="8" xfId="0" applyFont="1" applyFill="1" applyBorder="1" applyAlignment="1">
      <alignment horizontal="left" vertical="top" wrapText="1"/>
    </xf>
    <xf numFmtId="0" fontId="40" fillId="4" borderId="2" xfId="0" applyFont="1" applyFill="1" applyBorder="1" applyAlignment="1">
      <alignment horizontal="left" vertical="top" wrapText="1"/>
    </xf>
    <xf numFmtId="0" fontId="34" fillId="4" borderId="8" xfId="0" applyFont="1" applyFill="1" applyBorder="1" applyAlignment="1">
      <alignment horizontal="left" vertical="center" wrapText="1"/>
    </xf>
    <xf numFmtId="1" fontId="23" fillId="4" borderId="8" xfId="0" applyNumberFormat="1" applyFont="1" applyFill="1" applyBorder="1" applyAlignment="1">
      <alignment horizontal="center" vertical="center" shrinkToFit="1"/>
    </xf>
    <xf numFmtId="1" fontId="17" fillId="4" borderId="11" xfId="0" applyNumberFormat="1" applyFont="1" applyFill="1" applyBorder="1" applyAlignment="1">
      <alignment horizontal="left" vertical="center" indent="1" shrinkToFit="1"/>
    </xf>
    <xf numFmtId="1" fontId="17" fillId="4" borderId="12" xfId="0" applyNumberFormat="1" applyFont="1" applyFill="1" applyBorder="1" applyAlignment="1">
      <alignment horizontal="left" vertical="center" indent="1" shrinkToFit="1"/>
    </xf>
    <xf numFmtId="1" fontId="17" fillId="4" borderId="1" xfId="0" applyNumberFormat="1" applyFont="1" applyFill="1" applyBorder="1" applyAlignment="1">
      <alignment horizontal="left" vertical="center" indent="1" shrinkToFit="1"/>
    </xf>
    <xf numFmtId="1" fontId="48" fillId="4" borderId="11" xfId="0" applyNumberFormat="1" applyFont="1" applyFill="1" applyBorder="1" applyAlignment="1">
      <alignment horizontal="center" vertical="center" shrinkToFit="1"/>
    </xf>
    <xf numFmtId="1" fontId="48" fillId="4" borderId="12" xfId="0" applyNumberFormat="1" applyFont="1" applyFill="1" applyBorder="1" applyAlignment="1">
      <alignment horizontal="center" vertical="center" shrinkToFit="1"/>
    </xf>
    <xf numFmtId="1" fontId="48" fillId="4" borderId="1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left" vertical="center" shrinkToFit="1"/>
    </xf>
    <xf numFmtId="1" fontId="48" fillId="4" borderId="12" xfId="0" applyNumberFormat="1" applyFont="1" applyFill="1" applyBorder="1" applyAlignment="1">
      <alignment horizontal="left" vertical="center" shrinkToFit="1"/>
    </xf>
    <xf numFmtId="1" fontId="48" fillId="4" borderId="1" xfId="0" applyNumberFormat="1" applyFont="1" applyFill="1" applyBorder="1" applyAlignment="1">
      <alignment horizontal="left" vertical="center" shrinkToFit="1"/>
    </xf>
    <xf numFmtId="1" fontId="48" fillId="4" borderId="7" xfId="0" applyNumberFormat="1" applyFont="1" applyFill="1" applyBorder="1" applyAlignment="1">
      <alignment horizontal="center" vertical="center" shrinkToFit="1"/>
    </xf>
    <xf numFmtId="1" fontId="48" fillId="4" borderId="8" xfId="0" applyNumberFormat="1" applyFont="1" applyFill="1" applyBorder="1" applyAlignment="1">
      <alignment horizontal="center" vertical="center" shrinkToFit="1"/>
    </xf>
    <xf numFmtId="1" fontId="48" fillId="4" borderId="11" xfId="0" applyNumberFormat="1" applyFont="1" applyFill="1" applyBorder="1" applyAlignment="1">
      <alignment horizontal="right" vertical="center" shrinkToFit="1"/>
    </xf>
    <xf numFmtId="1" fontId="48" fillId="4" borderId="1" xfId="0" applyNumberFormat="1" applyFont="1" applyFill="1" applyBorder="1" applyAlignment="1">
      <alignment horizontal="right" vertical="center" shrinkToFit="1"/>
    </xf>
    <xf numFmtId="1" fontId="48" fillId="4" borderId="11" xfId="0" applyNumberFormat="1" applyFont="1" applyFill="1" applyBorder="1" applyAlignment="1">
      <alignment horizontal="left" vertical="center" indent="1" shrinkToFit="1"/>
    </xf>
    <xf numFmtId="1" fontId="48" fillId="4" borderId="12" xfId="0" applyNumberFormat="1" applyFont="1" applyFill="1" applyBorder="1" applyAlignment="1">
      <alignment horizontal="left" vertical="center" indent="1" shrinkToFit="1"/>
    </xf>
    <xf numFmtId="1" fontId="48" fillId="4" borderId="1" xfId="0" applyNumberFormat="1" applyFont="1" applyFill="1" applyBorder="1" applyAlignment="1">
      <alignment horizontal="left" vertical="center" indent="1" shrinkToFit="1"/>
    </xf>
    <xf numFmtId="0" fontId="47" fillId="4" borderId="11" xfId="0" applyFont="1" applyFill="1" applyBorder="1" applyAlignment="1">
      <alignment horizontal="center" vertical="center" wrapText="1"/>
    </xf>
    <xf numFmtId="0" fontId="47" fillId="4" borderId="12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47" fillId="4" borderId="11" xfId="0" applyFont="1" applyFill="1" applyBorder="1" applyAlignment="1">
      <alignment horizontal="left" vertical="center" wrapText="1"/>
    </xf>
    <xf numFmtId="0" fontId="47" fillId="4" borderId="12" xfId="0" applyFont="1" applyFill="1" applyBorder="1" applyAlignment="1">
      <alignment horizontal="left" vertical="center" wrapText="1"/>
    </xf>
    <xf numFmtId="0" fontId="47" fillId="4" borderId="1" xfId="0" applyFont="1" applyFill="1" applyBorder="1" applyAlignment="1">
      <alignment horizontal="left" vertical="center" wrapText="1"/>
    </xf>
    <xf numFmtId="0" fontId="36" fillId="4" borderId="11" xfId="0" applyFont="1" applyFill="1" applyBorder="1" applyAlignment="1">
      <alignment horizontal="left" vertical="top" wrapText="1"/>
    </xf>
    <xf numFmtId="0" fontId="36" fillId="4" borderId="12" xfId="0" applyFont="1" applyFill="1" applyBorder="1" applyAlignment="1">
      <alignment horizontal="left" vertical="top" wrapText="1"/>
    </xf>
    <xf numFmtId="0" fontId="36" fillId="4" borderId="1" xfId="0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13" fillId="4" borderId="10" xfId="0" applyFont="1" applyFill="1" applyBorder="1" applyAlignment="1">
      <alignment horizontal="left" vertical="top" wrapText="1"/>
    </xf>
    <xf numFmtId="1" fontId="48" fillId="5" borderId="11" xfId="0" applyNumberFormat="1" applyFont="1" applyFill="1" applyBorder="1" applyAlignment="1">
      <alignment horizontal="center" vertical="center" shrinkToFit="1"/>
    </xf>
    <xf numFmtId="1" fontId="48" fillId="5" borderId="12" xfId="0" applyNumberFormat="1" applyFont="1" applyFill="1" applyBorder="1" applyAlignment="1">
      <alignment horizontal="center" vertical="center" shrinkToFit="1"/>
    </xf>
    <xf numFmtId="1" fontId="48" fillId="5" borderId="1" xfId="0" applyNumberFormat="1" applyFont="1" applyFill="1" applyBorder="1" applyAlignment="1">
      <alignment horizontal="center" vertical="center" shrinkToFit="1"/>
    </xf>
    <xf numFmtId="0" fontId="47" fillId="5" borderId="11" xfId="0" applyFont="1" applyFill="1" applyBorder="1" applyAlignment="1">
      <alignment horizontal="center" vertical="center" wrapText="1"/>
    </xf>
    <xf numFmtId="0" fontId="47" fillId="5" borderId="12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1" fontId="48" fillId="4" borderId="11" xfId="0" applyNumberFormat="1" applyFont="1" applyFill="1" applyBorder="1" applyAlignment="1">
      <alignment horizontal="right" vertical="center" indent="1" shrinkToFit="1"/>
    </xf>
    <xf numFmtId="1" fontId="48" fillId="4" borderId="1" xfId="0" applyNumberFormat="1" applyFont="1" applyFill="1" applyBorder="1" applyAlignment="1">
      <alignment horizontal="right" vertical="center" indent="1" shrinkToFit="1"/>
    </xf>
    <xf numFmtId="1" fontId="48" fillId="5" borderId="11" xfId="0" applyNumberFormat="1" applyFont="1" applyFill="1" applyBorder="1" applyAlignment="1">
      <alignment horizontal="left" vertical="center" shrinkToFit="1"/>
    </xf>
    <xf numFmtId="1" fontId="48" fillId="5" borderId="12" xfId="0" applyNumberFormat="1" applyFont="1" applyFill="1" applyBorder="1" applyAlignment="1">
      <alignment horizontal="left" vertical="center" shrinkToFit="1"/>
    </xf>
    <xf numFmtId="1" fontId="48" fillId="5" borderId="1" xfId="0" applyNumberFormat="1" applyFont="1" applyFill="1" applyBorder="1" applyAlignment="1">
      <alignment horizontal="left" vertical="center" shrinkToFit="1"/>
    </xf>
    <xf numFmtId="1" fontId="48" fillId="4" borderId="99" xfId="0" applyNumberFormat="1" applyFont="1" applyFill="1" applyBorder="1" applyAlignment="1">
      <alignment horizontal="center" vertical="center" shrinkToFit="1"/>
    </xf>
    <xf numFmtId="1" fontId="48" fillId="4" borderId="100" xfId="0" applyNumberFormat="1" applyFont="1" applyFill="1" applyBorder="1" applyAlignment="1">
      <alignment horizontal="center" vertical="center" shrinkToFit="1"/>
    </xf>
    <xf numFmtId="1" fontId="48" fillId="4" borderId="101" xfId="0" applyNumberFormat="1" applyFont="1" applyFill="1" applyBorder="1" applyAlignment="1">
      <alignment horizontal="center" vertical="center" shrinkToFit="1"/>
    </xf>
    <xf numFmtId="1" fontId="48" fillId="4" borderId="99" xfId="0" applyNumberFormat="1" applyFont="1" applyFill="1" applyBorder="1" applyAlignment="1">
      <alignment horizontal="left" vertical="center" shrinkToFit="1"/>
    </xf>
    <xf numFmtId="1" fontId="48" fillId="4" borderId="100" xfId="0" applyNumberFormat="1" applyFont="1" applyFill="1" applyBorder="1" applyAlignment="1">
      <alignment horizontal="left" vertical="center" shrinkToFit="1"/>
    </xf>
    <xf numFmtId="1" fontId="48" fillId="4" borderId="101" xfId="0" applyNumberFormat="1" applyFont="1" applyFill="1" applyBorder="1" applyAlignment="1">
      <alignment horizontal="left" vertical="center" shrinkToFit="1"/>
    </xf>
    <xf numFmtId="0" fontId="47" fillId="4" borderId="99" xfId="0" applyFont="1" applyFill="1" applyBorder="1" applyAlignment="1">
      <alignment horizontal="center" vertical="center" wrapText="1"/>
    </xf>
    <xf numFmtId="0" fontId="47" fillId="4" borderId="100" xfId="0" applyFont="1" applyFill="1" applyBorder="1" applyAlignment="1">
      <alignment horizontal="center" vertical="center" wrapText="1"/>
    </xf>
    <xf numFmtId="0" fontId="47" fillId="4" borderId="101" xfId="0" applyFont="1" applyFill="1" applyBorder="1" applyAlignment="1">
      <alignment horizontal="center" vertical="center" wrapText="1"/>
    </xf>
    <xf numFmtId="1" fontId="48" fillId="4" borderId="99" xfId="0" applyNumberFormat="1" applyFont="1" applyFill="1" applyBorder="1" applyAlignment="1">
      <alignment horizontal="left" vertical="center" indent="1" shrinkToFit="1"/>
    </xf>
    <xf numFmtId="1" fontId="48" fillId="4" borderId="101" xfId="0" applyNumberFormat="1" applyFont="1" applyFill="1" applyBorder="1" applyAlignment="1">
      <alignment horizontal="left" vertical="center" indent="1" shrinkToFit="1"/>
    </xf>
    <xf numFmtId="1" fontId="48" fillId="4" borderId="100" xfId="0" applyNumberFormat="1" applyFont="1" applyFill="1" applyBorder="1" applyAlignment="1">
      <alignment horizontal="left" vertical="center" indent="1" shrinkToFit="1"/>
    </xf>
    <xf numFmtId="1" fontId="48" fillId="4" borderId="99" xfId="0" applyNumberFormat="1" applyFont="1" applyFill="1" applyBorder="1" applyAlignment="1">
      <alignment horizontal="right" vertical="center" indent="1" shrinkToFit="1"/>
    </xf>
    <xf numFmtId="1" fontId="48" fillId="4" borderId="101" xfId="0" applyNumberFormat="1" applyFont="1" applyFill="1" applyBorder="1" applyAlignment="1">
      <alignment horizontal="right" vertical="center" indent="1" shrinkToFit="1"/>
    </xf>
    <xf numFmtId="1" fontId="48" fillId="4" borderId="99" xfId="0" applyNumberFormat="1" applyFont="1" applyFill="1" applyBorder="1" applyAlignment="1">
      <alignment horizontal="right" vertical="center" shrinkToFit="1"/>
    </xf>
    <xf numFmtId="1" fontId="48" fillId="4" borderId="101" xfId="0" applyNumberFormat="1" applyFont="1" applyFill="1" applyBorder="1" applyAlignment="1">
      <alignment horizontal="right" vertical="center" shrinkToFit="1"/>
    </xf>
    <xf numFmtId="0" fontId="51" fillId="4" borderId="39" xfId="0" applyFont="1" applyFill="1" applyBorder="1" applyAlignment="1">
      <alignment vertical="center" wrapText="1"/>
    </xf>
    <xf numFmtId="0" fontId="51" fillId="4" borderId="40" xfId="0" applyFont="1" applyFill="1" applyBorder="1" applyAlignment="1">
      <alignment vertical="center" wrapText="1"/>
    </xf>
    <xf numFmtId="0" fontId="51" fillId="4" borderId="86" xfId="0" applyFont="1" applyFill="1" applyBorder="1" applyAlignment="1">
      <alignment vertical="center" wrapText="1"/>
    </xf>
    <xf numFmtId="0" fontId="68" fillId="4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top" wrapText="1"/>
    </xf>
    <xf numFmtId="0" fontId="12" fillId="4" borderId="13" xfId="0" applyFont="1" applyFill="1" applyBorder="1" applyAlignment="1">
      <alignment horizontal="left" vertical="top" wrapText="1"/>
    </xf>
    <xf numFmtId="0" fontId="56" fillId="4" borderId="7" xfId="0" applyFont="1" applyFill="1" applyBorder="1" applyAlignment="1">
      <alignment horizontal="center" vertical="center" wrapText="1"/>
    </xf>
    <xf numFmtId="0" fontId="56" fillId="4" borderId="8" xfId="0" applyFont="1" applyFill="1" applyBorder="1" applyAlignment="1">
      <alignment horizontal="center" vertical="center" wrapText="1"/>
    </xf>
    <xf numFmtId="0" fontId="56" fillId="4" borderId="2" xfId="0" applyFont="1" applyFill="1" applyBorder="1" applyAlignment="1">
      <alignment horizontal="center" vertical="center" wrapText="1"/>
    </xf>
    <xf numFmtId="0" fontId="56" fillId="4" borderId="49" xfId="0" applyFont="1" applyFill="1" applyBorder="1" applyAlignment="1">
      <alignment horizontal="center" vertical="center" wrapText="1"/>
    </xf>
    <xf numFmtId="0" fontId="56" fillId="4" borderId="0" xfId="0" applyFont="1" applyFill="1" applyBorder="1" applyAlignment="1">
      <alignment horizontal="center" vertical="center" wrapText="1"/>
    </xf>
    <xf numFmtId="0" fontId="56" fillId="4" borderId="13" xfId="0" applyFont="1" applyFill="1" applyBorder="1" applyAlignment="1">
      <alignment horizontal="center" vertical="center" wrapText="1"/>
    </xf>
    <xf numFmtId="0" fontId="47" fillId="4" borderId="49" xfId="0" applyFont="1" applyFill="1" applyBorder="1" applyAlignment="1">
      <alignment horizontal="left" textRotation="90" wrapText="1"/>
    </xf>
    <xf numFmtId="0" fontId="47" fillId="4" borderId="0" xfId="0" applyFont="1" applyFill="1" applyBorder="1" applyAlignment="1">
      <alignment horizontal="left" textRotation="90" wrapText="1"/>
    </xf>
    <xf numFmtId="0" fontId="47" fillId="4" borderId="13" xfId="0" applyFont="1" applyFill="1" applyBorder="1" applyAlignment="1">
      <alignment horizontal="left" textRotation="90" wrapText="1"/>
    </xf>
    <xf numFmtId="0" fontId="47" fillId="4" borderId="5" xfId="0" applyFont="1" applyFill="1" applyBorder="1" applyAlignment="1">
      <alignment horizontal="left" textRotation="90" wrapText="1"/>
    </xf>
    <xf numFmtId="0" fontId="47" fillId="4" borderId="97" xfId="0" applyFont="1" applyFill="1" applyBorder="1" applyAlignment="1">
      <alignment horizontal="left" textRotation="90" wrapText="1"/>
    </xf>
    <xf numFmtId="1" fontId="24" fillId="4" borderId="10" xfId="0" applyNumberFormat="1" applyFont="1" applyFill="1" applyBorder="1" applyAlignment="1">
      <alignment horizontal="center" vertical="top" shrinkToFit="1"/>
    </xf>
    <xf numFmtId="0" fontId="47" fillId="4" borderId="7" xfId="0" applyFont="1" applyFill="1" applyBorder="1" applyAlignment="1">
      <alignment horizontal="center" vertical="center" wrapText="1"/>
    </xf>
    <xf numFmtId="0" fontId="47" fillId="4" borderId="2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 indent="1"/>
    </xf>
    <xf numFmtId="0" fontId="47" fillId="4" borderId="2" xfId="0" applyFont="1" applyFill="1" applyBorder="1" applyAlignment="1">
      <alignment horizontal="left" vertical="center" wrapText="1" indent="1"/>
    </xf>
    <xf numFmtId="0" fontId="47" fillId="4" borderId="8" xfId="0" applyFont="1" applyFill="1" applyBorder="1" applyAlignment="1">
      <alignment horizontal="left" vertical="center" wrapText="1" indent="1"/>
    </xf>
    <xf numFmtId="0" fontId="47" fillId="4" borderId="7" xfId="0" applyFont="1" applyFill="1" applyBorder="1" applyAlignment="1">
      <alignment horizontal="right" vertical="center" wrapText="1"/>
    </xf>
    <xf numFmtId="0" fontId="47" fillId="4" borderId="2" xfId="0" applyFont="1" applyFill="1" applyBorder="1" applyAlignment="1">
      <alignment horizontal="right" vertical="center" wrapText="1"/>
    </xf>
    <xf numFmtId="0" fontId="47" fillId="4" borderId="99" xfId="0" applyFont="1" applyFill="1" applyBorder="1" applyAlignment="1">
      <alignment horizontal="left" vertical="center" wrapText="1"/>
    </xf>
    <xf numFmtId="0" fontId="47" fillId="4" borderId="100" xfId="0" applyFont="1" applyFill="1" applyBorder="1" applyAlignment="1">
      <alignment horizontal="left" vertical="center" wrapText="1"/>
    </xf>
    <xf numFmtId="0" fontId="47" fillId="4" borderId="101" xfId="0" applyFont="1" applyFill="1" applyBorder="1" applyAlignment="1">
      <alignment horizontal="left" vertical="center" wrapText="1"/>
    </xf>
    <xf numFmtId="0" fontId="47" fillId="4" borderId="8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top" wrapText="1"/>
    </xf>
    <xf numFmtId="0" fontId="21" fillId="4" borderId="71" xfId="0" applyFont="1" applyFill="1" applyBorder="1" applyAlignment="1">
      <alignment horizontal="center" vertical="top" wrapText="1"/>
    </xf>
    <xf numFmtId="0" fontId="58" fillId="4" borderId="10" xfId="0" applyFont="1" applyFill="1" applyBorder="1" applyAlignment="1">
      <alignment horizontal="right" vertical="top" wrapText="1"/>
    </xf>
    <xf numFmtId="0" fontId="47" fillId="4" borderId="7" xfId="0" applyFont="1" applyFill="1" applyBorder="1" applyAlignment="1">
      <alignment horizontal="left" vertical="top" wrapText="1" indent="1"/>
    </xf>
    <xf numFmtId="0" fontId="47" fillId="4" borderId="8" xfId="0" applyFont="1" applyFill="1" applyBorder="1" applyAlignment="1">
      <alignment horizontal="left" vertical="top" wrapText="1" indent="1"/>
    </xf>
    <xf numFmtId="0" fontId="47" fillId="4" borderId="49" xfId="0" applyFont="1" applyFill="1" applyBorder="1" applyAlignment="1">
      <alignment horizontal="left" vertical="top" wrapText="1" indent="1"/>
    </xf>
    <xf numFmtId="0" fontId="47" fillId="4" borderId="0" xfId="0" applyFont="1" applyFill="1" applyBorder="1" applyAlignment="1">
      <alignment horizontal="left" vertical="top" wrapText="1" indent="1"/>
    </xf>
    <xf numFmtId="0" fontId="37" fillId="4" borderId="56" xfId="0" applyFont="1" applyFill="1" applyBorder="1" applyAlignment="1">
      <alignment horizontal="center" vertical="top"/>
    </xf>
    <xf numFmtId="0" fontId="37" fillId="4" borderId="57" xfId="0" applyFont="1" applyFill="1" applyBorder="1" applyAlignment="1">
      <alignment horizontal="center" vertical="top"/>
    </xf>
    <xf numFmtId="0" fontId="37" fillId="4" borderId="59" xfId="0" applyFont="1" applyFill="1" applyBorder="1" applyAlignment="1">
      <alignment horizontal="center" vertical="top"/>
    </xf>
    <xf numFmtId="0" fontId="37" fillId="4" borderId="59" xfId="0" applyFont="1" applyFill="1" applyBorder="1" applyAlignment="1">
      <alignment horizontal="center" vertical="top" wrapText="1"/>
    </xf>
    <xf numFmtId="0" fontId="107" fillId="0" borderId="23" xfId="2" applyFont="1" applyBorder="1" applyAlignment="1">
      <alignment horizontal="center" vertical="center" wrapText="1"/>
    </xf>
    <xf numFmtId="0" fontId="107" fillId="0" borderId="24" xfId="2" applyFont="1" applyBorder="1" applyAlignment="1">
      <alignment horizontal="center" vertical="center" wrapText="1"/>
    </xf>
    <xf numFmtId="0" fontId="37" fillId="4" borderId="72" xfId="0" applyFont="1" applyFill="1" applyBorder="1" applyAlignment="1">
      <alignment horizontal="center" vertical="top"/>
    </xf>
    <xf numFmtId="0" fontId="37" fillId="4" borderId="73" xfId="0" applyFont="1" applyFill="1" applyBorder="1" applyAlignment="1">
      <alignment horizontal="center" vertical="top"/>
    </xf>
    <xf numFmtId="0" fontId="37" fillId="4" borderId="74" xfId="0" applyFont="1" applyFill="1" applyBorder="1" applyAlignment="1">
      <alignment horizontal="center" vertical="top"/>
    </xf>
    <xf numFmtId="0" fontId="37" fillId="4" borderId="45" xfId="0" applyFont="1" applyFill="1" applyBorder="1" applyAlignment="1">
      <alignment horizontal="center" vertical="top" wrapText="1"/>
    </xf>
    <xf numFmtId="0" fontId="37" fillId="4" borderId="46" xfId="0" applyFont="1" applyFill="1" applyBorder="1" applyAlignment="1">
      <alignment horizontal="center" vertical="top"/>
    </xf>
    <xf numFmtId="0" fontId="37" fillId="4" borderId="60" xfId="0" applyFont="1" applyFill="1" applyBorder="1" applyAlignment="1">
      <alignment horizontal="center" vertical="top" wrapText="1"/>
    </xf>
    <xf numFmtId="0" fontId="37" fillId="4" borderId="45" xfId="0" applyFont="1" applyFill="1" applyBorder="1" applyAlignment="1">
      <alignment horizontal="center" vertical="top"/>
    </xf>
    <xf numFmtId="1" fontId="48" fillId="4" borderId="88" xfId="0" applyNumberFormat="1" applyFont="1" applyFill="1" applyBorder="1" applyAlignment="1">
      <alignment horizontal="center" vertical="center" shrinkToFit="1"/>
    </xf>
    <xf numFmtId="1" fontId="48" fillId="4" borderId="89" xfId="0" applyNumberFormat="1" applyFont="1" applyFill="1" applyBorder="1" applyAlignment="1">
      <alignment horizontal="center" vertical="center" shrinkToFit="1"/>
    </xf>
    <xf numFmtId="1" fontId="48" fillId="4" borderId="87" xfId="0" applyNumberFormat="1" applyFont="1" applyFill="1" applyBorder="1" applyAlignment="1">
      <alignment horizontal="right" vertical="center" shrinkToFit="1"/>
    </xf>
    <xf numFmtId="1" fontId="48" fillId="4" borderId="88" xfId="0" applyNumberFormat="1" applyFont="1" applyFill="1" applyBorder="1" applyAlignment="1">
      <alignment horizontal="right" vertical="center" shrinkToFit="1"/>
    </xf>
    <xf numFmtId="1" fontId="48" fillId="4" borderId="89" xfId="0" applyNumberFormat="1" applyFont="1" applyFill="1" applyBorder="1" applyAlignment="1">
      <alignment horizontal="right" vertical="center" shrinkToFit="1"/>
    </xf>
    <xf numFmtId="1" fontId="48" fillId="4" borderId="87" xfId="0" applyNumberFormat="1" applyFont="1" applyFill="1" applyBorder="1" applyAlignment="1">
      <alignment horizontal="left" vertical="center" shrinkToFit="1"/>
    </xf>
    <xf numFmtId="1" fontId="48" fillId="4" borderId="89" xfId="0" applyNumberFormat="1" applyFont="1" applyFill="1" applyBorder="1" applyAlignment="1">
      <alignment horizontal="left" vertical="center" shrinkToFit="1"/>
    </xf>
    <xf numFmtId="0" fontId="47" fillId="4" borderId="87" xfId="0" applyFont="1" applyFill="1" applyBorder="1" applyAlignment="1">
      <alignment horizontal="left" vertical="top" wrapText="1"/>
    </xf>
    <xf numFmtId="0" fontId="47" fillId="4" borderId="88" xfId="0" applyFont="1" applyFill="1" applyBorder="1" applyAlignment="1">
      <alignment horizontal="left" vertical="top" wrapText="1"/>
    </xf>
    <xf numFmtId="0" fontId="47" fillId="4" borderId="89" xfId="0" applyFont="1" applyFill="1" applyBorder="1" applyAlignment="1">
      <alignment horizontal="left" vertical="top" wrapText="1"/>
    </xf>
    <xf numFmtId="1" fontId="48" fillId="4" borderId="7" xfId="0" applyNumberFormat="1" applyFont="1" applyFill="1" applyBorder="1" applyAlignment="1">
      <alignment horizontal="left" vertical="center" shrinkToFit="1"/>
    </xf>
    <xf numFmtId="1" fontId="48" fillId="4" borderId="2" xfId="0" applyNumberFormat="1" applyFont="1" applyFill="1" applyBorder="1" applyAlignment="1">
      <alignment horizontal="left" vertical="center" shrinkToFit="1"/>
    </xf>
    <xf numFmtId="1" fontId="48" fillId="4" borderId="8" xfId="0" applyNumberFormat="1" applyFont="1" applyFill="1" applyBorder="1" applyAlignment="1">
      <alignment horizontal="left" vertical="center" shrinkToFit="1"/>
    </xf>
    <xf numFmtId="1" fontId="48" fillId="4" borderId="2" xfId="0" applyNumberFormat="1" applyFont="1" applyFill="1" applyBorder="1" applyAlignment="1">
      <alignment horizontal="center" vertical="center" shrinkToFit="1"/>
    </xf>
    <xf numFmtId="1" fontId="48" fillId="4" borderId="76" xfId="0" applyNumberFormat="1" applyFont="1" applyFill="1" applyBorder="1" applyAlignment="1">
      <alignment horizontal="center" vertical="center" wrapText="1" shrinkToFit="1"/>
    </xf>
    <xf numFmtId="1" fontId="48" fillId="4" borderId="12" xfId="0" applyNumberFormat="1" applyFont="1" applyFill="1" applyBorder="1" applyAlignment="1">
      <alignment horizontal="right" vertical="center" shrinkToFit="1"/>
    </xf>
    <xf numFmtId="1" fontId="48" fillId="4" borderId="7" xfId="0" applyNumberFormat="1" applyFont="1" applyFill="1" applyBorder="1" applyAlignment="1">
      <alignment horizontal="right" vertical="center" shrinkToFit="1"/>
    </xf>
    <xf numFmtId="1" fontId="48" fillId="4" borderId="8" xfId="0" applyNumberFormat="1" applyFont="1" applyFill="1" applyBorder="1" applyAlignment="1">
      <alignment horizontal="right" vertical="center" shrinkToFit="1"/>
    </xf>
    <xf numFmtId="1" fontId="48" fillId="4" borderId="2" xfId="0" applyNumberFormat="1" applyFont="1" applyFill="1" applyBorder="1" applyAlignment="1">
      <alignment horizontal="right" vertical="center" shrinkToFit="1"/>
    </xf>
    <xf numFmtId="0" fontId="59" fillId="4" borderId="9" xfId="0" applyFont="1" applyFill="1" applyBorder="1" applyAlignment="1">
      <alignment horizontal="left" vertical="center" wrapText="1"/>
    </xf>
    <xf numFmtId="0" fontId="59" fillId="4" borderId="10" xfId="0" applyFont="1" applyFill="1" applyBorder="1" applyAlignment="1">
      <alignment horizontal="left" vertical="center" wrapText="1"/>
    </xf>
    <xf numFmtId="0" fontId="59" fillId="4" borderId="14" xfId="0" applyFont="1" applyFill="1" applyBorder="1" applyAlignment="1">
      <alignment horizontal="left" vertical="top" wrapText="1"/>
    </xf>
    <xf numFmtId="0" fontId="47" fillId="4" borderId="8" xfId="0" applyFont="1" applyFill="1" applyBorder="1" applyAlignment="1">
      <alignment horizontal="left" vertical="center" wrapText="1"/>
    </xf>
    <xf numFmtId="0" fontId="59" fillId="4" borderId="7" xfId="0" applyFont="1" applyFill="1" applyBorder="1" applyAlignment="1">
      <alignment horizontal="left" vertical="top" wrapText="1"/>
    </xf>
    <xf numFmtId="0" fontId="59" fillId="4" borderId="8" xfId="0" applyFont="1" applyFill="1" applyBorder="1" applyAlignment="1">
      <alignment horizontal="left" vertical="top" wrapText="1"/>
    </xf>
    <xf numFmtId="0" fontId="59" fillId="4" borderId="2" xfId="0" applyFont="1" applyFill="1" applyBorder="1" applyAlignment="1">
      <alignment horizontal="left" vertical="top" wrapText="1"/>
    </xf>
    <xf numFmtId="1" fontId="48" fillId="5" borderId="11" xfId="0" applyNumberFormat="1" applyFont="1" applyFill="1" applyBorder="1" applyAlignment="1">
      <alignment horizontal="left" vertical="center" indent="1" shrinkToFit="1"/>
    </xf>
    <xf numFmtId="1" fontId="48" fillId="5" borderId="1" xfId="0" applyNumberFormat="1" applyFont="1" applyFill="1" applyBorder="1" applyAlignment="1">
      <alignment horizontal="left" vertical="center" indent="1" shrinkToFit="1"/>
    </xf>
    <xf numFmtId="1" fontId="48" fillId="5" borderId="12" xfId="0" applyNumberFormat="1" applyFont="1" applyFill="1" applyBorder="1" applyAlignment="1">
      <alignment horizontal="left" vertical="center" indent="1" shrinkToFit="1"/>
    </xf>
    <xf numFmtId="1" fontId="48" fillId="5" borderId="11" xfId="0" applyNumberFormat="1" applyFont="1" applyFill="1" applyBorder="1" applyAlignment="1">
      <alignment horizontal="right" vertical="center" shrinkToFit="1"/>
    </xf>
    <xf numFmtId="1" fontId="48" fillId="5" borderId="12" xfId="0" applyNumberFormat="1" applyFont="1" applyFill="1" applyBorder="1" applyAlignment="1">
      <alignment horizontal="right" vertical="center" shrinkToFit="1"/>
    </xf>
    <xf numFmtId="1" fontId="48" fillId="5" borderId="1" xfId="0" applyNumberFormat="1" applyFont="1" applyFill="1" applyBorder="1" applyAlignment="1">
      <alignment horizontal="right" vertical="center" shrinkToFit="1"/>
    </xf>
    <xf numFmtId="0" fontId="47" fillId="5" borderId="15" xfId="0" applyFont="1" applyFill="1" applyBorder="1" applyAlignment="1">
      <alignment horizontal="center" vertical="center" wrapText="1"/>
    </xf>
    <xf numFmtId="0" fontId="47" fillId="5" borderId="11" xfId="0" applyFont="1" applyFill="1" applyBorder="1" applyAlignment="1">
      <alignment horizontal="left" vertical="center" wrapText="1"/>
    </xf>
    <xf numFmtId="0" fontId="47" fillId="5" borderId="12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top" wrapText="1" indent="1"/>
    </xf>
    <xf numFmtId="0" fontId="12" fillId="4" borderId="1" xfId="0" applyFont="1" applyFill="1" applyBorder="1" applyAlignment="1">
      <alignment horizontal="left" vertical="top" wrapText="1" indent="1"/>
    </xf>
    <xf numFmtId="0" fontId="12" fillId="4" borderId="11" xfId="0" applyFont="1" applyFill="1" applyBorder="1" applyAlignment="1">
      <alignment horizontal="right" vertical="top" wrapText="1"/>
    </xf>
    <xf numFmtId="0" fontId="12" fillId="4" borderId="12" xfId="0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right" vertical="top" wrapText="1"/>
    </xf>
    <xf numFmtId="0" fontId="12" fillId="4" borderId="61" xfId="0" applyFont="1" applyFill="1" applyBorder="1" applyAlignment="1">
      <alignment horizontal="left" vertical="center" wrapText="1"/>
    </xf>
    <xf numFmtId="0" fontId="12" fillId="4" borderId="62" xfId="0" applyFont="1" applyFill="1" applyBorder="1" applyAlignment="1">
      <alignment horizontal="left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textRotation="90" wrapText="1"/>
    </xf>
    <xf numFmtId="0" fontId="12" fillId="4" borderId="8" xfId="0" applyFont="1" applyFill="1" applyBorder="1" applyAlignment="1">
      <alignment horizontal="left" textRotation="90" wrapText="1"/>
    </xf>
    <xf numFmtId="0" fontId="12" fillId="4" borderId="2" xfId="0" applyFont="1" applyFill="1" applyBorder="1" applyAlignment="1">
      <alignment horizontal="left" textRotation="90" wrapText="1"/>
    </xf>
    <xf numFmtId="0" fontId="12" fillId="4" borderId="12" xfId="0" applyFont="1" applyFill="1" applyBorder="1" applyAlignment="1">
      <alignment horizontal="left" vertical="top" wrapText="1" indent="1"/>
    </xf>
    <xf numFmtId="0" fontId="12" fillId="4" borderId="7" xfId="0" applyFont="1" applyFill="1" applyBorder="1" applyAlignment="1">
      <alignment horizontal="left" vertical="center" wrapText="1" indent="1"/>
    </xf>
    <xf numFmtId="0" fontId="12" fillId="4" borderId="8" xfId="0" applyFont="1" applyFill="1" applyBorder="1" applyAlignment="1">
      <alignment horizontal="left" vertical="center" wrapText="1" indent="1"/>
    </xf>
    <xf numFmtId="0" fontId="12" fillId="4" borderId="9" xfId="0" applyFont="1" applyFill="1" applyBorder="1" applyAlignment="1">
      <alignment horizontal="left" vertical="center" wrapText="1" indent="1"/>
    </xf>
    <xf numFmtId="0" fontId="12" fillId="4" borderId="10" xfId="0" applyFont="1" applyFill="1" applyBorder="1" applyAlignment="1">
      <alignment horizontal="left" vertical="center" wrapText="1" indent="1"/>
    </xf>
    <xf numFmtId="0" fontId="12" fillId="4" borderId="11" xfId="0" applyFont="1" applyFill="1" applyBorder="1" applyAlignment="1">
      <alignment horizontal="left" vertical="top" wrapText="1" indent="2"/>
    </xf>
    <xf numFmtId="0" fontId="12" fillId="4" borderId="12" xfId="0" applyFont="1" applyFill="1" applyBorder="1" applyAlignment="1">
      <alignment horizontal="left" vertical="top" wrapText="1" indent="2"/>
    </xf>
    <xf numFmtId="0" fontId="12" fillId="4" borderId="1" xfId="0" applyFont="1" applyFill="1" applyBorder="1" applyAlignment="1">
      <alignment horizontal="left" vertical="top" wrapText="1" indent="2"/>
    </xf>
    <xf numFmtId="0" fontId="21" fillId="4" borderId="103" xfId="0" applyFont="1" applyFill="1" applyBorder="1" applyAlignment="1">
      <alignment horizontal="center" vertical="top" wrapText="1"/>
    </xf>
    <xf numFmtId="0" fontId="21" fillId="4" borderId="104" xfId="0" applyFont="1" applyFill="1" applyBorder="1" applyAlignment="1">
      <alignment horizontal="center" vertical="top" wrapText="1"/>
    </xf>
    <xf numFmtId="0" fontId="47" fillId="4" borderId="23" xfId="0" applyFont="1" applyFill="1" applyBorder="1" applyAlignment="1">
      <alignment horizontal="left" vertical="center" wrapText="1"/>
    </xf>
    <xf numFmtId="0" fontId="59" fillId="4" borderId="59" xfId="0" applyFont="1" applyFill="1" applyBorder="1" applyAlignment="1">
      <alignment horizontal="left" vertical="top" wrapText="1"/>
    </xf>
    <xf numFmtId="0" fontId="59" fillId="4" borderId="82" xfId="0" applyFont="1" applyFill="1" applyBorder="1" applyAlignment="1">
      <alignment horizontal="left" vertical="top" wrapText="1"/>
    </xf>
    <xf numFmtId="1" fontId="48" fillId="4" borderId="14" xfId="0" applyNumberFormat="1" applyFont="1" applyFill="1" applyBorder="1" applyAlignment="1">
      <alignment horizontal="center" vertical="center" shrinkToFit="1"/>
    </xf>
    <xf numFmtId="0" fontId="37" fillId="4" borderId="18" xfId="0" applyFont="1" applyFill="1" applyBorder="1" applyAlignment="1">
      <alignment horizontal="center" vertical="top"/>
    </xf>
    <xf numFmtId="1" fontId="17" fillId="4" borderId="7" xfId="0" applyNumberFormat="1" applyFont="1" applyFill="1" applyBorder="1" applyAlignment="1">
      <alignment horizontal="left" vertical="center" shrinkToFit="1"/>
    </xf>
    <xf numFmtId="1" fontId="17" fillId="4" borderId="2" xfId="0" applyNumberFormat="1" applyFont="1" applyFill="1" applyBorder="1" applyAlignment="1">
      <alignment horizontal="left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1" fontId="17" fillId="4" borderId="8" xfId="0" applyNumberFormat="1" applyFont="1" applyFill="1" applyBorder="1" applyAlignment="1">
      <alignment horizontal="left" vertical="center" shrinkToFit="1"/>
    </xf>
    <xf numFmtId="1" fontId="17" fillId="4" borderId="7" xfId="0" applyNumberFormat="1" applyFont="1" applyFill="1" applyBorder="1" applyAlignment="1">
      <alignment horizontal="right" vertical="center" shrinkToFit="1"/>
    </xf>
    <xf numFmtId="1" fontId="17" fillId="4" borderId="2" xfId="0" applyNumberFormat="1" applyFont="1" applyFill="1" applyBorder="1" applyAlignment="1">
      <alignment horizontal="right" vertical="center" shrinkToFit="1"/>
    </xf>
    <xf numFmtId="0" fontId="13" fillId="4" borderId="7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50" fillId="4" borderId="11" xfId="0" applyFont="1" applyFill="1" applyBorder="1" applyAlignment="1">
      <alignment horizontal="left" vertical="top" wrapText="1"/>
    </xf>
    <xf numFmtId="0" fontId="50" fillId="4" borderId="1" xfId="0" applyFont="1" applyFill="1" applyBorder="1" applyAlignment="1">
      <alignment horizontal="left" vertical="top" wrapText="1"/>
    </xf>
    <xf numFmtId="0" fontId="50" fillId="4" borderId="11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left" vertical="center" wrapText="1"/>
    </xf>
    <xf numFmtId="0" fontId="31" fillId="4" borderId="30" xfId="0" applyFont="1" applyFill="1" applyBorder="1" applyAlignment="1">
      <alignment horizontal="center" vertical="top" wrapText="1"/>
    </xf>
    <xf numFmtId="0" fontId="31" fillId="4" borderId="29" xfId="0" applyFont="1" applyFill="1" applyBorder="1" applyAlignment="1">
      <alignment horizontal="center" vertical="top" wrapText="1"/>
    </xf>
    <xf numFmtId="0" fontId="31" fillId="4" borderId="31" xfId="0" applyFont="1" applyFill="1" applyBorder="1" applyAlignment="1">
      <alignment horizontal="center" vertical="top" wrapText="1"/>
    </xf>
    <xf numFmtId="0" fontId="58" fillId="4" borderId="14" xfId="0" applyFont="1" applyFill="1" applyBorder="1" applyAlignment="1">
      <alignment horizontal="left" vertical="top" wrapText="1" indent="1"/>
    </xf>
    <xf numFmtId="0" fontId="47" fillId="4" borderId="9" xfId="0" applyFont="1" applyFill="1" applyBorder="1" applyAlignment="1">
      <alignment horizontal="center" vertical="center" wrapText="1"/>
    </xf>
    <xf numFmtId="0" fontId="47" fillId="4" borderId="10" xfId="0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 vertical="center" wrapText="1"/>
    </xf>
    <xf numFmtId="1" fontId="48" fillId="4" borderId="9" xfId="0" applyNumberFormat="1" applyFont="1" applyFill="1" applyBorder="1" applyAlignment="1">
      <alignment horizontal="center" vertical="center" shrinkToFit="1"/>
    </xf>
    <xf numFmtId="1" fontId="48" fillId="4" borderId="3" xfId="0" applyNumberFormat="1" applyFont="1" applyFill="1" applyBorder="1" applyAlignment="1">
      <alignment horizontal="center" vertical="center" shrinkToFit="1"/>
    </xf>
    <xf numFmtId="1" fontId="48" fillId="4" borderId="10" xfId="0" applyNumberFormat="1" applyFont="1" applyFill="1" applyBorder="1" applyAlignment="1">
      <alignment horizontal="center" vertical="center" shrinkToFit="1"/>
    </xf>
    <xf numFmtId="1" fontId="48" fillId="4" borderId="9" xfId="0" applyNumberFormat="1" applyFont="1" applyFill="1" applyBorder="1" applyAlignment="1">
      <alignment horizontal="right" vertical="center" shrinkToFit="1"/>
    </xf>
    <xf numFmtId="1" fontId="48" fillId="4" borderId="10" xfId="0" applyNumberFormat="1" applyFont="1" applyFill="1" applyBorder="1" applyAlignment="1">
      <alignment horizontal="right" vertical="center" shrinkToFit="1"/>
    </xf>
    <xf numFmtId="1" fontId="48" fillId="4" borderId="3" xfId="0" applyNumberFormat="1" applyFont="1" applyFill="1" applyBorder="1" applyAlignment="1">
      <alignment horizontal="right" vertical="center" shrinkToFit="1"/>
    </xf>
    <xf numFmtId="1" fontId="48" fillId="4" borderId="9" xfId="0" applyNumberFormat="1" applyFont="1" applyFill="1" applyBorder="1" applyAlignment="1">
      <alignment horizontal="left" vertical="center" shrinkToFit="1"/>
    </xf>
    <xf numFmtId="1" fontId="48" fillId="4" borderId="10" xfId="0" applyNumberFormat="1" applyFont="1" applyFill="1" applyBorder="1" applyAlignment="1">
      <alignment horizontal="left" vertical="center" shrinkToFit="1"/>
    </xf>
    <xf numFmtId="1" fontId="48" fillId="4" borderId="3" xfId="0" applyNumberFormat="1" applyFont="1" applyFill="1" applyBorder="1" applyAlignment="1">
      <alignment horizontal="left" vertical="center" shrinkToFit="1"/>
    </xf>
    <xf numFmtId="1" fontId="48" fillId="4" borderId="9" xfId="0" applyNumberFormat="1" applyFont="1" applyFill="1" applyBorder="1" applyAlignment="1">
      <alignment horizontal="left" vertical="center" indent="1" shrinkToFit="1"/>
    </xf>
    <xf numFmtId="1" fontId="48" fillId="4" borderId="3" xfId="0" applyNumberFormat="1" applyFont="1" applyFill="1" applyBorder="1" applyAlignment="1">
      <alignment horizontal="left" vertical="center" indent="1" shrinkToFit="1"/>
    </xf>
    <xf numFmtId="0" fontId="50" fillId="4" borderId="9" xfId="0" applyFont="1" applyFill="1" applyBorder="1" applyAlignment="1">
      <alignment horizontal="left" vertical="top" wrapText="1"/>
    </xf>
    <xf numFmtId="0" fontId="50" fillId="4" borderId="3" xfId="0" applyFont="1" applyFill="1" applyBorder="1" applyAlignment="1">
      <alignment horizontal="left" vertical="top" wrapText="1"/>
    </xf>
    <xf numFmtId="0" fontId="58" fillId="4" borderId="24" xfId="0" applyFont="1" applyFill="1" applyBorder="1" applyAlignment="1">
      <alignment horizontal="center" vertical="top" wrapText="1"/>
    </xf>
    <xf numFmtId="0" fontId="58" fillId="4" borderId="2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left" vertical="top" wrapText="1"/>
    </xf>
    <xf numFmtId="0" fontId="58" fillId="4" borderId="14" xfId="0" applyFont="1" applyFill="1" applyBorder="1" applyAlignment="1">
      <alignment horizontal="center" vertical="top" wrapText="1"/>
    </xf>
    <xf numFmtId="0" fontId="58" fillId="4" borderId="14" xfId="0" applyFont="1" applyFill="1" applyBorder="1" applyAlignment="1">
      <alignment horizontal="left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58" fillId="4" borderId="14" xfId="0" applyFont="1" applyFill="1" applyBorder="1" applyAlignment="1">
      <alignment horizontal="left" textRotation="90" wrapText="1"/>
    </xf>
    <xf numFmtId="0" fontId="58" fillId="4" borderId="14" xfId="0" applyFont="1" applyFill="1" applyBorder="1" applyAlignment="1">
      <alignment horizontal="right" vertical="top" wrapText="1"/>
    </xf>
    <xf numFmtId="0" fontId="58" fillId="4" borderId="14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left" vertical="center" wrapText="1"/>
    </xf>
    <xf numFmtId="0" fontId="59" fillId="4" borderId="26" xfId="0" applyFont="1" applyFill="1" applyBorder="1" applyAlignment="1">
      <alignment horizontal="center" vertical="top" wrapText="1"/>
    </xf>
    <xf numFmtId="0" fontId="59" fillId="4" borderId="28" xfId="0" applyFont="1" applyFill="1" applyBorder="1" applyAlignment="1">
      <alignment horizontal="center" vertical="top" wrapText="1"/>
    </xf>
    <xf numFmtId="1" fontId="25" fillId="4" borderId="16" xfId="0" applyNumberFormat="1" applyFont="1" applyFill="1" applyBorder="1" applyAlignment="1">
      <alignment horizontal="center" wrapText="1" shrinkToFit="1"/>
    </xf>
    <xf numFmtId="1" fontId="25" fillId="4" borderId="17" xfId="0" applyNumberFormat="1" applyFont="1" applyFill="1" applyBorder="1" applyAlignment="1">
      <alignment horizontal="center" wrapText="1" shrinkToFit="1"/>
    </xf>
    <xf numFmtId="1" fontId="25" fillId="4" borderId="18" xfId="0" applyNumberFormat="1" applyFont="1" applyFill="1" applyBorder="1" applyAlignment="1">
      <alignment horizontal="center" wrapText="1" shrinkToFit="1"/>
    </xf>
    <xf numFmtId="1" fontId="57" fillId="4" borderId="14" xfId="0" applyNumberFormat="1" applyFont="1" applyFill="1" applyBorder="1" applyAlignment="1">
      <alignment horizontal="center" vertical="top" shrinkToFit="1"/>
    </xf>
    <xf numFmtId="0" fontId="58" fillId="4" borderId="16" xfId="0" applyFont="1" applyFill="1" applyBorder="1" applyAlignment="1">
      <alignment horizontal="left" vertical="top" wrapText="1"/>
    </xf>
    <xf numFmtId="0" fontId="58" fillId="4" borderId="16" xfId="0" applyFont="1" applyFill="1" applyBorder="1" applyAlignment="1">
      <alignment horizontal="left" vertical="top" wrapText="1" indent="2"/>
    </xf>
    <xf numFmtId="0" fontId="58" fillId="4" borderId="17" xfId="0" applyFont="1" applyFill="1" applyBorder="1" applyAlignment="1">
      <alignment horizontal="left" vertical="top" wrapText="1" indent="2"/>
    </xf>
    <xf numFmtId="0" fontId="58" fillId="4" borderId="18" xfId="0" applyFont="1" applyFill="1" applyBorder="1" applyAlignment="1">
      <alignment horizontal="left" vertical="top" wrapText="1" indent="2"/>
    </xf>
    <xf numFmtId="0" fontId="58" fillId="4" borderId="18" xfId="0" applyFont="1" applyFill="1" applyBorder="1" applyAlignment="1">
      <alignment horizontal="left" vertical="top" wrapText="1"/>
    </xf>
    <xf numFmtId="0" fontId="58" fillId="4" borderId="16" xfId="0" applyFont="1" applyFill="1" applyBorder="1" applyAlignment="1">
      <alignment horizontal="left" vertical="top" wrapText="1" indent="1"/>
    </xf>
    <xf numFmtId="0" fontId="157" fillId="0" borderId="0" xfId="3" applyFont="1" applyFill="1" applyAlignment="1">
      <alignment horizontal="center"/>
    </xf>
    <xf numFmtId="0" fontId="155" fillId="0" borderId="0" xfId="3" applyFont="1" applyAlignment="1">
      <alignment horizontal="center" vertical="center"/>
    </xf>
    <xf numFmtId="0" fontId="156" fillId="0" borderId="26" xfId="3" applyFont="1" applyBorder="1" applyAlignment="1">
      <alignment horizontal="center" vertical="center"/>
    </xf>
    <xf numFmtId="0" fontId="61" fillId="4" borderId="37" xfId="0" applyFont="1" applyFill="1" applyBorder="1" applyAlignment="1">
      <alignment horizontal="right" vertical="top" wrapText="1"/>
    </xf>
    <xf numFmtId="0" fontId="61" fillId="4" borderId="0" xfId="0" applyFont="1" applyFill="1" applyBorder="1" applyAlignment="1">
      <alignment horizontal="right" vertical="top" wrapText="1"/>
    </xf>
    <xf numFmtId="0" fontId="18" fillId="0" borderId="39" xfId="0" applyFont="1" applyFill="1" applyBorder="1" applyAlignment="1">
      <alignment horizontal="right" vertical="top"/>
    </xf>
    <xf numFmtId="0" fontId="18" fillId="0" borderId="40" xfId="0" applyFont="1" applyFill="1" applyBorder="1" applyAlignment="1">
      <alignment horizontal="right" vertical="top"/>
    </xf>
    <xf numFmtId="0" fontId="37" fillId="4" borderId="46" xfId="0" applyFont="1" applyFill="1" applyBorder="1" applyAlignment="1">
      <alignment horizontal="center" vertical="top" wrapText="1"/>
    </xf>
    <xf numFmtId="0" fontId="37" fillId="4" borderId="75" xfId="0" applyFont="1" applyFill="1" applyBorder="1" applyAlignment="1">
      <alignment horizontal="center" vertical="top"/>
    </xf>
    <xf numFmtId="0" fontId="37" fillId="4" borderId="76" xfId="0" applyFont="1" applyFill="1" applyBorder="1" applyAlignment="1">
      <alignment horizontal="center" vertical="top"/>
    </xf>
    <xf numFmtId="0" fontId="37" fillId="4" borderId="66" xfId="0" applyFont="1" applyFill="1" applyBorder="1" applyAlignment="1">
      <alignment horizontal="center" vertical="top"/>
    </xf>
    <xf numFmtId="1" fontId="61" fillId="4" borderId="11" xfId="0" applyNumberFormat="1" applyFont="1" applyFill="1" applyBorder="1" applyAlignment="1">
      <alignment horizontal="right" vertical="center" shrinkToFit="1"/>
    </xf>
    <xf numFmtId="1" fontId="61" fillId="4" borderId="12" xfId="0" applyNumberFormat="1" applyFont="1" applyFill="1" applyBorder="1" applyAlignment="1">
      <alignment horizontal="right" vertical="center" shrinkToFit="1"/>
    </xf>
    <xf numFmtId="1" fontId="61" fillId="4" borderId="1" xfId="0" applyNumberFormat="1" applyFont="1" applyFill="1" applyBorder="1" applyAlignment="1">
      <alignment horizontal="right" vertical="center" shrinkToFit="1"/>
    </xf>
    <xf numFmtId="1" fontId="61" fillId="4" borderId="11" xfId="0" applyNumberFormat="1" applyFont="1" applyFill="1" applyBorder="1" applyAlignment="1">
      <alignment horizontal="left" vertical="center" shrinkToFit="1"/>
    </xf>
    <xf numFmtId="1" fontId="61" fillId="4" borderId="12" xfId="0" applyNumberFormat="1" applyFont="1" applyFill="1" applyBorder="1" applyAlignment="1">
      <alignment horizontal="left" vertical="center" shrinkToFit="1"/>
    </xf>
    <xf numFmtId="1" fontId="61" fillId="4" borderId="1" xfId="0" applyNumberFormat="1" applyFont="1" applyFill="1" applyBorder="1" applyAlignment="1">
      <alignment horizontal="left" vertical="center" shrinkToFit="1"/>
    </xf>
    <xf numFmtId="1" fontId="61" fillId="4" borderId="7" xfId="0" applyNumberFormat="1" applyFont="1" applyFill="1" applyBorder="1" applyAlignment="1">
      <alignment horizontal="center" vertical="center" shrinkToFit="1"/>
    </xf>
    <xf numFmtId="1" fontId="61" fillId="4" borderId="8" xfId="0" applyNumberFormat="1" applyFont="1" applyFill="1" applyBorder="1" applyAlignment="1">
      <alignment horizontal="center" vertical="center" shrinkToFit="1"/>
    </xf>
    <xf numFmtId="1" fontId="61" fillId="4" borderId="11" xfId="0" applyNumberFormat="1" applyFont="1" applyFill="1" applyBorder="1" applyAlignment="1">
      <alignment horizontal="center" vertical="center" shrinkToFit="1"/>
    </xf>
    <xf numFmtId="1" fontId="61" fillId="4" borderId="1" xfId="0" applyNumberFormat="1" applyFont="1" applyFill="1" applyBorder="1" applyAlignment="1">
      <alignment horizontal="center" vertical="center" shrinkToFit="1"/>
    </xf>
    <xf numFmtId="1" fontId="61" fillId="4" borderId="12" xfId="0" applyNumberFormat="1" applyFont="1" applyFill="1" applyBorder="1" applyAlignment="1">
      <alignment horizontal="center" vertical="center" shrinkToFit="1"/>
    </xf>
    <xf numFmtId="1" fontId="61" fillId="4" borderId="11" xfId="0" applyNumberFormat="1" applyFont="1" applyFill="1" applyBorder="1" applyAlignment="1">
      <alignment horizontal="center" vertical="top" shrinkToFit="1"/>
    </xf>
    <xf numFmtId="1" fontId="61" fillId="4" borderId="12" xfId="0" applyNumberFormat="1" applyFont="1" applyFill="1" applyBorder="1" applyAlignment="1">
      <alignment horizontal="center" vertical="top" shrinkToFit="1"/>
    </xf>
    <xf numFmtId="0" fontId="43" fillId="4" borderId="11" xfId="0" applyFont="1" applyFill="1" applyBorder="1" applyAlignment="1">
      <alignment horizontal="left" wrapText="1"/>
    </xf>
    <xf numFmtId="0" fontId="43" fillId="4" borderId="12" xfId="0" applyFont="1" applyFill="1" applyBorder="1" applyAlignment="1">
      <alignment horizontal="left" wrapText="1"/>
    </xf>
    <xf numFmtId="0" fontId="43" fillId="4" borderId="1" xfId="0" applyFont="1" applyFill="1" applyBorder="1" applyAlignment="1">
      <alignment horizontal="left" wrapText="1"/>
    </xf>
    <xf numFmtId="0" fontId="60" fillId="4" borderId="32" xfId="0" applyFont="1" applyFill="1" applyBorder="1" applyAlignment="1">
      <alignment horizontal="left" vertical="top" wrapText="1"/>
    </xf>
    <xf numFmtId="0" fontId="60" fillId="4" borderId="17" xfId="0" applyFont="1" applyFill="1" applyBorder="1" applyAlignment="1">
      <alignment horizontal="left" vertical="top" wrapText="1"/>
    </xf>
    <xf numFmtId="0" fontId="60" fillId="4" borderId="18" xfId="0" applyFont="1" applyFill="1" applyBorder="1" applyAlignment="1">
      <alignment horizontal="left" vertical="top" wrapText="1"/>
    </xf>
    <xf numFmtId="0" fontId="43" fillId="4" borderId="12" xfId="0" applyFont="1" applyFill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43" fillId="4" borderId="11" xfId="0" applyFont="1" applyFill="1" applyBorder="1" applyAlignment="1">
      <alignment horizontal="left" vertical="center" wrapText="1"/>
    </xf>
    <xf numFmtId="0" fontId="43" fillId="4" borderId="7" xfId="0" applyFont="1" applyFill="1" applyBorder="1" applyAlignment="1">
      <alignment horizontal="left" wrapText="1"/>
    </xf>
    <xf numFmtId="0" fontId="43" fillId="4" borderId="8" xfId="0" applyFont="1" applyFill="1" applyBorder="1" applyAlignment="1">
      <alignment horizontal="left" wrapText="1"/>
    </xf>
    <xf numFmtId="0" fontId="43" fillId="4" borderId="2" xfId="0" applyFont="1" applyFill="1" applyBorder="1" applyAlignment="1">
      <alignment horizontal="left" wrapText="1"/>
    </xf>
    <xf numFmtId="1" fontId="61" fillId="4" borderId="11" xfId="0" applyNumberFormat="1" applyFont="1" applyFill="1" applyBorder="1" applyAlignment="1">
      <alignment horizontal="right" vertical="top" shrinkToFit="1"/>
    </xf>
    <xf numFmtId="1" fontId="61" fillId="4" borderId="12" xfId="0" applyNumberFormat="1" applyFont="1" applyFill="1" applyBorder="1" applyAlignment="1">
      <alignment horizontal="right" vertical="top" shrinkToFit="1"/>
    </xf>
    <xf numFmtId="1" fontId="61" fillId="4" borderId="1" xfId="0" applyNumberFormat="1" applyFont="1" applyFill="1" applyBorder="1" applyAlignment="1">
      <alignment horizontal="right" vertical="top" shrinkToFit="1"/>
    </xf>
    <xf numFmtId="1" fontId="61" fillId="4" borderId="11" xfId="0" applyNumberFormat="1" applyFont="1" applyFill="1" applyBorder="1" applyAlignment="1">
      <alignment horizontal="left" vertical="top" shrinkToFit="1"/>
    </xf>
    <xf numFmtId="1" fontId="61" fillId="4" borderId="12" xfId="0" applyNumberFormat="1" applyFont="1" applyFill="1" applyBorder="1" applyAlignment="1">
      <alignment horizontal="left" vertical="top" shrinkToFit="1"/>
    </xf>
    <xf numFmtId="1" fontId="61" fillId="4" borderId="1" xfId="0" applyNumberFormat="1" applyFont="1" applyFill="1" applyBorder="1" applyAlignment="1">
      <alignment horizontal="left" vertical="top" shrinkToFit="1"/>
    </xf>
    <xf numFmtId="0" fontId="60" fillId="4" borderId="11" xfId="0" applyFont="1" applyFill="1" applyBorder="1" applyAlignment="1">
      <alignment horizontal="center" vertical="top" wrapText="1"/>
    </xf>
    <xf numFmtId="0" fontId="60" fillId="4" borderId="12" xfId="0" applyFont="1" applyFill="1" applyBorder="1" applyAlignment="1">
      <alignment horizontal="center" vertical="top" wrapText="1"/>
    </xf>
    <xf numFmtId="0" fontId="60" fillId="4" borderId="1" xfId="0" applyFont="1" applyFill="1" applyBorder="1" applyAlignment="1">
      <alignment horizontal="center" vertical="top" wrapText="1"/>
    </xf>
    <xf numFmtId="1" fontId="61" fillId="4" borderId="1" xfId="0" applyNumberFormat="1" applyFont="1" applyFill="1" applyBorder="1" applyAlignment="1">
      <alignment horizontal="center" vertical="top" shrinkToFit="1"/>
    </xf>
    <xf numFmtId="0" fontId="60" fillId="4" borderId="11" xfId="0" applyFont="1" applyFill="1" applyBorder="1" applyAlignment="1">
      <alignment horizontal="left" vertical="top" wrapText="1"/>
    </xf>
    <xf numFmtId="0" fontId="60" fillId="4" borderId="12" xfId="0" applyFont="1" applyFill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top" wrapText="1"/>
    </xf>
    <xf numFmtId="0" fontId="60" fillId="4" borderId="11" xfId="0" applyFont="1" applyFill="1" applyBorder="1" applyAlignment="1">
      <alignment horizontal="right" vertical="top" wrapText="1" indent="1"/>
    </xf>
    <xf numFmtId="0" fontId="60" fillId="4" borderId="12" xfId="0" applyFont="1" applyFill="1" applyBorder="1" applyAlignment="1">
      <alignment horizontal="right" vertical="top" wrapText="1" indent="1"/>
    </xf>
    <xf numFmtId="0" fontId="60" fillId="4" borderId="1" xfId="0" applyFont="1" applyFill="1" applyBorder="1" applyAlignment="1">
      <alignment horizontal="right" vertical="top" wrapText="1" indent="1"/>
    </xf>
    <xf numFmtId="1" fontId="61" fillId="4" borderId="11" xfId="0" applyNumberFormat="1" applyFont="1" applyFill="1" applyBorder="1" applyAlignment="1">
      <alignment horizontal="left" vertical="top" indent="1" shrinkToFit="1"/>
    </xf>
    <xf numFmtId="1" fontId="61" fillId="4" borderId="12" xfId="0" applyNumberFormat="1" applyFont="1" applyFill="1" applyBorder="1" applyAlignment="1">
      <alignment horizontal="left" vertical="top" indent="1" shrinkToFit="1"/>
    </xf>
    <xf numFmtId="1" fontId="61" fillId="4" borderId="1" xfId="0" applyNumberFormat="1" applyFont="1" applyFill="1" applyBorder="1" applyAlignment="1">
      <alignment horizontal="left" vertical="top" indent="1" shrinkToFit="1"/>
    </xf>
    <xf numFmtId="0" fontId="60" fillId="4" borderId="11" xfId="0" applyFont="1" applyFill="1" applyBorder="1" applyAlignment="1">
      <alignment horizontal="center" vertical="center" wrapText="1"/>
    </xf>
    <xf numFmtId="0" fontId="60" fillId="4" borderId="12" xfId="0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0" fontId="60" fillId="4" borderId="11" xfId="0" applyFont="1" applyFill="1" applyBorder="1" applyAlignment="1">
      <alignment horizontal="left" vertical="center" wrapText="1"/>
    </xf>
    <xf numFmtId="0" fontId="60" fillId="4" borderId="1" xfId="0" applyFont="1" applyFill="1" applyBorder="1" applyAlignment="1">
      <alignment horizontal="left" vertical="center" wrapText="1"/>
    </xf>
    <xf numFmtId="0" fontId="60" fillId="4" borderId="11" xfId="0" applyFont="1" applyFill="1" applyBorder="1" applyAlignment="1">
      <alignment horizontal="right" vertical="center" wrapText="1"/>
    </xf>
    <xf numFmtId="0" fontId="60" fillId="4" borderId="1" xfId="0" applyFont="1" applyFill="1" applyBorder="1" applyAlignment="1">
      <alignment horizontal="right" vertical="center" wrapText="1"/>
    </xf>
    <xf numFmtId="0" fontId="60" fillId="4" borderId="12" xfId="0" applyFont="1" applyFill="1" applyBorder="1" applyAlignment="1">
      <alignment horizontal="right" vertical="center" wrapText="1"/>
    </xf>
    <xf numFmtId="0" fontId="60" fillId="4" borderId="12" xfId="0" applyFont="1" applyFill="1" applyBorder="1" applyAlignment="1">
      <alignment horizontal="left" vertical="center" wrapText="1"/>
    </xf>
    <xf numFmtId="0" fontId="26" fillId="0" borderId="105" xfId="0" applyFont="1" applyFill="1" applyBorder="1" applyAlignment="1">
      <alignment horizontal="center" vertical="center" wrapText="1"/>
    </xf>
    <xf numFmtId="0" fontId="26" fillId="0" borderId="104" xfId="0" applyFont="1" applyFill="1" applyBorder="1" applyAlignment="1">
      <alignment horizontal="center" vertical="center" wrapText="1"/>
    </xf>
    <xf numFmtId="0" fontId="60" fillId="4" borderId="79" xfId="0" applyFont="1" applyFill="1" applyBorder="1" applyAlignment="1">
      <alignment horizontal="left" vertical="center" wrapText="1"/>
    </xf>
    <xf numFmtId="0" fontId="60" fillId="4" borderId="62" xfId="0" applyFont="1" applyFill="1" applyBorder="1" applyAlignment="1">
      <alignment horizontal="left" vertical="center" wrapText="1"/>
    </xf>
    <xf numFmtId="0" fontId="43" fillId="4" borderId="49" xfId="0" applyFont="1" applyFill="1" applyBorder="1" applyAlignment="1">
      <alignment horizontal="center" vertical="center" wrapText="1"/>
    </xf>
    <xf numFmtId="0" fontId="43" fillId="4" borderId="0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60" fillId="4" borderId="49" xfId="0" applyFont="1" applyFill="1" applyBorder="1" applyAlignment="1">
      <alignment horizontal="left" textRotation="90" wrapText="1"/>
    </xf>
    <xf numFmtId="0" fontId="60" fillId="4" borderId="0" xfId="0" applyFont="1" applyFill="1" applyBorder="1" applyAlignment="1">
      <alignment horizontal="left" textRotation="90" wrapText="1"/>
    </xf>
    <xf numFmtId="0" fontId="60" fillId="4" borderId="13" xfId="0" applyFont="1" applyFill="1" applyBorder="1" applyAlignment="1">
      <alignment horizontal="left" textRotation="90" wrapText="1"/>
    </xf>
    <xf numFmtId="0" fontId="60" fillId="4" borderId="9" xfId="0" applyFont="1" applyFill="1" applyBorder="1" applyAlignment="1">
      <alignment horizontal="left" textRotation="90" wrapText="1"/>
    </xf>
    <xf numFmtId="0" fontId="60" fillId="4" borderId="10" xfId="0" applyFont="1" applyFill="1" applyBorder="1" applyAlignment="1">
      <alignment horizontal="left" textRotation="90" wrapText="1"/>
    </xf>
    <xf numFmtId="0" fontId="60" fillId="4" borderId="3" xfId="0" applyFont="1" applyFill="1" applyBorder="1" applyAlignment="1">
      <alignment horizontal="left" textRotation="90" wrapText="1"/>
    </xf>
    <xf numFmtId="0" fontId="60" fillId="4" borderId="9" xfId="0" applyFont="1" applyFill="1" applyBorder="1" applyAlignment="1">
      <alignment horizontal="center" vertical="top" wrapText="1"/>
    </xf>
    <xf numFmtId="0" fontId="60" fillId="4" borderId="10" xfId="0" applyFont="1" applyFill="1" applyBorder="1" applyAlignment="1">
      <alignment horizontal="center" vertical="top" wrapText="1"/>
    </xf>
    <xf numFmtId="0" fontId="60" fillId="4" borderId="3" xfId="0" applyFont="1" applyFill="1" applyBorder="1" applyAlignment="1">
      <alignment horizontal="center" vertical="top" wrapText="1"/>
    </xf>
    <xf numFmtId="0" fontId="60" fillId="4" borderId="9" xfId="0" applyFont="1" applyFill="1" applyBorder="1" applyAlignment="1">
      <alignment horizontal="left" vertical="top" wrapText="1" indent="1"/>
    </xf>
    <xf numFmtId="0" fontId="60" fillId="4" borderId="10" xfId="0" applyFont="1" applyFill="1" applyBorder="1" applyAlignment="1">
      <alignment horizontal="left" vertical="top" wrapText="1" indent="1"/>
    </xf>
    <xf numFmtId="0" fontId="60" fillId="4" borderId="3" xfId="0" applyFont="1" applyFill="1" applyBorder="1" applyAlignment="1">
      <alignment horizontal="left" vertical="top" wrapText="1" indent="1"/>
    </xf>
    <xf numFmtId="0" fontId="60" fillId="4" borderId="49" xfId="0" applyFont="1" applyFill="1" applyBorder="1" applyAlignment="1">
      <alignment horizontal="left" vertical="top" wrapText="1" indent="1"/>
    </xf>
    <xf numFmtId="0" fontId="60" fillId="4" borderId="0" xfId="0" applyFont="1" applyFill="1" applyBorder="1" applyAlignment="1">
      <alignment horizontal="left" vertical="top" wrapText="1" indent="1"/>
    </xf>
    <xf numFmtId="0" fontId="60" fillId="4" borderId="11" xfId="0" applyFont="1" applyFill="1" applyBorder="1" applyAlignment="1">
      <alignment horizontal="left" vertical="center" wrapText="1" indent="1"/>
    </xf>
    <xf numFmtId="0" fontId="60" fillId="4" borderId="1" xfId="0" applyFont="1" applyFill="1" applyBorder="1" applyAlignment="1">
      <alignment horizontal="left" vertical="center" wrapText="1" indent="1"/>
    </xf>
    <xf numFmtId="0" fontId="60" fillId="4" borderId="12" xfId="0" applyFont="1" applyFill="1" applyBorder="1" applyAlignment="1">
      <alignment horizontal="left" vertical="center" wrapText="1" indent="1"/>
    </xf>
    <xf numFmtId="0" fontId="60" fillId="4" borderId="9" xfId="0" applyFont="1" applyFill="1" applyBorder="1" applyAlignment="1">
      <alignment horizontal="left" vertical="top" wrapText="1"/>
    </xf>
    <xf numFmtId="0" fontId="60" fillId="4" borderId="10" xfId="0" applyFont="1" applyFill="1" applyBorder="1" applyAlignment="1">
      <alignment horizontal="left" vertical="top" wrapText="1"/>
    </xf>
    <xf numFmtId="0" fontId="60" fillId="4" borderId="3" xfId="0" applyFont="1" applyFill="1" applyBorder="1" applyAlignment="1">
      <alignment horizontal="left" vertical="top" wrapText="1"/>
    </xf>
    <xf numFmtId="0" fontId="60" fillId="4" borderId="9" xfId="0" applyFont="1" applyFill="1" applyBorder="1" applyAlignment="1">
      <alignment horizontal="left" vertical="top" wrapText="1" indent="2"/>
    </xf>
    <xf numFmtId="0" fontId="60" fillId="4" borderId="10" xfId="0" applyFont="1" applyFill="1" applyBorder="1" applyAlignment="1">
      <alignment horizontal="left" vertical="top" wrapText="1" indent="2"/>
    </xf>
    <xf numFmtId="0" fontId="60" fillId="4" borderId="3" xfId="0" applyFont="1" applyFill="1" applyBorder="1" applyAlignment="1">
      <alignment horizontal="left" vertical="top" wrapText="1" indent="2"/>
    </xf>
    <xf numFmtId="0" fontId="99" fillId="0" borderId="0" xfId="1" applyFont="1" applyFill="1" applyAlignment="1">
      <alignment horizontal="center"/>
    </xf>
    <xf numFmtId="0" fontId="99" fillId="0" borderId="26" xfId="1" applyFont="1" applyFill="1" applyBorder="1" applyAlignment="1">
      <alignment horizontal="center"/>
    </xf>
    <xf numFmtId="0" fontId="7" fillId="0" borderId="23" xfId="1" applyFill="1" applyBorder="1" applyAlignment="1">
      <alignment horizontal="center" vertical="center" wrapText="1"/>
    </xf>
    <xf numFmtId="0" fontId="7" fillId="0" borderId="24" xfId="1" applyFill="1" applyBorder="1" applyAlignment="1">
      <alignment horizontal="center" vertical="center" wrapText="1"/>
    </xf>
    <xf numFmtId="0" fontId="84" fillId="0" borderId="23" xfId="1" applyFont="1" applyFill="1" applyBorder="1" applyAlignment="1">
      <alignment horizontal="center" vertical="center" wrapText="1"/>
    </xf>
    <xf numFmtId="0" fontId="84" fillId="0" borderId="24" xfId="1" applyFont="1" applyFill="1" applyBorder="1" applyAlignment="1">
      <alignment horizontal="center" vertical="center" wrapText="1"/>
    </xf>
    <xf numFmtId="0" fontId="69" fillId="4" borderId="56" xfId="0" applyFont="1" applyFill="1" applyBorder="1" applyAlignment="1">
      <alignment horizontal="center" vertical="top"/>
    </xf>
    <xf numFmtId="0" fontId="69" fillId="4" borderId="57" xfId="0" applyFont="1" applyFill="1" applyBorder="1" applyAlignment="1">
      <alignment horizontal="center" vertical="top"/>
    </xf>
    <xf numFmtId="0" fontId="69" fillId="4" borderId="58" xfId="0" applyFont="1" applyFill="1" applyBorder="1" applyAlignment="1">
      <alignment horizontal="center" vertical="top"/>
    </xf>
    <xf numFmtId="0" fontId="69" fillId="4" borderId="59" xfId="0" applyFont="1" applyFill="1" applyBorder="1" applyAlignment="1">
      <alignment horizontal="center" vertical="top" wrapText="1"/>
    </xf>
    <xf numFmtId="0" fontId="69" fillId="4" borderId="17" xfId="0" applyFont="1" applyFill="1" applyBorder="1" applyAlignment="1">
      <alignment horizontal="center" vertical="top" wrapText="1"/>
    </xf>
    <xf numFmtId="0" fontId="69" fillId="4" borderId="60" xfId="0" applyFont="1" applyFill="1" applyBorder="1" applyAlignment="1">
      <alignment horizontal="center" vertical="top" wrapText="1"/>
    </xf>
    <xf numFmtId="0" fontId="69" fillId="4" borderId="59" xfId="0" applyFont="1" applyFill="1" applyBorder="1" applyAlignment="1">
      <alignment horizontal="center" vertical="top"/>
    </xf>
    <xf numFmtId="0" fontId="69" fillId="4" borderId="17" xfId="0" applyFont="1" applyFill="1" applyBorder="1" applyAlignment="1">
      <alignment horizontal="center" vertical="top"/>
    </xf>
    <xf numFmtId="0" fontId="69" fillId="4" borderId="60" xfId="0" applyFont="1" applyFill="1" applyBorder="1" applyAlignment="1">
      <alignment horizontal="center" vertical="top"/>
    </xf>
    <xf numFmtId="0" fontId="65" fillId="4" borderId="29" xfId="0" applyFont="1" applyFill="1" applyBorder="1" applyAlignment="1">
      <alignment horizontal="right" vertical="top" wrapText="1"/>
    </xf>
    <xf numFmtId="0" fontId="65" fillId="4" borderId="31" xfId="0" applyFont="1" applyFill="1" applyBorder="1" applyAlignment="1">
      <alignment horizontal="right" vertical="top" wrapText="1"/>
    </xf>
    <xf numFmtId="1" fontId="70" fillId="4" borderId="7" xfId="0" applyNumberFormat="1" applyFont="1" applyFill="1" applyBorder="1" applyAlignment="1">
      <alignment horizontal="right" vertical="center" shrinkToFit="1"/>
    </xf>
    <xf numFmtId="1" fontId="70" fillId="4" borderId="8" xfId="0" applyNumberFormat="1" applyFont="1" applyFill="1" applyBorder="1" applyAlignment="1">
      <alignment horizontal="right" vertical="center" shrinkToFit="1"/>
    </xf>
    <xf numFmtId="1" fontId="70" fillId="4" borderId="2" xfId="0" applyNumberFormat="1" applyFont="1" applyFill="1" applyBorder="1" applyAlignment="1">
      <alignment horizontal="right" vertical="center" shrinkToFit="1"/>
    </xf>
    <xf numFmtId="1" fontId="70" fillId="4" borderId="7" xfId="0" applyNumberFormat="1" applyFont="1" applyFill="1" applyBorder="1" applyAlignment="1">
      <alignment horizontal="left" vertical="center" shrinkToFit="1"/>
    </xf>
    <xf numFmtId="1" fontId="70" fillId="4" borderId="8" xfId="0" applyNumberFormat="1" applyFont="1" applyFill="1" applyBorder="1" applyAlignment="1">
      <alignment horizontal="left" vertical="center" shrinkToFit="1"/>
    </xf>
    <xf numFmtId="1" fontId="70" fillId="4" borderId="2" xfId="0" applyNumberFormat="1" applyFont="1" applyFill="1" applyBorder="1" applyAlignment="1">
      <alignment horizontal="left" vertical="center" shrinkToFit="1"/>
    </xf>
    <xf numFmtId="1" fontId="70" fillId="4" borderId="7" xfId="0" applyNumberFormat="1" applyFont="1" applyFill="1" applyBorder="1" applyAlignment="1">
      <alignment horizontal="center" vertical="center" shrinkToFit="1"/>
    </xf>
    <xf numFmtId="1" fontId="70" fillId="4" borderId="8" xfId="0" applyNumberFormat="1" applyFont="1" applyFill="1" applyBorder="1" applyAlignment="1">
      <alignment horizontal="center" vertical="center" shrinkToFit="1"/>
    </xf>
    <xf numFmtId="1" fontId="70" fillId="4" borderId="2" xfId="0" applyNumberFormat="1" applyFont="1" applyFill="1" applyBorder="1" applyAlignment="1">
      <alignment horizontal="center" vertical="center" shrinkToFit="1"/>
    </xf>
    <xf numFmtId="0" fontId="24" fillId="4" borderId="91" xfId="0" applyFont="1" applyFill="1" applyBorder="1" applyAlignment="1">
      <alignment horizontal="center" vertical="top" wrapText="1"/>
    </xf>
    <xf numFmtId="0" fontId="24" fillId="4" borderId="40" xfId="0" applyFont="1" applyFill="1" applyBorder="1" applyAlignment="1">
      <alignment horizontal="center" vertical="top" wrapText="1"/>
    </xf>
    <xf numFmtId="0" fontId="24" fillId="4" borderId="95" xfId="0" applyFont="1" applyFill="1" applyBorder="1" applyAlignment="1">
      <alignment horizontal="center" vertical="top" wrapText="1"/>
    </xf>
    <xf numFmtId="164" fontId="69" fillId="0" borderId="103" xfId="0" applyNumberFormat="1" applyFont="1" applyFill="1" applyBorder="1" applyAlignment="1">
      <alignment horizontal="center" vertical="top"/>
    </xf>
    <xf numFmtId="164" fontId="69" fillId="0" borderId="107" xfId="0" applyNumberFormat="1" applyFont="1" applyFill="1" applyBorder="1" applyAlignment="1">
      <alignment horizontal="center" vertical="top"/>
    </xf>
    <xf numFmtId="1" fontId="70" fillId="4" borderId="11" xfId="0" applyNumberFormat="1" applyFont="1" applyFill="1" applyBorder="1" applyAlignment="1">
      <alignment horizontal="left" vertical="center" shrinkToFit="1"/>
    </xf>
    <xf numFmtId="1" fontId="70" fillId="4" borderId="12" xfId="0" applyNumberFormat="1" applyFont="1" applyFill="1" applyBorder="1" applyAlignment="1">
      <alignment horizontal="left" vertical="center" shrinkToFit="1"/>
    </xf>
    <xf numFmtId="1" fontId="70" fillId="4" borderId="1" xfId="0" applyNumberFormat="1" applyFont="1" applyFill="1" applyBorder="1" applyAlignment="1">
      <alignment horizontal="left" vertical="center" shrinkToFit="1"/>
    </xf>
    <xf numFmtId="0" fontId="43" fillId="4" borderId="103" xfId="0" applyFont="1" applyFill="1" applyBorder="1" applyAlignment="1">
      <alignment horizontal="center" vertical="top" wrapText="1"/>
    </xf>
    <xf numFmtId="0" fontId="43" fillId="4" borderId="104" xfId="0" applyFont="1" applyFill="1" applyBorder="1" applyAlignment="1">
      <alignment horizontal="center" vertical="top" wrapText="1"/>
    </xf>
    <xf numFmtId="0" fontId="72" fillId="4" borderId="14" xfId="0" applyFont="1" applyFill="1" applyBorder="1" applyAlignment="1">
      <alignment horizontal="center" vertical="top" wrapText="1"/>
    </xf>
    <xf numFmtId="1" fontId="70" fillId="4" borderId="11" xfId="0" applyNumberFormat="1" applyFont="1" applyFill="1" applyBorder="1" applyAlignment="1">
      <alignment horizontal="center" vertical="center" shrinkToFit="1"/>
    </xf>
    <xf numFmtId="1" fontId="70" fillId="4" borderId="12" xfId="0" applyNumberFormat="1" applyFont="1" applyFill="1" applyBorder="1" applyAlignment="1">
      <alignment horizontal="center" vertical="center" shrinkToFit="1"/>
    </xf>
    <xf numFmtId="1" fontId="70" fillId="4" borderId="1" xfId="0" applyNumberFormat="1" applyFont="1" applyFill="1" applyBorder="1" applyAlignment="1">
      <alignment horizontal="center" vertical="center" shrinkToFit="1"/>
    </xf>
    <xf numFmtId="0" fontId="71" fillId="4" borderId="7" xfId="0" applyFont="1" applyFill="1" applyBorder="1" applyAlignment="1">
      <alignment horizontal="left" vertical="center" wrapText="1"/>
    </xf>
    <xf numFmtId="0" fontId="71" fillId="4" borderId="8" xfId="0" applyFont="1" applyFill="1" applyBorder="1" applyAlignment="1">
      <alignment horizontal="left" vertical="center" wrapText="1"/>
    </xf>
    <xf numFmtId="0" fontId="71" fillId="4" borderId="2" xfId="0" applyFont="1" applyFill="1" applyBorder="1" applyAlignment="1">
      <alignment horizontal="left" vertical="center" wrapText="1"/>
    </xf>
    <xf numFmtId="0" fontId="55" fillId="4" borderId="7" xfId="0" applyFont="1" applyFill="1" applyBorder="1" applyAlignment="1">
      <alignment horizontal="left" vertical="center" wrapText="1"/>
    </xf>
    <xf numFmtId="0" fontId="55" fillId="4" borderId="8" xfId="0" applyFont="1" applyFill="1" applyBorder="1" applyAlignment="1">
      <alignment horizontal="left" vertical="center" wrapText="1"/>
    </xf>
    <xf numFmtId="0" fontId="55" fillId="4" borderId="2" xfId="0" applyFont="1" applyFill="1" applyBorder="1" applyAlignment="1">
      <alignment horizontal="left" vertical="center" wrapText="1"/>
    </xf>
    <xf numFmtId="1" fontId="70" fillId="4" borderId="11" xfId="0" applyNumberFormat="1" applyFont="1" applyFill="1" applyBorder="1" applyAlignment="1">
      <alignment horizontal="center" vertical="top" shrinkToFit="1"/>
    </xf>
    <xf numFmtId="1" fontId="70" fillId="4" borderId="1" xfId="0" applyNumberFormat="1" applyFont="1" applyFill="1" applyBorder="1" applyAlignment="1">
      <alignment horizontal="center" vertical="top" shrinkToFit="1"/>
    </xf>
    <xf numFmtId="1" fontId="70" fillId="4" borderId="11" xfId="0" applyNumberFormat="1" applyFont="1" applyFill="1" applyBorder="1" applyAlignment="1">
      <alignment horizontal="left" vertical="top" shrinkToFit="1"/>
    </xf>
    <xf numFmtId="1" fontId="70" fillId="4" borderId="1" xfId="0" applyNumberFormat="1" applyFont="1" applyFill="1" applyBorder="1" applyAlignment="1">
      <alignment horizontal="left" vertical="top" shrinkToFit="1"/>
    </xf>
    <xf numFmtId="1" fontId="70" fillId="4" borderId="11" xfId="0" applyNumberFormat="1" applyFont="1" applyFill="1" applyBorder="1" applyAlignment="1">
      <alignment horizontal="right" vertical="top" shrinkToFit="1"/>
    </xf>
    <xf numFmtId="1" fontId="70" fillId="4" borderId="12" xfId="0" applyNumberFormat="1" applyFont="1" applyFill="1" applyBorder="1" applyAlignment="1">
      <alignment horizontal="right" vertical="top" shrinkToFit="1"/>
    </xf>
    <xf numFmtId="1" fontId="70" fillId="4" borderId="1" xfId="0" applyNumberFormat="1" applyFont="1" applyFill="1" applyBorder="1" applyAlignment="1">
      <alignment horizontal="right" vertical="top" shrinkToFit="1"/>
    </xf>
    <xf numFmtId="1" fontId="70" fillId="4" borderId="12" xfId="0" applyNumberFormat="1" applyFont="1" applyFill="1" applyBorder="1" applyAlignment="1">
      <alignment horizontal="center" vertical="top" shrinkToFit="1"/>
    </xf>
    <xf numFmtId="1" fontId="70" fillId="4" borderId="11" xfId="0" applyNumberFormat="1" applyFont="1" applyFill="1" applyBorder="1" applyAlignment="1">
      <alignment horizontal="right" vertical="center" shrinkToFit="1"/>
    </xf>
    <xf numFmtId="1" fontId="70" fillId="4" borderId="1" xfId="0" applyNumberFormat="1" applyFont="1" applyFill="1" applyBorder="1" applyAlignment="1">
      <alignment horizontal="right" vertical="center" shrinkToFit="1"/>
    </xf>
    <xf numFmtId="0" fontId="71" fillId="4" borderId="11" xfId="0" applyFont="1" applyFill="1" applyBorder="1" applyAlignment="1">
      <alignment horizontal="left" vertical="top" wrapText="1"/>
    </xf>
    <xf numFmtId="0" fontId="71" fillId="4" borderId="12" xfId="0" applyFont="1" applyFill="1" applyBorder="1" applyAlignment="1">
      <alignment horizontal="left" vertical="top" wrapText="1"/>
    </xf>
    <xf numFmtId="0" fontId="71" fillId="4" borderId="1" xfId="0" applyFont="1" applyFill="1" applyBorder="1" applyAlignment="1">
      <alignment horizontal="left" vertical="top" wrapText="1"/>
    </xf>
    <xf numFmtId="0" fontId="71" fillId="4" borderId="11" xfId="0" applyFont="1" applyFill="1" applyBorder="1" applyAlignment="1">
      <alignment horizontal="left" vertical="top" wrapText="1" indent="1"/>
    </xf>
    <xf numFmtId="0" fontId="71" fillId="4" borderId="12" xfId="0" applyFont="1" applyFill="1" applyBorder="1" applyAlignment="1">
      <alignment horizontal="left" vertical="top" wrapText="1" indent="1"/>
    </xf>
    <xf numFmtId="0" fontId="71" fillId="4" borderId="1" xfId="0" applyFont="1" applyFill="1" applyBorder="1" applyAlignment="1">
      <alignment horizontal="left" vertical="top" wrapText="1" indent="1"/>
    </xf>
    <xf numFmtId="0" fontId="71" fillId="4" borderId="11" xfId="0" applyFont="1" applyFill="1" applyBorder="1" applyAlignment="1">
      <alignment horizontal="center" vertical="top" wrapText="1"/>
    </xf>
    <xf numFmtId="0" fontId="71" fillId="4" borderId="1" xfId="0" applyFont="1" applyFill="1" applyBorder="1" applyAlignment="1">
      <alignment horizontal="center" vertical="top" wrapText="1"/>
    </xf>
    <xf numFmtId="1" fontId="70" fillId="4" borderId="11" xfId="0" applyNumberFormat="1" applyFont="1" applyFill="1" applyBorder="1" applyAlignment="1">
      <alignment horizontal="left" vertical="center" indent="1" shrinkToFit="1"/>
    </xf>
    <xf numFmtId="1" fontId="70" fillId="4" borderId="12" xfId="0" applyNumberFormat="1" applyFont="1" applyFill="1" applyBorder="1" applyAlignment="1">
      <alignment horizontal="left" vertical="center" indent="1" shrinkToFit="1"/>
    </xf>
    <xf numFmtId="1" fontId="70" fillId="4" borderId="1" xfId="0" applyNumberFormat="1" applyFont="1" applyFill="1" applyBorder="1" applyAlignment="1">
      <alignment horizontal="left" vertical="center" indent="1" shrinkToFit="1"/>
    </xf>
    <xf numFmtId="1" fontId="70" fillId="4" borderId="12" xfId="0" applyNumberFormat="1" applyFont="1" applyFill="1" applyBorder="1" applyAlignment="1">
      <alignment horizontal="right" vertical="center" shrinkToFit="1"/>
    </xf>
    <xf numFmtId="0" fontId="71" fillId="4" borderId="11" xfId="0" applyFont="1" applyFill="1" applyBorder="1" applyAlignment="1">
      <alignment horizontal="left" vertical="center" wrapText="1"/>
    </xf>
    <xf numFmtId="0" fontId="71" fillId="4" borderId="12" xfId="0" applyFont="1" applyFill="1" applyBorder="1" applyAlignment="1">
      <alignment horizontal="left" vertical="center" wrapText="1"/>
    </xf>
    <xf numFmtId="0" fontId="71" fillId="4" borderId="1" xfId="0" applyFont="1" applyFill="1" applyBorder="1" applyAlignment="1">
      <alignment horizontal="left" vertical="center" wrapText="1"/>
    </xf>
    <xf numFmtId="0" fontId="71" fillId="4" borderId="11" xfId="0" applyFont="1" applyFill="1" applyBorder="1" applyAlignment="1">
      <alignment horizontal="left" vertical="center" wrapText="1" indent="1"/>
    </xf>
    <xf numFmtId="0" fontId="71" fillId="4" borderId="12" xfId="0" applyFont="1" applyFill="1" applyBorder="1" applyAlignment="1">
      <alignment horizontal="left" vertical="center" wrapText="1" indent="1"/>
    </xf>
    <xf numFmtId="0" fontId="71" fillId="4" borderId="1" xfId="0" applyFont="1" applyFill="1" applyBorder="1" applyAlignment="1">
      <alignment horizontal="left" vertical="center" wrapText="1" indent="1"/>
    </xf>
    <xf numFmtId="0" fontId="60" fillId="4" borderId="11" xfId="0" applyFont="1" applyFill="1" applyBorder="1" applyAlignment="1">
      <alignment horizontal="left" vertical="top" wrapText="1" indent="1"/>
    </xf>
    <xf numFmtId="0" fontId="60" fillId="4" borderId="12" xfId="0" applyFont="1" applyFill="1" applyBorder="1" applyAlignment="1">
      <alignment horizontal="left" vertical="top" wrapText="1" indent="1"/>
    </xf>
    <xf numFmtId="0" fontId="60" fillId="4" borderId="1" xfId="0" applyFont="1" applyFill="1" applyBorder="1" applyAlignment="1">
      <alignment horizontal="left" vertical="top" wrapText="1" indent="1"/>
    </xf>
    <xf numFmtId="0" fontId="60" fillId="4" borderId="11" xfId="0" applyFont="1" applyFill="1" applyBorder="1" applyAlignment="1">
      <alignment horizontal="right" vertical="top" wrapText="1"/>
    </xf>
    <xf numFmtId="0" fontId="60" fillId="4" borderId="1" xfId="0" applyFont="1" applyFill="1" applyBorder="1" applyAlignment="1">
      <alignment horizontal="right" vertical="top" wrapText="1"/>
    </xf>
    <xf numFmtId="0" fontId="60" fillId="4" borderId="12" xfId="0" applyFont="1" applyFill="1" applyBorder="1" applyAlignment="1">
      <alignment horizontal="right" vertical="top" wrapText="1"/>
    </xf>
    <xf numFmtId="0" fontId="60" fillId="4" borderId="11" xfId="0" applyFont="1" applyFill="1" applyBorder="1" applyAlignment="1">
      <alignment horizontal="left" vertical="top" wrapText="1" indent="2"/>
    </xf>
    <xf numFmtId="0" fontId="60" fillId="4" borderId="12" xfId="0" applyFont="1" applyFill="1" applyBorder="1" applyAlignment="1">
      <alignment horizontal="left" vertical="top" wrapText="1" indent="2"/>
    </xf>
    <xf numFmtId="0" fontId="60" fillId="4" borderId="1" xfId="0" applyFont="1" applyFill="1" applyBorder="1" applyAlignment="1">
      <alignment horizontal="left" vertical="top" wrapText="1" indent="2"/>
    </xf>
    <xf numFmtId="0" fontId="60" fillId="4" borderId="7" xfId="0" applyFont="1" applyFill="1" applyBorder="1" applyAlignment="1">
      <alignment horizontal="left" vertical="top" wrapText="1" indent="1"/>
    </xf>
    <xf numFmtId="0" fontId="60" fillId="4" borderId="61" xfId="0" applyFont="1" applyFill="1" applyBorder="1" applyAlignment="1">
      <alignment horizontal="left" vertical="center" wrapText="1"/>
    </xf>
    <xf numFmtId="0" fontId="40" fillId="4" borderId="7" xfId="0" applyFont="1" applyFill="1" applyBorder="1" applyAlignment="1">
      <alignment horizontal="center" vertical="center" wrapText="1"/>
    </xf>
    <xf numFmtId="0" fontId="40" fillId="4" borderId="8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4" borderId="9" xfId="0" applyFont="1" applyFill="1" applyBorder="1" applyAlignment="1">
      <alignment horizontal="center" vertical="center" wrapText="1"/>
    </xf>
    <xf numFmtId="0" fontId="40" fillId="4" borderId="10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60" fillId="4" borderId="7" xfId="0" applyFont="1" applyFill="1" applyBorder="1" applyAlignment="1">
      <alignment horizontal="left" textRotation="90" wrapText="1"/>
    </xf>
    <xf numFmtId="0" fontId="60" fillId="4" borderId="8" xfId="0" applyFont="1" applyFill="1" applyBorder="1" applyAlignment="1">
      <alignment horizontal="left" textRotation="90" wrapText="1"/>
    </xf>
    <xf numFmtId="0" fontId="60" fillId="4" borderId="2" xfId="0" applyFont="1" applyFill="1" applyBorder="1" applyAlignment="1">
      <alignment horizontal="left" textRotation="90" wrapText="1"/>
    </xf>
    <xf numFmtId="0" fontId="116" fillId="0" borderId="0" xfId="6" applyFont="1" applyAlignment="1">
      <alignment horizontal="center"/>
    </xf>
    <xf numFmtId="0" fontId="117" fillId="0" borderId="26" xfId="6" applyFont="1" applyBorder="1" applyAlignment="1">
      <alignment horizontal="center"/>
    </xf>
    <xf numFmtId="0" fontId="115" fillId="10" borderId="14" xfId="6" applyFont="1" applyFill="1" applyBorder="1" applyAlignment="1">
      <alignment horizontal="center" vertical="center"/>
    </xf>
    <xf numFmtId="0" fontId="115" fillId="10" borderId="23" xfId="6" applyFont="1" applyFill="1" applyBorder="1" applyAlignment="1">
      <alignment horizontal="center" vertical="center"/>
    </xf>
    <xf numFmtId="0" fontId="115" fillId="10" borderId="24" xfId="6" applyFont="1" applyFill="1" applyBorder="1" applyAlignment="1">
      <alignment horizontal="center" vertical="center"/>
    </xf>
    <xf numFmtId="0" fontId="45" fillId="4" borderId="16" xfId="0" applyFont="1" applyFill="1" applyBorder="1" applyAlignment="1">
      <alignment horizontal="center" vertical="top"/>
    </xf>
    <xf numFmtId="0" fontId="45" fillId="4" borderId="17" xfId="0" applyFont="1" applyFill="1" applyBorder="1" applyAlignment="1">
      <alignment horizontal="center" vertical="top"/>
    </xf>
    <xf numFmtId="0" fontId="45" fillId="4" borderId="18" xfId="0" applyFont="1" applyFill="1" applyBorder="1" applyAlignment="1">
      <alignment horizontal="center" vertical="top"/>
    </xf>
    <xf numFmtId="0" fontId="45" fillId="4" borderId="16" xfId="0" applyFont="1" applyFill="1" applyBorder="1" applyAlignment="1">
      <alignment horizontal="center" vertical="top" wrapText="1"/>
    </xf>
    <xf numFmtId="0" fontId="45" fillId="4" borderId="17" xfId="0" applyFont="1" applyFill="1" applyBorder="1" applyAlignment="1">
      <alignment horizontal="center" vertical="top" wrapText="1"/>
    </xf>
    <xf numFmtId="0" fontId="45" fillId="4" borderId="18" xfId="0" applyFont="1" applyFill="1" applyBorder="1" applyAlignment="1">
      <alignment horizontal="center" vertical="top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right" vertical="center" wrapText="1"/>
    </xf>
    <xf numFmtId="0" fontId="58" fillId="4" borderId="12" xfId="0" applyFont="1" applyFill="1" applyBorder="1" applyAlignment="1">
      <alignment horizontal="right" vertical="center" wrapText="1"/>
    </xf>
    <xf numFmtId="0" fontId="58" fillId="4" borderId="1" xfId="0" applyFont="1" applyFill="1" applyBorder="1" applyAlignment="1">
      <alignment horizontal="right" vertical="center" wrapText="1"/>
    </xf>
    <xf numFmtId="0" fontId="58" fillId="4" borderId="11" xfId="0" applyFont="1" applyFill="1" applyBorder="1" applyAlignment="1">
      <alignment horizontal="left" vertical="center" wrapText="1"/>
    </xf>
    <xf numFmtId="0" fontId="58" fillId="4" borderId="12" xfId="0" applyFont="1" applyFill="1" applyBorder="1" applyAlignment="1">
      <alignment horizontal="left" vertical="center" wrapText="1"/>
    </xf>
    <xf numFmtId="0" fontId="58" fillId="4" borderId="1" xfId="0" applyFont="1" applyFill="1" applyBorder="1" applyAlignment="1">
      <alignment horizontal="left" vertical="center" wrapText="1"/>
    </xf>
    <xf numFmtId="0" fontId="62" fillId="4" borderId="11" xfId="0" applyFont="1" applyFill="1" applyBorder="1" applyAlignment="1">
      <alignment horizontal="left" vertical="top" wrapText="1"/>
    </xf>
    <xf numFmtId="0" fontId="62" fillId="4" borderId="12" xfId="0" applyFont="1" applyFill="1" applyBorder="1" applyAlignment="1">
      <alignment horizontal="left" vertical="top" wrapText="1"/>
    </xf>
    <xf numFmtId="0" fontId="62" fillId="4" borderId="1" xfId="0" applyFont="1" applyFill="1" applyBorder="1" applyAlignment="1">
      <alignment horizontal="left" vertical="top" wrapText="1"/>
    </xf>
    <xf numFmtId="0" fontId="58" fillId="4" borderId="11" xfId="0" applyFont="1" applyFill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58" fillId="4" borderId="12" xfId="0" applyFont="1" applyFill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left" vertical="center" wrapText="1" indent="1"/>
    </xf>
    <xf numFmtId="0" fontId="58" fillId="4" borderId="12" xfId="0" applyFont="1" applyFill="1" applyBorder="1" applyAlignment="1">
      <alignment horizontal="left" vertical="center" wrapText="1" indent="1"/>
    </xf>
    <xf numFmtId="0" fontId="58" fillId="4" borderId="1" xfId="0" applyFont="1" applyFill="1" applyBorder="1" applyAlignment="1">
      <alignment horizontal="left" vertical="center" wrapText="1" indent="1"/>
    </xf>
    <xf numFmtId="0" fontId="58" fillId="4" borderId="11" xfId="0" applyFont="1" applyFill="1" applyBorder="1" applyAlignment="1">
      <alignment horizontal="left" vertical="top" wrapText="1"/>
    </xf>
    <xf numFmtId="0" fontId="58" fillId="4" borderId="12" xfId="0" applyFont="1" applyFill="1" applyBorder="1" applyAlignment="1">
      <alignment horizontal="left" vertical="top" wrapText="1"/>
    </xf>
    <xf numFmtId="0" fontId="58" fillId="4" borderId="1" xfId="0" applyFont="1" applyFill="1" applyBorder="1" applyAlignment="1">
      <alignment horizontal="left" vertical="top" wrapText="1"/>
    </xf>
    <xf numFmtId="0" fontId="58" fillId="4" borderId="11" xfId="0" applyFont="1" applyFill="1" applyBorder="1" applyAlignment="1">
      <alignment horizontal="left" vertical="top" wrapText="1" indent="1"/>
    </xf>
    <xf numFmtId="0" fontId="58" fillId="4" borderId="12" xfId="0" applyFont="1" applyFill="1" applyBorder="1" applyAlignment="1">
      <alignment horizontal="left" vertical="top" wrapText="1" indent="1"/>
    </xf>
    <xf numFmtId="0" fontId="58" fillId="4" borderId="1" xfId="0" applyFont="1" applyFill="1" applyBorder="1" applyAlignment="1">
      <alignment horizontal="left" vertical="top" wrapText="1" indent="1"/>
    </xf>
    <xf numFmtId="0" fontId="58" fillId="4" borderId="7" xfId="0" applyFont="1" applyFill="1" applyBorder="1" applyAlignment="1">
      <alignment horizontal="left" vertical="top" wrapText="1" indent="1"/>
    </xf>
    <xf numFmtId="0" fontId="58" fillId="4" borderId="8" xfId="0" applyFont="1" applyFill="1" applyBorder="1" applyAlignment="1">
      <alignment horizontal="left" vertical="top" wrapText="1" indent="1"/>
    </xf>
    <xf numFmtId="0" fontId="58" fillId="4" borderId="9" xfId="0" applyFont="1" applyFill="1" applyBorder="1" applyAlignment="1">
      <alignment horizontal="left" vertical="top" wrapText="1" indent="1"/>
    </xf>
    <xf numFmtId="0" fontId="58" fillId="4" borderId="10" xfId="0" applyFont="1" applyFill="1" applyBorder="1" applyAlignment="1">
      <alignment horizontal="left" vertical="top" wrapText="1" indent="1"/>
    </xf>
    <xf numFmtId="0" fontId="58" fillId="4" borderId="2" xfId="0" applyFont="1" applyFill="1" applyBorder="1" applyAlignment="1">
      <alignment horizontal="left" vertical="center" wrapText="1"/>
    </xf>
    <xf numFmtId="0" fontId="58" fillId="4" borderId="3" xfId="0" applyFont="1" applyFill="1" applyBorder="1" applyAlignment="1">
      <alignment horizontal="left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2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58" fillId="4" borderId="7" xfId="0" applyFont="1" applyFill="1" applyBorder="1" applyAlignment="1">
      <alignment horizontal="left" textRotation="90" wrapText="1"/>
    </xf>
    <xf numFmtId="0" fontId="58" fillId="4" borderId="8" xfId="0" applyFont="1" applyFill="1" applyBorder="1" applyAlignment="1">
      <alignment horizontal="left" textRotation="90" wrapText="1"/>
    </xf>
    <xf numFmtId="0" fontId="58" fillId="4" borderId="2" xfId="0" applyFont="1" applyFill="1" applyBorder="1" applyAlignment="1">
      <alignment horizontal="left" textRotation="90" wrapText="1"/>
    </xf>
    <xf numFmtId="0" fontId="58" fillId="4" borderId="9" xfId="0" applyFont="1" applyFill="1" applyBorder="1" applyAlignment="1">
      <alignment horizontal="left" textRotation="90" wrapText="1"/>
    </xf>
    <xf numFmtId="0" fontId="58" fillId="4" borderId="10" xfId="0" applyFont="1" applyFill="1" applyBorder="1" applyAlignment="1">
      <alignment horizontal="left" textRotation="90" wrapText="1"/>
    </xf>
    <xf numFmtId="0" fontId="58" fillId="4" borderId="3" xfId="0" applyFont="1" applyFill="1" applyBorder="1" applyAlignment="1">
      <alignment horizontal="left" textRotation="90" wrapText="1"/>
    </xf>
    <xf numFmtId="0" fontId="58" fillId="4" borderId="11" xfId="0" applyFont="1" applyFill="1" applyBorder="1" applyAlignment="1">
      <alignment horizontal="center" vertical="top" wrapText="1"/>
    </xf>
    <xf numFmtId="0" fontId="58" fillId="4" borderId="12" xfId="0" applyFont="1" applyFill="1" applyBorder="1" applyAlignment="1">
      <alignment horizontal="center" vertical="top" wrapText="1"/>
    </xf>
    <xf numFmtId="0" fontId="58" fillId="4" borderId="1" xfId="0" applyFont="1" applyFill="1" applyBorder="1" applyAlignment="1">
      <alignment horizontal="center" vertical="top" wrapText="1"/>
    </xf>
    <xf numFmtId="0" fontId="40" fillId="4" borderId="11" xfId="0" applyFont="1" applyFill="1" applyBorder="1" applyAlignment="1">
      <alignment horizontal="left" wrapText="1"/>
    </xf>
    <xf numFmtId="0" fontId="40" fillId="4" borderId="1" xfId="0" applyFont="1" applyFill="1" applyBorder="1" applyAlignment="1">
      <alignment horizontal="left" wrapText="1"/>
    </xf>
    <xf numFmtId="0" fontId="40" fillId="4" borderId="12" xfId="0" applyFont="1" applyFill="1" applyBorder="1" applyAlignment="1">
      <alignment horizontal="left" wrapText="1"/>
    </xf>
    <xf numFmtId="0" fontId="40" fillId="4" borderId="11" xfId="0" applyFont="1" applyFill="1" applyBorder="1" applyAlignment="1">
      <alignment horizontal="left" vertical="center" wrapText="1"/>
    </xf>
    <xf numFmtId="0" fontId="40" fillId="4" borderId="12" xfId="0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left" vertical="center" wrapText="1"/>
    </xf>
    <xf numFmtId="0" fontId="40" fillId="4" borderId="9" xfId="0" applyFont="1" applyFill="1" applyBorder="1" applyAlignment="1">
      <alignment horizontal="left" wrapText="1"/>
    </xf>
    <xf numFmtId="0" fontId="40" fillId="4" borderId="10" xfId="0" applyFont="1" applyFill="1" applyBorder="1" applyAlignment="1">
      <alignment horizontal="left" wrapText="1"/>
    </xf>
    <xf numFmtId="0" fontId="40" fillId="4" borderId="3" xfId="0" applyFont="1" applyFill="1" applyBorder="1" applyAlignment="1">
      <alignment horizontal="left" wrapText="1"/>
    </xf>
    <xf numFmtId="0" fontId="62" fillId="4" borderId="68" xfId="0" applyFont="1" applyFill="1" applyBorder="1" applyAlignment="1">
      <alignment horizontal="left" vertical="top" wrapText="1"/>
    </xf>
    <xf numFmtId="0" fontId="62" fillId="4" borderId="69" xfId="0" applyFont="1" applyFill="1" applyBorder="1" applyAlignment="1">
      <alignment horizontal="left" vertical="top" wrapText="1"/>
    </xf>
    <xf numFmtId="0" fontId="62" fillId="4" borderId="77" xfId="0" applyFont="1" applyFill="1" applyBorder="1" applyAlignment="1">
      <alignment horizontal="left" vertical="top" wrapText="1"/>
    </xf>
    <xf numFmtId="0" fontId="62" fillId="4" borderId="7" xfId="0" applyFont="1" applyFill="1" applyBorder="1" applyAlignment="1">
      <alignment horizontal="left" vertical="top" wrapText="1"/>
    </xf>
    <xf numFmtId="0" fontId="62" fillId="4" borderId="8" xfId="0" applyFont="1" applyFill="1" applyBorder="1" applyAlignment="1">
      <alignment horizontal="left" vertical="top" wrapText="1"/>
    </xf>
    <xf numFmtId="0" fontId="62" fillId="4" borderId="2" xfId="0" applyFont="1" applyFill="1" applyBorder="1" applyAlignment="1">
      <alignment horizontal="left" vertical="top" wrapText="1"/>
    </xf>
    <xf numFmtId="1" fontId="61" fillId="4" borderId="9" xfId="0" applyNumberFormat="1" applyFont="1" applyFill="1" applyBorder="1" applyAlignment="1">
      <alignment horizontal="right" vertical="top" shrinkToFit="1"/>
    </xf>
    <xf numFmtId="1" fontId="61" fillId="4" borderId="10" xfId="0" applyNumberFormat="1" applyFont="1" applyFill="1" applyBorder="1" applyAlignment="1">
      <alignment horizontal="right" vertical="top" shrinkToFit="1"/>
    </xf>
    <xf numFmtId="1" fontId="61" fillId="4" borderId="3" xfId="0" applyNumberFormat="1" applyFont="1" applyFill="1" applyBorder="1" applyAlignment="1">
      <alignment horizontal="right" vertical="top" shrinkToFit="1"/>
    </xf>
    <xf numFmtId="1" fontId="61" fillId="4" borderId="68" xfId="0" applyNumberFormat="1" applyFont="1" applyFill="1" applyBorder="1" applyAlignment="1">
      <alignment horizontal="right" vertical="top" shrinkToFit="1"/>
    </xf>
    <xf numFmtId="1" fontId="61" fillId="4" borderId="69" xfId="0" applyNumberFormat="1" applyFont="1" applyFill="1" applyBorder="1" applyAlignment="1">
      <alignment horizontal="right" vertical="top" shrinkToFit="1"/>
    </xf>
    <xf numFmtId="1" fontId="61" fillId="4" borderId="77" xfId="0" applyNumberFormat="1" applyFont="1" applyFill="1" applyBorder="1" applyAlignment="1">
      <alignment horizontal="right" vertical="top" shrinkToFit="1"/>
    </xf>
    <xf numFmtId="1" fontId="61" fillId="4" borderId="7" xfId="0" applyNumberFormat="1" applyFont="1" applyFill="1" applyBorder="1" applyAlignment="1">
      <alignment horizontal="right" vertical="top" shrinkToFit="1"/>
    </xf>
    <xf numFmtId="1" fontId="61" fillId="4" borderId="8" xfId="0" applyNumberFormat="1" applyFont="1" applyFill="1" applyBorder="1" applyAlignment="1">
      <alignment horizontal="right" vertical="top" shrinkToFit="1"/>
    </xf>
    <xf numFmtId="1" fontId="61" fillId="4" borderId="2" xfId="0" applyNumberFormat="1" applyFont="1" applyFill="1" applyBorder="1" applyAlignment="1">
      <alignment horizontal="right" vertical="top" shrinkToFit="1"/>
    </xf>
    <xf numFmtId="0" fontId="40" fillId="4" borderId="0" xfId="0" applyFont="1" applyFill="1" applyBorder="1" applyAlignment="1">
      <alignment horizontal="left" vertical="top"/>
    </xf>
    <xf numFmtId="0" fontId="37" fillId="4" borderId="122" xfId="0" applyFont="1" applyFill="1" applyBorder="1" applyAlignment="1">
      <alignment horizontal="center" vertical="top"/>
    </xf>
    <xf numFmtId="0" fontId="37" fillId="4" borderId="123" xfId="0" applyFont="1" applyFill="1" applyBorder="1" applyAlignment="1">
      <alignment horizontal="center" vertical="top"/>
    </xf>
    <xf numFmtId="0" fontId="45" fillId="4" borderId="56" xfId="0" applyFont="1" applyFill="1" applyBorder="1" applyAlignment="1">
      <alignment horizontal="center" vertical="top"/>
    </xf>
    <xf numFmtId="0" fontId="45" fillId="4" borderId="57" xfId="0" applyFont="1" applyFill="1" applyBorder="1" applyAlignment="1">
      <alignment horizontal="center" vertical="top"/>
    </xf>
    <xf numFmtId="0" fontId="45" fillId="4" borderId="58" xfId="0" applyFont="1" applyFill="1" applyBorder="1" applyAlignment="1">
      <alignment horizontal="center" vertical="top"/>
    </xf>
    <xf numFmtId="0" fontId="45" fillId="4" borderId="59" xfId="0" applyFont="1" applyFill="1" applyBorder="1" applyAlignment="1">
      <alignment horizontal="center" vertical="top" wrapText="1"/>
    </xf>
    <xf numFmtId="0" fontId="45" fillId="4" borderId="60" xfId="0" applyFont="1" applyFill="1" applyBorder="1" applyAlignment="1">
      <alignment horizontal="center" vertical="top" wrapText="1"/>
    </xf>
    <xf numFmtId="0" fontId="45" fillId="4" borderId="59" xfId="0" applyFont="1" applyFill="1" applyBorder="1" applyAlignment="1">
      <alignment horizontal="center" vertical="top"/>
    </xf>
    <xf numFmtId="0" fontId="45" fillId="4" borderId="60" xfId="0" applyFont="1" applyFill="1" applyBorder="1" applyAlignment="1">
      <alignment horizontal="center" vertical="top"/>
    </xf>
    <xf numFmtId="0" fontId="36" fillId="4" borderId="37" xfId="0" applyFont="1" applyFill="1" applyBorder="1" applyAlignment="1">
      <alignment horizontal="left" vertical="top"/>
    </xf>
    <xf numFmtId="0" fontId="36" fillId="4" borderId="22" xfId="0" applyFont="1" applyFill="1" applyBorder="1" applyAlignment="1">
      <alignment horizontal="left" vertical="top"/>
    </xf>
    <xf numFmtId="0" fontId="20" fillId="4" borderId="80" xfId="0" applyFont="1" applyFill="1" applyBorder="1" applyAlignment="1">
      <alignment horizontal="center" vertical="top" wrapText="1"/>
    </xf>
    <xf numFmtId="0" fontId="20" fillId="4" borderId="81" xfId="0" applyFont="1" applyFill="1" applyBorder="1" applyAlignment="1">
      <alignment horizontal="center" vertical="top" wrapText="1"/>
    </xf>
    <xf numFmtId="1" fontId="48" fillId="4" borderId="15" xfId="0" applyNumberFormat="1" applyFont="1" applyFill="1" applyBorder="1" applyAlignment="1">
      <alignment horizontal="center" vertical="center" shrinkToFit="1"/>
    </xf>
    <xf numFmtId="0" fontId="36" fillId="4" borderId="11" xfId="0" applyFont="1" applyFill="1" applyBorder="1" applyAlignment="1">
      <alignment horizontal="left" vertical="center" wrapText="1"/>
    </xf>
    <xf numFmtId="0" fontId="36" fillId="4" borderId="12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6" fillId="4" borderId="39" xfId="0" applyFont="1" applyFill="1" applyBorder="1" applyAlignment="1">
      <alignment horizontal="left" vertical="top"/>
    </xf>
    <xf numFmtId="0" fontId="36" fillId="4" borderId="40" xfId="0" applyFont="1" applyFill="1" applyBorder="1" applyAlignment="1">
      <alignment horizontal="left" vertical="top"/>
    </xf>
    <xf numFmtId="0" fontId="26" fillId="4" borderId="80" xfId="0" applyFont="1" applyFill="1" applyBorder="1" applyAlignment="1">
      <alignment horizontal="center" vertical="top" wrapText="1"/>
    </xf>
    <xf numFmtId="0" fontId="26" fillId="4" borderId="81" xfId="0" applyFont="1" applyFill="1" applyBorder="1" applyAlignment="1">
      <alignment horizontal="center" vertical="top" wrapText="1"/>
    </xf>
    <xf numFmtId="0" fontId="20" fillId="4" borderId="56" xfId="0" applyFont="1" applyFill="1" applyBorder="1" applyAlignment="1">
      <alignment horizontal="center" vertical="top"/>
    </xf>
    <xf numFmtId="0" fontId="20" fillId="4" borderId="57" xfId="0" applyFont="1" applyFill="1" applyBorder="1" applyAlignment="1">
      <alignment horizontal="center" vertical="top"/>
    </xf>
    <xf numFmtId="0" fontId="20" fillId="4" borderId="125" xfId="0" applyFont="1" applyFill="1" applyBorder="1" applyAlignment="1">
      <alignment horizontal="center" vertical="top"/>
    </xf>
    <xf numFmtId="0" fontId="20" fillId="4" borderId="59" xfId="0" applyFont="1" applyFill="1" applyBorder="1" applyAlignment="1">
      <alignment horizontal="center" vertical="top"/>
    </xf>
    <xf numFmtId="0" fontId="20" fillId="4" borderId="17" xfId="0" applyFont="1" applyFill="1" applyBorder="1" applyAlignment="1">
      <alignment horizontal="center" vertical="top"/>
    </xf>
    <xf numFmtId="0" fontId="20" fillId="4" borderId="18" xfId="0" applyFont="1" applyFill="1" applyBorder="1" applyAlignment="1">
      <alignment horizontal="center" vertical="top"/>
    </xf>
    <xf numFmtId="0" fontId="86" fillId="0" borderId="14" xfId="8" applyFont="1" applyBorder="1"/>
    <xf numFmtId="0" fontId="86" fillId="0" borderId="14" xfId="8" applyFont="1" applyBorder="1" applyAlignment="1">
      <alignment wrapText="1"/>
    </xf>
    <xf numFmtId="0" fontId="86" fillId="0" borderId="14" xfId="8" applyFont="1" applyBorder="1" applyAlignment="1">
      <alignment horizontal="center"/>
    </xf>
    <xf numFmtId="0" fontId="53" fillId="4" borderId="72" xfId="0" applyFont="1" applyFill="1" applyBorder="1" applyAlignment="1">
      <alignment horizontal="center" vertical="top"/>
    </xf>
    <xf numFmtId="0" fontId="53" fillId="4" borderId="73" xfId="0" applyFont="1" applyFill="1" applyBorder="1" applyAlignment="1">
      <alignment horizontal="center" vertical="top"/>
    </xf>
    <xf numFmtId="0" fontId="53" fillId="4" borderId="74" xfId="0" applyFont="1" applyFill="1" applyBorder="1" applyAlignment="1">
      <alignment horizontal="center" vertical="top"/>
    </xf>
    <xf numFmtId="0" fontId="53" fillId="4" borderId="45" xfId="0" applyFont="1" applyFill="1" applyBorder="1" applyAlignment="1">
      <alignment horizontal="center" vertical="top"/>
    </xf>
    <xf numFmtId="0" fontId="53" fillId="4" borderId="14" xfId="0" applyFont="1" applyFill="1" applyBorder="1" applyAlignment="1">
      <alignment horizontal="center" vertical="top"/>
    </xf>
    <xf numFmtId="0" fontId="53" fillId="4" borderId="46" xfId="0" applyFont="1" applyFill="1" applyBorder="1" applyAlignment="1">
      <alignment horizontal="center" vertical="top"/>
    </xf>
    <xf numFmtId="0" fontId="43" fillId="4" borderId="80" xfId="0" applyFont="1" applyFill="1" applyBorder="1" applyAlignment="1">
      <alignment horizontal="center" vertical="top" wrapText="1"/>
    </xf>
    <xf numFmtId="0" fontId="43" fillId="4" borderId="81" xfId="0" applyFont="1" applyFill="1" applyBorder="1" applyAlignment="1">
      <alignment horizontal="center" vertical="top" wrapText="1"/>
    </xf>
    <xf numFmtId="0" fontId="43" fillId="4" borderId="31" xfId="0" applyFont="1" applyFill="1" applyBorder="1" applyAlignment="1">
      <alignment horizontal="center" vertical="top" wrapText="1"/>
    </xf>
    <xf numFmtId="0" fontId="43" fillId="4" borderId="28" xfId="0" applyFont="1" applyFill="1" applyBorder="1" applyAlignment="1">
      <alignment horizontal="center" vertical="top" wrapText="1"/>
    </xf>
    <xf numFmtId="0" fontId="47" fillId="4" borderId="79" xfId="0" applyFont="1" applyFill="1" applyBorder="1" applyAlignment="1">
      <alignment horizontal="left" vertical="center" wrapText="1"/>
    </xf>
    <xf numFmtId="0" fontId="47" fillId="4" borderId="62" xfId="0" applyFont="1" applyFill="1" applyBorder="1" applyAlignment="1">
      <alignment horizontal="left" vertical="center" wrapText="1"/>
    </xf>
    <xf numFmtId="0" fontId="36" fillId="4" borderId="49" xfId="0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47" fillId="4" borderId="9" xfId="0" applyFont="1" applyFill="1" applyBorder="1" applyAlignment="1">
      <alignment horizontal="center" vertical="top" wrapText="1"/>
    </xf>
    <xf numFmtId="0" fontId="47" fillId="4" borderId="10" xfId="0" applyFont="1" applyFill="1" applyBorder="1" applyAlignment="1">
      <alignment horizontal="center" vertical="top" wrapText="1"/>
    </xf>
    <xf numFmtId="0" fontId="47" fillId="4" borderId="3" xfId="0" applyFont="1" applyFill="1" applyBorder="1" applyAlignment="1">
      <alignment horizontal="center" vertical="top" wrapText="1"/>
    </xf>
    <xf numFmtId="0" fontId="47" fillId="4" borderId="9" xfId="0" applyFont="1" applyFill="1" applyBorder="1" applyAlignment="1">
      <alignment horizontal="left" vertical="top" wrapText="1" indent="2"/>
    </xf>
    <xf numFmtId="0" fontId="47" fillId="4" borderId="10" xfId="0" applyFont="1" applyFill="1" applyBorder="1" applyAlignment="1">
      <alignment horizontal="left" vertical="top" wrapText="1" indent="2"/>
    </xf>
    <xf numFmtId="0" fontId="47" fillId="4" borderId="3" xfId="0" applyFont="1" applyFill="1" applyBorder="1" applyAlignment="1">
      <alignment horizontal="left" vertical="top" wrapText="1" indent="2"/>
    </xf>
    <xf numFmtId="0" fontId="47" fillId="4" borderId="9" xfId="0" applyFont="1" applyFill="1" applyBorder="1" applyAlignment="1">
      <alignment horizontal="left" vertical="top" wrapText="1" indent="1"/>
    </xf>
    <xf numFmtId="0" fontId="47" fillId="4" borderId="10" xfId="0" applyFont="1" applyFill="1" applyBorder="1" applyAlignment="1">
      <alignment horizontal="left" vertical="top" wrapText="1" indent="1"/>
    </xf>
    <xf numFmtId="0" fontId="47" fillId="4" borderId="3" xfId="0" applyFont="1" applyFill="1" applyBorder="1" applyAlignment="1">
      <alignment horizontal="left" vertical="top" wrapText="1" indent="1"/>
    </xf>
    <xf numFmtId="0" fontId="47" fillId="4" borderId="9" xfId="0" applyFont="1" applyFill="1" applyBorder="1" applyAlignment="1">
      <alignment horizontal="left" vertical="top" wrapText="1"/>
    </xf>
    <xf numFmtId="0" fontId="47" fillId="4" borderId="10" xfId="0" applyFont="1" applyFill="1" applyBorder="1" applyAlignment="1">
      <alignment horizontal="left" vertical="top" wrapText="1"/>
    </xf>
    <xf numFmtId="0" fontId="47" fillId="4" borderId="3" xfId="0" applyFont="1" applyFill="1" applyBorder="1" applyAlignment="1">
      <alignment horizontal="left" vertical="top" wrapText="1"/>
    </xf>
    <xf numFmtId="0" fontId="47" fillId="4" borderId="11" xfId="0" applyFont="1" applyFill="1" applyBorder="1" applyAlignment="1">
      <alignment horizontal="left" vertical="center" wrapText="1" indent="1"/>
    </xf>
    <xf numFmtId="0" fontId="47" fillId="4" borderId="12" xfId="0" applyFont="1" applyFill="1" applyBorder="1" applyAlignment="1">
      <alignment horizontal="left" vertical="center" wrapText="1" indent="1"/>
    </xf>
    <xf numFmtId="0" fontId="47" fillId="4" borderId="1" xfId="0" applyFont="1" applyFill="1" applyBorder="1" applyAlignment="1">
      <alignment horizontal="left" vertical="center" wrapText="1" indent="1"/>
    </xf>
    <xf numFmtId="0" fontId="47" fillId="4" borderId="11" xfId="0" applyFont="1" applyFill="1" applyBorder="1" applyAlignment="1">
      <alignment horizontal="left" wrapText="1"/>
    </xf>
    <xf numFmtId="0" fontId="0" fillId="0" borderId="1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47" fillId="4" borderId="12" xfId="0" applyFont="1" applyFill="1" applyBorder="1" applyAlignment="1">
      <alignment horizontal="left" wrapText="1"/>
    </xf>
    <xf numFmtId="0" fontId="47" fillId="4" borderId="1" xfId="0" applyFont="1" applyFill="1" applyBorder="1" applyAlignment="1">
      <alignment horizontal="left" wrapText="1"/>
    </xf>
    <xf numFmtId="0" fontId="47" fillId="5" borderId="11" xfId="0" applyFont="1" applyFill="1" applyBorder="1" applyAlignment="1">
      <alignment horizontal="left" vertical="center" wrapText="1" indent="1"/>
    </xf>
    <xf numFmtId="0" fontId="47" fillId="5" borderId="12" xfId="0" applyFont="1" applyFill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left" vertical="center" wrapText="1" indent="1"/>
    </xf>
    <xf numFmtId="0" fontId="87" fillId="0" borderId="108" xfId="1" applyFont="1" applyBorder="1" applyAlignment="1">
      <alignment horizontal="center"/>
    </xf>
    <xf numFmtId="0" fontId="87" fillId="0" borderId="110" xfId="1" applyFont="1" applyBorder="1" applyAlignment="1">
      <alignment horizontal="center"/>
    </xf>
    <xf numFmtId="0" fontId="87" fillId="0" borderId="111" xfId="1" applyFont="1" applyBorder="1" applyAlignment="1">
      <alignment horizontal="center"/>
    </xf>
    <xf numFmtId="0" fontId="87" fillId="0" borderId="109" xfId="1" applyFont="1" applyBorder="1" applyAlignment="1">
      <alignment horizontal="center"/>
    </xf>
    <xf numFmtId="0" fontId="87" fillId="0" borderId="71" xfId="1" applyFont="1" applyBorder="1" applyAlignment="1">
      <alignment horizontal="center"/>
    </xf>
    <xf numFmtId="0" fontId="87" fillId="0" borderId="112" xfId="1" applyFont="1" applyBorder="1" applyAlignment="1">
      <alignment horizontal="center"/>
    </xf>
    <xf numFmtId="0" fontId="40" fillId="4" borderId="56" xfId="0" applyFont="1" applyFill="1" applyBorder="1" applyAlignment="1">
      <alignment horizontal="center" vertical="top"/>
    </xf>
    <xf numFmtId="0" fontId="40" fillId="4" borderId="57" xfId="0" applyFont="1" applyFill="1" applyBorder="1" applyAlignment="1">
      <alignment horizontal="center" vertical="top"/>
    </xf>
    <xf numFmtId="0" fontId="40" fillId="4" borderId="58" xfId="0" applyFont="1" applyFill="1" applyBorder="1" applyAlignment="1">
      <alignment horizontal="center" vertical="top"/>
    </xf>
    <xf numFmtId="0" fontId="40" fillId="4" borderId="59" xfId="0" applyFont="1" applyFill="1" applyBorder="1" applyAlignment="1">
      <alignment horizontal="center" vertical="top" wrapText="1"/>
    </xf>
    <xf numFmtId="0" fontId="40" fillId="4" borderId="17" xfId="0" applyFont="1" applyFill="1" applyBorder="1" applyAlignment="1">
      <alignment horizontal="center" vertical="top" wrapText="1"/>
    </xf>
    <xf numFmtId="0" fontId="40" fillId="4" borderId="60" xfId="0" applyFont="1" applyFill="1" applyBorder="1" applyAlignment="1">
      <alignment horizontal="center" vertical="top" wrapText="1"/>
    </xf>
    <xf numFmtId="0" fontId="40" fillId="4" borderId="59" xfId="0" applyFont="1" applyFill="1" applyBorder="1" applyAlignment="1">
      <alignment horizontal="center" vertical="top"/>
    </xf>
    <xf numFmtId="0" fontId="40" fillId="4" borderId="17" xfId="0" applyFont="1" applyFill="1" applyBorder="1" applyAlignment="1">
      <alignment horizontal="center" vertical="top"/>
    </xf>
    <xf numFmtId="0" fontId="40" fillId="4" borderId="60" xfId="0" applyFont="1" applyFill="1" applyBorder="1" applyAlignment="1">
      <alignment horizontal="center" vertical="top"/>
    </xf>
    <xf numFmtId="1" fontId="48" fillId="4" borderId="12" xfId="0" applyNumberFormat="1" applyFont="1" applyFill="1" applyBorder="1" applyAlignment="1">
      <alignment horizontal="right" vertical="center" indent="1" shrinkToFit="1"/>
    </xf>
    <xf numFmtId="1" fontId="74" fillId="4" borderId="11" xfId="0" applyNumberFormat="1" applyFont="1" applyFill="1" applyBorder="1" applyAlignment="1">
      <alignment horizontal="center" vertical="top" shrinkToFit="1"/>
    </xf>
    <xf numFmtId="1" fontId="74" fillId="4" borderId="1" xfId="0" applyNumberFormat="1" applyFont="1" applyFill="1" applyBorder="1" applyAlignment="1">
      <alignment horizontal="center" vertical="top" shrinkToFit="1"/>
    </xf>
    <xf numFmtId="1" fontId="74" fillId="4" borderId="11" xfId="0" applyNumberFormat="1" applyFont="1" applyFill="1" applyBorder="1" applyAlignment="1">
      <alignment horizontal="right" vertical="top" shrinkToFit="1"/>
    </xf>
    <xf numFmtId="1" fontId="74" fillId="4" borderId="1" xfId="0" applyNumberFormat="1" applyFont="1" applyFill="1" applyBorder="1" applyAlignment="1">
      <alignment horizontal="right" vertical="top" shrinkToFit="1"/>
    </xf>
    <xf numFmtId="1" fontId="74" fillId="4" borderId="11" xfId="0" applyNumberFormat="1" applyFont="1" applyFill="1" applyBorder="1" applyAlignment="1">
      <alignment horizontal="left" vertical="top" shrinkToFit="1"/>
    </xf>
    <xf numFmtId="1" fontId="74" fillId="4" borderId="12" xfId="0" applyNumberFormat="1" applyFont="1" applyFill="1" applyBorder="1" applyAlignment="1">
      <alignment horizontal="left" vertical="top" shrinkToFit="1"/>
    </xf>
    <xf numFmtId="1" fontId="74" fillId="4" borderId="1" xfId="0" applyNumberFormat="1" applyFont="1" applyFill="1" applyBorder="1" applyAlignment="1">
      <alignment horizontal="left" vertical="top" shrinkToFit="1"/>
    </xf>
    <xf numFmtId="1" fontId="74" fillId="4" borderId="11" xfId="0" applyNumberFormat="1" applyFont="1" applyFill="1" applyBorder="1" applyAlignment="1">
      <alignment horizontal="right" vertical="top" indent="1" shrinkToFit="1"/>
    </xf>
    <xf numFmtId="1" fontId="74" fillId="4" borderId="12" xfId="0" applyNumberFormat="1" applyFont="1" applyFill="1" applyBorder="1" applyAlignment="1">
      <alignment horizontal="right" vertical="top" indent="1" shrinkToFit="1"/>
    </xf>
    <xf numFmtId="1" fontId="74" fillId="4" borderId="1" xfId="0" applyNumberFormat="1" applyFont="1" applyFill="1" applyBorder="1" applyAlignment="1">
      <alignment horizontal="right" vertical="top" indent="1" shrinkToFit="1"/>
    </xf>
    <xf numFmtId="1" fontId="74" fillId="4" borderId="12" xfId="0" applyNumberFormat="1" applyFont="1" applyFill="1" applyBorder="1" applyAlignment="1">
      <alignment horizontal="center" vertical="top" shrinkToFit="1"/>
    </xf>
    <xf numFmtId="0" fontId="73" fillId="4" borderId="11" xfId="0" applyFont="1" applyFill="1" applyBorder="1" applyAlignment="1">
      <alignment horizontal="left" wrapText="1"/>
    </xf>
    <xf numFmtId="0" fontId="73" fillId="4" borderId="12" xfId="0" applyFont="1" applyFill="1" applyBorder="1" applyAlignment="1">
      <alignment horizontal="left" wrapText="1"/>
    </xf>
    <xf numFmtId="0" fontId="73" fillId="4" borderId="1" xfId="0" applyFont="1" applyFill="1" applyBorder="1" applyAlignment="1">
      <alignment horizontal="left" wrapText="1"/>
    </xf>
    <xf numFmtId="1" fontId="74" fillId="4" borderId="11" xfId="0" applyNumberFormat="1" applyFont="1" applyFill="1" applyBorder="1" applyAlignment="1">
      <alignment horizontal="left" vertical="top" indent="1" shrinkToFit="1"/>
    </xf>
    <xf numFmtId="1" fontId="74" fillId="4" borderId="12" xfId="0" applyNumberFormat="1" applyFont="1" applyFill="1" applyBorder="1" applyAlignment="1">
      <alignment horizontal="left" vertical="top" indent="1" shrinkToFit="1"/>
    </xf>
    <xf numFmtId="1" fontId="74" fillId="4" borderId="1" xfId="0" applyNumberFormat="1" applyFont="1" applyFill="1" applyBorder="1" applyAlignment="1">
      <alignment horizontal="left" vertical="top" indent="1" shrinkToFit="1"/>
    </xf>
    <xf numFmtId="1" fontId="74" fillId="4" borderId="9" xfId="0" applyNumberFormat="1" applyFont="1" applyFill="1" applyBorder="1" applyAlignment="1">
      <alignment horizontal="center" vertical="top" shrinkToFit="1"/>
    </xf>
    <xf numFmtId="1" fontId="74" fillId="4" borderId="10" xfId="0" applyNumberFormat="1" applyFont="1" applyFill="1" applyBorder="1" applyAlignment="1">
      <alignment horizontal="center" vertical="top" shrinkToFit="1"/>
    </xf>
    <xf numFmtId="1" fontId="74" fillId="4" borderId="3" xfId="0" applyNumberFormat="1" applyFont="1" applyFill="1" applyBorder="1" applyAlignment="1">
      <alignment horizontal="center" vertical="top" shrinkToFit="1"/>
    </xf>
    <xf numFmtId="1" fontId="74" fillId="4" borderId="9" xfId="0" applyNumberFormat="1" applyFont="1" applyFill="1" applyBorder="1" applyAlignment="1">
      <alignment horizontal="right" vertical="top" indent="1" shrinkToFit="1"/>
    </xf>
    <xf numFmtId="1" fontId="74" fillId="4" borderId="10" xfId="0" applyNumberFormat="1" applyFont="1" applyFill="1" applyBorder="1" applyAlignment="1">
      <alignment horizontal="right" vertical="top" indent="1" shrinkToFit="1"/>
    </xf>
    <xf numFmtId="1" fontId="74" fillId="4" borderId="3" xfId="0" applyNumberFormat="1" applyFont="1" applyFill="1" applyBorder="1" applyAlignment="1">
      <alignment horizontal="right" vertical="top" indent="1" shrinkToFit="1"/>
    </xf>
    <xf numFmtId="1" fontId="74" fillId="4" borderId="9" xfId="0" applyNumberFormat="1" applyFont="1" applyFill="1" applyBorder="1" applyAlignment="1">
      <alignment horizontal="left" vertical="top" indent="1" shrinkToFit="1"/>
    </xf>
    <xf numFmtId="1" fontId="74" fillId="4" borderId="10" xfId="0" applyNumberFormat="1" applyFont="1" applyFill="1" applyBorder="1" applyAlignment="1">
      <alignment horizontal="left" vertical="top" indent="1" shrinkToFit="1"/>
    </xf>
    <xf numFmtId="1" fontId="74" fillId="4" borderId="3" xfId="0" applyNumberFormat="1" applyFont="1" applyFill="1" applyBorder="1" applyAlignment="1">
      <alignment horizontal="left" vertical="top" indent="1" shrinkToFit="1"/>
    </xf>
    <xf numFmtId="1" fontId="74" fillId="4" borderId="7" xfId="0" applyNumberFormat="1" applyFont="1" applyFill="1" applyBorder="1" applyAlignment="1">
      <alignment horizontal="center" vertical="top" shrinkToFit="1"/>
    </xf>
    <xf numFmtId="1" fontId="74" fillId="4" borderId="2" xfId="0" applyNumberFormat="1" applyFont="1" applyFill="1" applyBorder="1" applyAlignment="1">
      <alignment horizontal="center" vertical="top" shrinkToFit="1"/>
    </xf>
    <xf numFmtId="1" fontId="74" fillId="4" borderId="7" xfId="0" applyNumberFormat="1" applyFont="1" applyFill="1" applyBorder="1" applyAlignment="1">
      <alignment horizontal="left" vertical="top" shrinkToFit="1"/>
    </xf>
    <xf numFmtId="1" fontId="74" fillId="4" borderId="8" xfId="0" applyNumberFormat="1" applyFont="1" applyFill="1" applyBorder="1" applyAlignment="1">
      <alignment horizontal="left" vertical="top" shrinkToFit="1"/>
    </xf>
    <xf numFmtId="1" fontId="74" fillId="4" borderId="2" xfId="0" applyNumberFormat="1" applyFont="1" applyFill="1" applyBorder="1" applyAlignment="1">
      <alignment horizontal="left" vertical="top" shrinkToFit="1"/>
    </xf>
    <xf numFmtId="1" fontId="74" fillId="4" borderId="9" xfId="0" applyNumberFormat="1" applyFont="1" applyFill="1" applyBorder="1" applyAlignment="1">
      <alignment horizontal="left" vertical="top" shrinkToFit="1"/>
    </xf>
    <xf numFmtId="1" fontId="74" fillId="4" borderId="3" xfId="0" applyNumberFormat="1" applyFont="1" applyFill="1" applyBorder="1" applyAlignment="1">
      <alignment horizontal="left" vertical="top" shrinkToFit="1"/>
    </xf>
    <xf numFmtId="1" fontId="74" fillId="4" borderId="8" xfId="0" applyNumberFormat="1" applyFont="1" applyFill="1" applyBorder="1" applyAlignment="1">
      <alignment horizontal="center" vertical="top" shrinkToFit="1"/>
    </xf>
    <xf numFmtId="1" fontId="74" fillId="4" borderId="7" xfId="0" applyNumberFormat="1" applyFont="1" applyFill="1" applyBorder="1" applyAlignment="1">
      <alignment horizontal="right" vertical="top" shrinkToFit="1"/>
    </xf>
    <xf numFmtId="1" fontId="74" fillId="4" borderId="8" xfId="0" applyNumberFormat="1" applyFont="1" applyFill="1" applyBorder="1" applyAlignment="1">
      <alignment horizontal="right" vertical="top" shrinkToFit="1"/>
    </xf>
    <xf numFmtId="1" fontId="74" fillId="4" borderId="2" xfId="0" applyNumberFormat="1" applyFont="1" applyFill="1" applyBorder="1" applyAlignment="1">
      <alignment horizontal="right" vertical="top" shrinkToFit="1"/>
    </xf>
    <xf numFmtId="1" fontId="74" fillId="4" borderId="12" xfId="0" applyNumberFormat="1" applyFont="1" applyFill="1" applyBorder="1" applyAlignment="1">
      <alignment horizontal="right" vertical="top" shrinkToFit="1"/>
    </xf>
    <xf numFmtId="0" fontId="15" fillId="4" borderId="11" xfId="0" applyFont="1" applyFill="1" applyBorder="1" applyAlignment="1">
      <alignment horizontal="right" vertical="center" wrapText="1"/>
    </xf>
    <xf numFmtId="0" fontId="15" fillId="4" borderId="1" xfId="0" applyFont="1" applyFill="1" applyBorder="1" applyAlignment="1">
      <alignment horizontal="righ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left" textRotation="90" wrapText="1"/>
    </xf>
    <xf numFmtId="0" fontId="15" fillId="4" borderId="10" xfId="0" applyFont="1" applyFill="1" applyBorder="1" applyAlignment="1">
      <alignment horizontal="left" textRotation="90" wrapText="1"/>
    </xf>
    <xf numFmtId="0" fontId="15" fillId="4" borderId="3" xfId="0" applyFont="1" applyFill="1" applyBorder="1" applyAlignment="1">
      <alignment horizontal="left" textRotation="90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right" vertical="center" wrapText="1" indent="1"/>
    </xf>
    <xf numFmtId="0" fontId="15" fillId="4" borderId="12" xfId="0" applyFont="1" applyFill="1" applyBorder="1" applyAlignment="1">
      <alignment horizontal="right" vertical="center" wrapText="1" indent="1"/>
    </xf>
    <xf numFmtId="0" fontId="15" fillId="4" borderId="1" xfId="0" applyFont="1" applyFill="1" applyBorder="1" applyAlignment="1">
      <alignment horizontal="right" vertical="center" wrapText="1" indent="1"/>
    </xf>
    <xf numFmtId="0" fontId="13" fillId="4" borderId="9" xfId="0" applyFont="1" applyFill="1" applyBorder="1" applyAlignment="1">
      <alignment horizontal="left" vertical="center" wrapText="1"/>
    </xf>
    <xf numFmtId="0" fontId="27" fillId="4" borderId="87" xfId="0" applyFont="1" applyFill="1" applyBorder="1" applyAlignment="1">
      <alignment horizontal="left" vertical="top" wrapText="1"/>
    </xf>
    <xf numFmtId="0" fontId="27" fillId="4" borderId="88" xfId="0" applyFont="1" applyFill="1" applyBorder="1" applyAlignment="1">
      <alignment horizontal="left" vertical="top" wrapText="1"/>
    </xf>
    <xf numFmtId="0" fontId="27" fillId="4" borderId="89" xfId="0" applyFont="1" applyFill="1" applyBorder="1" applyAlignment="1">
      <alignment horizontal="left" vertical="top" wrapText="1"/>
    </xf>
    <xf numFmtId="0" fontId="15" fillId="4" borderId="9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 wrapText="1" indent="1"/>
    </xf>
    <xf numFmtId="0" fontId="15" fillId="4" borderId="12" xfId="0" applyFont="1" applyFill="1" applyBorder="1" applyAlignment="1">
      <alignment horizontal="left" vertical="center" wrapText="1" indent="1"/>
    </xf>
    <xf numFmtId="0" fontId="15" fillId="4" borderId="1" xfId="0" applyFont="1" applyFill="1" applyBorder="1" applyAlignment="1">
      <alignment horizontal="left" vertical="center" wrapText="1" indent="1"/>
    </xf>
    <xf numFmtId="0" fontId="44" fillId="4" borderId="37" xfId="0" applyFont="1" applyFill="1" applyBorder="1" applyAlignment="1">
      <alignment horizontal="center" vertical="top"/>
    </xf>
    <xf numFmtId="0" fontId="44" fillId="4" borderId="0" xfId="0" applyFont="1" applyFill="1" applyBorder="1" applyAlignment="1">
      <alignment horizontal="center" vertical="top"/>
    </xf>
    <xf numFmtId="0" fontId="44" fillId="4" borderId="38" xfId="0" applyFont="1" applyFill="1" applyBorder="1" applyAlignment="1">
      <alignment horizontal="center" vertical="top"/>
    </xf>
    <xf numFmtId="0" fontId="44" fillId="4" borderId="34" xfId="0" applyFont="1" applyFill="1" applyBorder="1" applyAlignment="1">
      <alignment horizontal="center" vertical="top"/>
    </xf>
    <xf numFmtId="0" fontId="44" fillId="4" borderId="35" xfId="0" applyFont="1" applyFill="1" applyBorder="1" applyAlignment="1">
      <alignment horizontal="center" vertical="top"/>
    </xf>
    <xf numFmtId="0" fontId="44" fillId="4" borderId="36" xfId="0" applyFont="1" applyFill="1" applyBorder="1" applyAlignment="1">
      <alignment horizontal="center" vertical="top"/>
    </xf>
    <xf numFmtId="0" fontId="26" fillId="4" borderId="8" xfId="0" applyFont="1" applyFill="1" applyBorder="1" applyAlignment="1">
      <alignment horizontal="center" vertical="top" wrapText="1"/>
    </xf>
    <xf numFmtId="0" fontId="26" fillId="4" borderId="94" xfId="0" applyFont="1" applyFill="1" applyBorder="1" applyAlignment="1">
      <alignment horizontal="center" vertical="top" wrapText="1"/>
    </xf>
    <xf numFmtId="0" fontId="26" fillId="4" borderId="26" xfId="0" applyFont="1" applyFill="1" applyBorder="1" applyAlignment="1">
      <alignment horizontal="center" vertical="top" wrapText="1"/>
    </xf>
    <xf numFmtId="0" fontId="26" fillId="4" borderId="70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left" vertical="top" wrapText="1" indent="2"/>
    </xf>
    <xf numFmtId="0" fontId="10" fillId="4" borderId="8" xfId="0" applyFont="1" applyFill="1" applyBorder="1" applyAlignment="1">
      <alignment horizontal="left" vertical="top" wrapText="1" indent="2"/>
    </xf>
    <xf numFmtId="0" fontId="10" fillId="4" borderId="2" xfId="0" applyFont="1" applyFill="1" applyBorder="1" applyAlignment="1">
      <alignment horizontal="left" vertical="top" wrapText="1" indent="2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61" xfId="0" applyFont="1" applyFill="1" applyBorder="1" applyAlignment="1">
      <alignment horizontal="left" vertical="center" wrapText="1"/>
    </xf>
    <xf numFmtId="0" fontId="10" fillId="4" borderId="62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9" xfId="0" applyFont="1" applyFill="1" applyBorder="1" applyAlignment="1">
      <alignment horizontal="center" vertical="top" wrapText="1"/>
    </xf>
    <xf numFmtId="0" fontId="11" fillId="4" borderId="3" xfId="0" applyFont="1" applyFill="1" applyBorder="1" applyAlignment="1">
      <alignment horizontal="center" vertical="top" wrapText="1"/>
    </xf>
    <xf numFmtId="0" fontId="10" fillId="4" borderId="7" xfId="0" applyFont="1" applyFill="1" applyBorder="1" applyAlignment="1">
      <alignment horizontal="left" textRotation="90" wrapText="1"/>
    </xf>
    <xf numFmtId="0" fontId="10" fillId="4" borderId="8" xfId="0" applyFont="1" applyFill="1" applyBorder="1" applyAlignment="1">
      <alignment horizontal="left" textRotation="90" wrapText="1"/>
    </xf>
    <xf numFmtId="0" fontId="10" fillId="4" borderId="2" xfId="0" applyFont="1" applyFill="1" applyBorder="1" applyAlignment="1">
      <alignment horizontal="left" textRotation="90" wrapText="1"/>
    </xf>
    <xf numFmtId="0" fontId="10" fillId="4" borderId="9" xfId="0" applyFont="1" applyFill="1" applyBorder="1" applyAlignment="1">
      <alignment horizontal="left" textRotation="90" wrapText="1"/>
    </xf>
    <xf numFmtId="0" fontId="10" fillId="4" borderId="10" xfId="0" applyFont="1" applyFill="1" applyBorder="1" applyAlignment="1">
      <alignment horizontal="left" textRotation="90" wrapText="1"/>
    </xf>
    <xf numFmtId="0" fontId="10" fillId="4" borderId="3" xfId="0" applyFont="1" applyFill="1" applyBorder="1" applyAlignment="1">
      <alignment horizontal="left" textRotation="90" wrapText="1"/>
    </xf>
    <xf numFmtId="0" fontId="10" fillId="4" borderId="5" xfId="0" applyFont="1" applyFill="1" applyBorder="1" applyAlignment="1">
      <alignment horizontal="left" textRotation="90" wrapText="1"/>
    </xf>
    <xf numFmtId="0" fontId="10" fillId="4" borderId="6" xfId="0" applyFont="1" applyFill="1" applyBorder="1" applyAlignment="1">
      <alignment horizontal="left" textRotation="90" wrapText="1"/>
    </xf>
    <xf numFmtId="0" fontId="10" fillId="4" borderId="12" xfId="0" applyFont="1" applyFill="1" applyBorder="1" applyAlignment="1">
      <alignment horizontal="left" vertical="center" wrapText="1" indent="1"/>
    </xf>
    <xf numFmtId="0" fontId="10" fillId="4" borderId="15" xfId="0" applyFont="1" applyFill="1" applyBorder="1" applyAlignment="1">
      <alignment horizontal="left" vertical="center" wrapText="1" inden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1" fontId="25" fillId="4" borderId="11" xfId="0" applyNumberFormat="1" applyFont="1" applyFill="1" applyBorder="1" applyAlignment="1">
      <alignment horizontal="center" vertical="center" shrinkToFit="1"/>
    </xf>
    <xf numFmtId="1" fontId="25" fillId="4" borderId="1" xfId="0" applyNumberFormat="1" applyFont="1" applyFill="1" applyBorder="1" applyAlignment="1">
      <alignment horizontal="center" vertical="center" shrinkToFit="1"/>
    </xf>
    <xf numFmtId="1" fontId="25" fillId="4" borderId="11" xfId="0" applyNumberFormat="1" applyFont="1" applyFill="1" applyBorder="1" applyAlignment="1">
      <alignment horizontal="left" vertical="center" shrinkToFit="1"/>
    </xf>
    <xf numFmtId="1" fontId="25" fillId="4" borderId="1" xfId="0" applyNumberFormat="1" applyFont="1" applyFill="1" applyBorder="1" applyAlignment="1">
      <alignment horizontal="left" vertical="center" shrinkToFit="1"/>
    </xf>
    <xf numFmtId="0" fontId="10" fillId="4" borderId="12" xfId="0" applyFont="1" applyFill="1" applyBorder="1" applyAlignment="1">
      <alignment horizontal="left" vertical="center" wrapText="1"/>
    </xf>
    <xf numFmtId="1" fontId="25" fillId="4" borderId="12" xfId="0" applyNumberFormat="1" applyFont="1" applyFill="1" applyBorder="1" applyAlignment="1">
      <alignment horizontal="center" vertical="center" shrinkToFit="1"/>
    </xf>
    <xf numFmtId="1" fontId="25" fillId="4" borderId="16" xfId="0" applyNumberFormat="1" applyFont="1" applyFill="1" applyBorder="1" applyAlignment="1">
      <alignment horizontal="center" vertical="center" shrinkToFit="1"/>
    </xf>
    <xf numFmtId="1" fontId="25" fillId="4" borderId="17" xfId="0" applyNumberFormat="1" applyFont="1" applyFill="1" applyBorder="1" applyAlignment="1">
      <alignment horizontal="center" vertical="center" shrinkToFit="1"/>
    </xf>
    <xf numFmtId="1" fontId="25" fillId="4" borderId="18" xfId="0" applyNumberFormat="1" applyFont="1" applyFill="1" applyBorder="1" applyAlignment="1">
      <alignment horizontal="center" vertical="center" shrinkToFit="1"/>
    </xf>
    <xf numFmtId="1" fontId="25" fillId="4" borderId="15" xfId="0" applyNumberFormat="1" applyFont="1" applyFill="1" applyBorder="1" applyAlignment="1">
      <alignment horizontal="center" vertical="center" shrinkToFit="1"/>
    </xf>
    <xf numFmtId="1" fontId="25" fillId="4" borderId="12" xfId="0" applyNumberFormat="1" applyFont="1" applyFill="1" applyBorder="1" applyAlignment="1">
      <alignment horizontal="left" vertical="center" shrinkToFit="1"/>
    </xf>
    <xf numFmtId="1" fontId="25" fillId="4" borderId="11" xfId="0" applyNumberFormat="1" applyFont="1" applyFill="1" applyBorder="1" applyAlignment="1">
      <alignment horizontal="left" vertical="center" indent="1" shrinkToFit="1"/>
    </xf>
    <xf numFmtId="1" fontId="25" fillId="4" borderId="1" xfId="0" applyNumberFormat="1" applyFont="1" applyFill="1" applyBorder="1" applyAlignment="1">
      <alignment horizontal="left" vertical="center" indent="1" shrinkToFit="1"/>
    </xf>
    <xf numFmtId="1" fontId="25" fillId="4" borderId="11" xfId="0" applyNumberFormat="1" applyFont="1" applyFill="1" applyBorder="1" applyAlignment="1">
      <alignment horizontal="right" vertical="center" indent="1" shrinkToFit="1"/>
    </xf>
    <xf numFmtId="1" fontId="25" fillId="4" borderId="1" xfId="0" applyNumberFormat="1" applyFont="1" applyFill="1" applyBorder="1" applyAlignment="1">
      <alignment horizontal="right" vertical="center" indent="1" shrinkToFit="1"/>
    </xf>
    <xf numFmtId="1" fontId="25" fillId="4" borderId="11" xfId="0" applyNumberFormat="1" applyFont="1" applyFill="1" applyBorder="1" applyAlignment="1">
      <alignment horizontal="right" vertical="center" shrinkToFit="1"/>
    </xf>
    <xf numFmtId="1" fontId="25" fillId="4" borderId="1" xfId="0" applyNumberFormat="1" applyFont="1" applyFill="1" applyBorder="1" applyAlignment="1">
      <alignment horizontal="right" vertical="center" shrinkToFi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top" wrapText="1"/>
    </xf>
    <xf numFmtId="0" fontId="11" fillId="4" borderId="8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1" fontId="25" fillId="4" borderId="7" xfId="0" applyNumberFormat="1" applyFont="1" applyFill="1" applyBorder="1" applyAlignment="1">
      <alignment horizontal="center" vertical="center" shrinkToFit="1"/>
    </xf>
    <xf numFmtId="1" fontId="25" fillId="4" borderId="2" xfId="0" applyNumberFormat="1" applyFont="1" applyFill="1" applyBorder="1" applyAlignment="1">
      <alignment horizontal="center" vertical="center" shrinkToFit="1"/>
    </xf>
    <xf numFmtId="1" fontId="25" fillId="4" borderId="7" xfId="0" applyNumberFormat="1" applyFont="1" applyFill="1" applyBorder="1" applyAlignment="1">
      <alignment horizontal="left" vertical="center" shrinkToFit="1"/>
    </xf>
    <xf numFmtId="1" fontId="25" fillId="4" borderId="2" xfId="0" applyNumberFormat="1" applyFont="1" applyFill="1" applyBorder="1" applyAlignment="1">
      <alignment horizontal="left" vertical="center" shrinkToFit="1"/>
    </xf>
    <xf numFmtId="1" fontId="25" fillId="4" borderId="7" xfId="0" applyNumberFormat="1" applyFont="1" applyFill="1" applyBorder="1" applyAlignment="1">
      <alignment horizontal="right" vertical="center" shrinkToFit="1"/>
    </xf>
    <xf numFmtId="1" fontId="25" fillId="4" borderId="2" xfId="0" applyNumberFormat="1" applyFont="1" applyFill="1" applyBorder="1" applyAlignment="1">
      <alignment horizontal="right" vertical="center" shrinkToFit="1"/>
    </xf>
    <xf numFmtId="0" fontId="40" fillId="0" borderId="92" xfId="0" applyFont="1" applyFill="1" applyBorder="1" applyAlignment="1">
      <alignment horizontal="left" vertical="top"/>
    </xf>
    <xf numFmtId="0" fontId="40" fillId="0" borderId="10" xfId="0" applyFont="1" applyFill="1" applyBorder="1" applyAlignment="1">
      <alignment horizontal="left" vertical="top"/>
    </xf>
    <xf numFmtId="0" fontId="40" fillId="0" borderId="93" xfId="0" applyFont="1" applyFill="1" applyBorder="1" applyAlignment="1">
      <alignment horizontal="left" vertical="top"/>
    </xf>
    <xf numFmtId="1" fontId="25" fillId="4" borderId="8" xfId="0" applyNumberFormat="1" applyFont="1" applyFill="1" applyBorder="1" applyAlignment="1">
      <alignment horizontal="left" vertical="center" shrinkToFit="1"/>
    </xf>
    <xf numFmtId="1" fontId="25" fillId="4" borderId="8" xfId="0" applyNumberFormat="1" applyFont="1" applyFill="1" applyBorder="1" applyAlignment="1">
      <alignment horizontal="center" vertical="center" shrinkToFit="1"/>
    </xf>
    <xf numFmtId="1" fontId="25" fillId="4" borderId="47" xfId="0" applyNumberFormat="1" applyFont="1" applyFill="1" applyBorder="1" applyAlignment="1">
      <alignment horizontal="center" vertical="center" shrinkToFit="1"/>
    </xf>
    <xf numFmtId="1" fontId="25" fillId="4" borderId="30" xfId="0" applyNumberFormat="1" applyFont="1" applyFill="1" applyBorder="1" applyAlignment="1">
      <alignment horizontal="center" vertical="center" shrinkToFit="1"/>
    </xf>
    <xf numFmtId="1" fontId="25" fillId="4" borderId="29" xfId="0" applyNumberFormat="1" applyFont="1" applyFill="1" applyBorder="1" applyAlignment="1">
      <alignment horizontal="center" vertical="center" shrinkToFit="1"/>
    </xf>
    <xf numFmtId="1" fontId="25" fillId="4" borderId="31" xfId="0" applyNumberFormat="1" applyFont="1" applyFill="1" applyBorder="1" applyAlignment="1">
      <alignment horizontal="center" vertical="center" shrinkToFit="1"/>
    </xf>
    <xf numFmtId="0" fontId="127" fillId="0" borderId="0" xfId="9" applyFont="1" applyAlignment="1">
      <alignment horizontal="center"/>
    </xf>
    <xf numFmtId="0" fontId="127" fillId="0" borderId="26" xfId="9" applyFont="1" applyBorder="1" applyAlignment="1">
      <alignment horizontal="center"/>
    </xf>
    <xf numFmtId="0" fontId="86" fillId="0" borderId="16" xfId="9" applyFont="1" applyBorder="1" applyAlignment="1">
      <alignment horizontal="center"/>
    </xf>
    <xf numFmtId="0" fontId="86" fillId="0" borderId="18" xfId="9" applyFont="1" applyBorder="1" applyAlignment="1">
      <alignment horizontal="center"/>
    </xf>
    <xf numFmtId="164" fontId="21" fillId="4" borderId="14" xfId="0" applyNumberFormat="1" applyFont="1" applyFill="1" applyBorder="1" applyAlignment="1">
      <alignment horizontal="left" vertical="top"/>
    </xf>
    <xf numFmtId="164" fontId="21" fillId="4" borderId="46" xfId="0" applyNumberFormat="1" applyFont="1" applyFill="1" applyBorder="1" applyAlignment="1">
      <alignment horizontal="left" vertical="top"/>
    </xf>
    <xf numFmtId="164" fontId="37" fillId="4" borderId="14" xfId="0" applyNumberFormat="1" applyFont="1" applyFill="1" applyBorder="1" applyAlignment="1">
      <alignment horizontal="left" vertical="top"/>
    </xf>
    <xf numFmtId="164" fontId="37" fillId="4" borderId="46" xfId="0" applyNumberFormat="1" applyFont="1" applyFill="1" applyBorder="1" applyAlignment="1">
      <alignment horizontal="left" vertical="top"/>
    </xf>
    <xf numFmtId="1" fontId="57" fillId="4" borderId="11" xfId="0" applyNumberFormat="1" applyFont="1" applyFill="1" applyBorder="1" applyAlignment="1">
      <alignment horizontal="center" vertical="center" shrinkToFit="1"/>
    </xf>
    <xf numFmtId="1" fontId="57" fillId="4" borderId="1" xfId="0" applyNumberFormat="1" applyFont="1" applyFill="1" applyBorder="1" applyAlignment="1">
      <alignment horizontal="center" vertical="center" shrinkToFit="1"/>
    </xf>
    <xf numFmtId="1" fontId="66" fillId="4" borderId="11" xfId="0" applyNumberFormat="1" applyFont="1" applyFill="1" applyBorder="1" applyAlignment="1">
      <alignment horizontal="left" vertical="center" shrinkToFit="1"/>
    </xf>
    <xf numFmtId="1" fontId="66" fillId="4" borderId="1" xfId="0" applyNumberFormat="1" applyFont="1" applyFill="1" applyBorder="1" applyAlignment="1">
      <alignment horizontal="left" vertical="center" shrinkToFit="1"/>
    </xf>
    <xf numFmtId="1" fontId="66" fillId="4" borderId="11" xfId="0" applyNumberFormat="1" applyFont="1" applyFill="1" applyBorder="1" applyAlignment="1">
      <alignment horizontal="right" vertical="center" shrinkToFit="1"/>
    </xf>
    <xf numFmtId="1" fontId="66" fillId="4" borderId="1" xfId="0" applyNumberFormat="1" applyFont="1" applyFill="1" applyBorder="1" applyAlignment="1">
      <alignment horizontal="right" vertical="center" shrinkToFit="1"/>
    </xf>
    <xf numFmtId="1" fontId="66" fillId="4" borderId="11" xfId="0" applyNumberFormat="1" applyFont="1" applyFill="1" applyBorder="1" applyAlignment="1">
      <alignment horizontal="center" vertical="center" shrinkToFit="1"/>
    </xf>
    <xf numFmtId="1" fontId="66" fillId="4" borderId="12" xfId="0" applyNumberFormat="1" applyFont="1" applyFill="1" applyBorder="1" applyAlignment="1">
      <alignment horizontal="center" vertical="center" shrinkToFit="1"/>
    </xf>
    <xf numFmtId="1" fontId="66" fillId="4" borderId="1" xfId="0" applyNumberFormat="1" applyFont="1" applyFill="1" applyBorder="1" applyAlignment="1">
      <alignment horizontal="center" vertical="center" shrinkToFit="1"/>
    </xf>
    <xf numFmtId="0" fontId="19" fillId="4" borderId="30" xfId="0" applyFont="1" applyFill="1" applyBorder="1" applyAlignment="1">
      <alignment horizontal="center" vertical="top" wrapText="1"/>
    </xf>
    <xf numFmtId="0" fontId="19" fillId="4" borderId="29" xfId="0" applyFont="1" applyFill="1" applyBorder="1" applyAlignment="1">
      <alignment horizontal="center" vertical="top" wrapText="1"/>
    </xf>
    <xf numFmtId="0" fontId="19" fillId="4" borderId="67" xfId="0" applyFont="1" applyFill="1" applyBorder="1" applyAlignment="1">
      <alignment horizontal="center" vertical="top" wrapText="1"/>
    </xf>
    <xf numFmtId="0" fontId="19" fillId="4" borderId="27" xfId="0" applyFont="1" applyFill="1" applyBorder="1" applyAlignment="1">
      <alignment horizontal="center" vertical="top" wrapText="1"/>
    </xf>
    <xf numFmtId="0" fontId="19" fillId="4" borderId="26" xfId="0" applyFont="1" applyFill="1" applyBorder="1" applyAlignment="1">
      <alignment horizontal="center" vertical="top" wrapText="1"/>
    </xf>
    <xf numFmtId="0" fontId="19" fillId="4" borderId="70" xfId="0" applyFont="1" applyFill="1" applyBorder="1" applyAlignment="1">
      <alignment horizontal="center" vertical="top" wrapText="1"/>
    </xf>
    <xf numFmtId="1" fontId="66" fillId="4" borderId="12" xfId="0" applyNumberFormat="1" applyFont="1" applyFill="1" applyBorder="1" applyAlignment="1">
      <alignment horizontal="left" vertical="center" shrinkToFit="1"/>
    </xf>
    <xf numFmtId="0" fontId="12" fillId="4" borderId="79" xfId="0" applyFont="1" applyFill="1" applyBorder="1" applyAlignment="1">
      <alignment horizontal="left" vertical="center" wrapText="1"/>
    </xf>
    <xf numFmtId="0" fontId="12" fillId="4" borderId="9" xfId="0" applyFont="1" applyFill="1" applyBorder="1" applyAlignment="1">
      <alignment horizontal="left" vertical="top" wrapText="1" indent="2"/>
    </xf>
    <xf numFmtId="0" fontId="12" fillId="4" borderId="10" xfId="0" applyFont="1" applyFill="1" applyBorder="1" applyAlignment="1">
      <alignment horizontal="left" vertical="top" wrapText="1" indent="2"/>
    </xf>
    <xf numFmtId="0" fontId="12" fillId="4" borderId="3" xfId="0" applyFont="1" applyFill="1" applyBorder="1" applyAlignment="1">
      <alignment horizontal="left" vertical="top" wrapText="1" indent="2"/>
    </xf>
    <xf numFmtId="0" fontId="8" fillId="4" borderId="49" xfId="0" applyFont="1" applyFill="1" applyBorder="1" applyAlignment="1">
      <alignment horizontal="left" vertical="center" wrapText="1" indent="1"/>
    </xf>
    <xf numFmtId="0" fontId="8" fillId="4" borderId="0" xfId="0" applyFont="1" applyFill="1" applyBorder="1" applyAlignment="1">
      <alignment horizontal="left" vertical="center" wrapText="1" indent="1"/>
    </xf>
    <xf numFmtId="0" fontId="8" fillId="4" borderId="9" xfId="0" applyFont="1" applyFill="1" applyBorder="1" applyAlignment="1">
      <alignment horizontal="left" vertical="center" wrapText="1" indent="1"/>
    </xf>
    <xf numFmtId="0" fontId="8" fillId="4" borderId="10" xfId="0" applyFont="1" applyFill="1" applyBorder="1" applyAlignment="1">
      <alignment horizontal="left" vertical="center" wrapText="1" indent="1"/>
    </xf>
    <xf numFmtId="1" fontId="66" fillId="4" borderId="11" xfId="0" applyNumberFormat="1" applyFont="1" applyFill="1" applyBorder="1" applyAlignment="1">
      <alignment horizontal="left" vertical="center" indent="1" shrinkToFit="1"/>
    </xf>
    <xf numFmtId="1" fontId="66" fillId="4" borderId="12" xfId="0" applyNumberFormat="1" applyFont="1" applyFill="1" applyBorder="1" applyAlignment="1">
      <alignment horizontal="left" vertical="center" indent="1" shrinkToFit="1"/>
    </xf>
    <xf numFmtId="1" fontId="66" fillId="4" borderId="1" xfId="0" applyNumberFormat="1" applyFont="1" applyFill="1" applyBorder="1" applyAlignment="1">
      <alignment horizontal="left" vertical="center" indent="1" shrinkToFit="1"/>
    </xf>
    <xf numFmtId="1" fontId="66" fillId="4" borderId="11" xfId="0" applyNumberFormat="1" applyFont="1" applyFill="1" applyBorder="1" applyAlignment="1">
      <alignment horizontal="right" vertical="center" indent="1" shrinkToFit="1"/>
    </xf>
    <xf numFmtId="1" fontId="66" fillId="4" borderId="1" xfId="0" applyNumberFormat="1" applyFont="1" applyFill="1" applyBorder="1" applyAlignment="1">
      <alignment horizontal="right" vertical="center" indent="1" shrinkToFit="1"/>
    </xf>
    <xf numFmtId="0" fontId="58" fillId="4" borderId="7" xfId="0" applyFont="1" applyFill="1" applyBorder="1" applyAlignment="1">
      <alignment horizontal="left" vertical="center" wrapText="1"/>
    </xf>
    <xf numFmtId="0" fontId="58" fillId="4" borderId="8" xfId="0" applyFont="1" applyFill="1" applyBorder="1" applyAlignment="1">
      <alignment horizontal="left" vertical="center" wrapText="1"/>
    </xf>
    <xf numFmtId="0" fontId="38" fillId="4" borderId="7" xfId="0" applyFont="1" applyFill="1" applyBorder="1" applyAlignment="1">
      <alignment horizontal="left" vertical="top" wrapText="1"/>
    </xf>
    <xf numFmtId="0" fontId="38" fillId="4" borderId="8" xfId="0" applyFont="1" applyFill="1" applyBorder="1" applyAlignment="1">
      <alignment horizontal="left" vertical="top" wrapText="1"/>
    </xf>
    <xf numFmtId="0" fontId="38" fillId="4" borderId="2" xfId="0" applyFont="1" applyFill="1" applyBorder="1" applyAlignment="1">
      <alignment horizontal="left" vertical="top" wrapText="1"/>
    </xf>
    <xf numFmtId="1" fontId="66" fillId="4" borderId="7" xfId="0" applyNumberFormat="1" applyFont="1" applyFill="1" applyBorder="1" applyAlignment="1">
      <alignment horizontal="left" vertical="center" shrinkToFit="1"/>
    </xf>
    <xf numFmtId="1" fontId="66" fillId="4" borderId="2" xfId="0" applyNumberFormat="1" applyFont="1" applyFill="1" applyBorder="1" applyAlignment="1">
      <alignment horizontal="left" vertical="center" shrinkToFit="1"/>
    </xf>
    <xf numFmtId="1" fontId="66" fillId="4" borderId="7" xfId="0" applyNumberFormat="1" applyFont="1" applyFill="1" applyBorder="1" applyAlignment="1">
      <alignment horizontal="right" vertical="center" shrinkToFit="1"/>
    </xf>
    <xf numFmtId="1" fontId="66" fillId="4" borderId="2" xfId="0" applyNumberFormat="1" applyFont="1" applyFill="1" applyBorder="1" applyAlignment="1">
      <alignment horizontal="right" vertical="center" shrinkToFit="1"/>
    </xf>
    <xf numFmtId="1" fontId="66" fillId="4" borderId="7" xfId="0" applyNumberFormat="1" applyFont="1" applyFill="1" applyBorder="1" applyAlignment="1">
      <alignment horizontal="center" vertical="center" shrinkToFit="1"/>
    </xf>
    <xf numFmtId="1" fontId="66" fillId="4" borderId="2" xfId="0" applyNumberFormat="1" applyFont="1" applyFill="1" applyBorder="1" applyAlignment="1">
      <alignment horizontal="center" vertical="center" shrinkToFit="1"/>
    </xf>
    <xf numFmtId="1" fontId="66" fillId="4" borderId="8" xfId="0" applyNumberFormat="1" applyFont="1" applyFill="1" applyBorder="1" applyAlignment="1">
      <alignment horizontal="center" vertical="center" shrinkToFit="1"/>
    </xf>
    <xf numFmtId="1" fontId="66" fillId="4" borderId="8" xfId="0" applyNumberFormat="1" applyFont="1" applyFill="1" applyBorder="1" applyAlignment="1">
      <alignment horizontal="left" vertical="center" shrinkToFit="1"/>
    </xf>
    <xf numFmtId="49" fontId="90" fillId="0" borderId="23" xfId="9" applyNumberFormat="1" applyFont="1" applyBorder="1" applyAlignment="1">
      <alignment horizontal="center" wrapText="1"/>
    </xf>
    <xf numFmtId="49" fontId="90" fillId="0" borderId="24" xfId="9" applyNumberFormat="1" applyFont="1" applyBorder="1" applyAlignment="1">
      <alignment horizontal="center" wrapText="1"/>
    </xf>
    <xf numFmtId="0" fontId="90" fillId="0" borderId="23" xfId="9" applyFont="1" applyBorder="1" applyAlignment="1">
      <alignment horizontal="center" wrapText="1"/>
    </xf>
    <xf numFmtId="0" fontId="90" fillId="0" borderId="24" xfId="9" applyFont="1" applyBorder="1" applyAlignment="1">
      <alignment horizontal="center" wrapText="1"/>
    </xf>
    <xf numFmtId="0" fontId="90" fillId="0" borderId="23" xfId="9" applyFont="1" applyBorder="1" applyAlignment="1">
      <alignment horizontal="left" wrapText="1"/>
    </xf>
    <xf numFmtId="0" fontId="90" fillId="0" borderId="24" xfId="9" applyFont="1" applyBorder="1" applyAlignment="1">
      <alignment horizontal="left" wrapText="1"/>
    </xf>
    <xf numFmtId="0" fontId="3" fillId="0" borderId="23" xfId="9" applyBorder="1" applyAlignment="1">
      <alignment horizontal="center"/>
    </xf>
    <xf numFmtId="0" fontId="3" fillId="0" borderId="24" xfId="9" applyBorder="1" applyAlignment="1">
      <alignment horizontal="center"/>
    </xf>
    <xf numFmtId="0" fontId="3" fillId="0" borderId="30" xfId="9" applyBorder="1" applyAlignment="1">
      <alignment horizontal="center"/>
    </xf>
    <xf numFmtId="0" fontId="3" fillId="0" borderId="27" xfId="9" applyBorder="1" applyAlignment="1">
      <alignment horizontal="center"/>
    </xf>
    <xf numFmtId="0" fontId="90" fillId="0" borderId="23" xfId="9" applyFont="1" applyBorder="1" applyAlignment="1">
      <alignment horizontal="center"/>
    </xf>
    <xf numFmtId="0" fontId="90" fillId="0" borderId="24" xfId="9" applyFont="1" applyBorder="1" applyAlignment="1">
      <alignment horizontal="center"/>
    </xf>
    <xf numFmtId="0" fontId="90" fillId="0" borderId="31" xfId="9" applyFont="1" applyBorder="1" applyAlignment="1">
      <alignment horizontal="center" wrapText="1"/>
    </xf>
    <xf numFmtId="0" fontId="90" fillId="0" borderId="28" xfId="9" applyFont="1" applyBorder="1" applyAlignment="1">
      <alignment horizontal="center" wrapText="1"/>
    </xf>
    <xf numFmtId="0" fontId="102" fillId="0" borderId="0" xfId="9" applyFont="1" applyAlignment="1">
      <alignment horizontal="center"/>
    </xf>
    <xf numFmtId="0" fontId="102" fillId="0" borderId="26" xfId="9" applyFont="1" applyBorder="1" applyAlignment="1">
      <alignment horizontal="center"/>
    </xf>
    <xf numFmtId="0" fontId="134" fillId="0" borderId="23" xfId="9" applyFont="1" applyBorder="1" applyAlignment="1">
      <alignment vertical="center"/>
    </xf>
    <xf numFmtId="0" fontId="134" fillId="0" borderId="24" xfId="9" applyFont="1" applyBorder="1" applyAlignment="1">
      <alignment vertical="center"/>
    </xf>
    <xf numFmtId="0" fontId="134" fillId="0" borderId="23" xfId="9" applyFont="1" applyBorder="1" applyAlignment="1">
      <alignment horizontal="center" vertical="center"/>
    </xf>
    <xf numFmtId="0" fontId="134" fillId="0" borderId="24" xfId="9" applyFont="1" applyBorder="1" applyAlignment="1">
      <alignment horizontal="center" vertical="center"/>
    </xf>
    <xf numFmtId="0" fontId="52" fillId="4" borderId="72" xfId="0" applyFont="1" applyFill="1" applyBorder="1" applyAlignment="1">
      <alignment horizontal="center" vertical="top"/>
    </xf>
    <xf numFmtId="0" fontId="52" fillId="4" borderId="73" xfId="0" applyFont="1" applyFill="1" applyBorder="1" applyAlignment="1">
      <alignment horizontal="center" vertical="top"/>
    </xf>
    <xf numFmtId="0" fontId="52" fillId="4" borderId="74" xfId="0" applyFont="1" applyFill="1" applyBorder="1" applyAlignment="1">
      <alignment horizontal="center" vertical="top"/>
    </xf>
    <xf numFmtId="0" fontId="52" fillId="4" borderId="45" xfId="0" applyFont="1" applyFill="1" applyBorder="1" applyAlignment="1">
      <alignment horizontal="center" vertical="top" wrapText="1"/>
    </xf>
    <xf numFmtId="0" fontId="52" fillId="4" borderId="14" xfId="0" applyFont="1" applyFill="1" applyBorder="1" applyAlignment="1">
      <alignment horizontal="center" vertical="top"/>
    </xf>
    <xf numFmtId="0" fontId="52" fillId="4" borderId="46" xfId="0" applyFont="1" applyFill="1" applyBorder="1" applyAlignment="1">
      <alignment horizontal="center" vertical="top"/>
    </xf>
    <xf numFmtId="0" fontId="52" fillId="4" borderId="45" xfId="0" applyFont="1" applyFill="1" applyBorder="1" applyAlignment="1">
      <alignment horizontal="center" vertical="top"/>
    </xf>
    <xf numFmtId="0" fontId="30" fillId="4" borderId="16" xfId="0" applyFont="1" applyFill="1" applyBorder="1" applyAlignment="1">
      <alignment horizontal="center" vertical="top" wrapText="1"/>
    </xf>
    <xf numFmtId="0" fontId="30" fillId="4" borderId="17" xfId="0" applyFont="1" applyFill="1" applyBorder="1" applyAlignment="1">
      <alignment horizontal="center" vertical="top" wrapText="1"/>
    </xf>
    <xf numFmtId="0" fontId="30" fillId="4" borderId="60" xfId="0" applyFont="1" applyFill="1" applyBorder="1" applyAlignment="1">
      <alignment horizontal="center" vertical="top" wrapText="1"/>
    </xf>
    <xf numFmtId="0" fontId="52" fillId="4" borderId="59" xfId="0" applyFont="1" applyFill="1" applyBorder="1" applyAlignment="1">
      <alignment horizontal="center" vertical="top" wrapText="1"/>
    </xf>
    <xf numFmtId="0" fontId="52" fillId="4" borderId="17" xfId="0" applyFont="1" applyFill="1" applyBorder="1" applyAlignment="1">
      <alignment horizontal="center" vertical="top" wrapText="1"/>
    </xf>
    <xf numFmtId="0" fontId="52" fillId="4" borderId="60" xfId="0" applyFont="1" applyFill="1" applyBorder="1" applyAlignment="1">
      <alignment horizontal="center" vertical="top" wrapText="1"/>
    </xf>
    <xf numFmtId="0" fontId="26" fillId="0" borderId="59" xfId="0" applyFont="1" applyFill="1" applyBorder="1" applyAlignment="1">
      <alignment horizontal="center" vertical="top"/>
    </xf>
    <xf numFmtId="0" fontId="26" fillId="0" borderId="17" xfId="0" applyFont="1" applyFill="1" applyBorder="1" applyAlignment="1">
      <alignment horizontal="center" vertical="top"/>
    </xf>
    <xf numFmtId="0" fontId="26" fillId="0" borderId="18" xfId="0" applyFont="1" applyFill="1" applyBorder="1" applyAlignment="1">
      <alignment horizontal="center" vertical="top"/>
    </xf>
    <xf numFmtId="0" fontId="26" fillId="4" borderId="82" xfId="0" applyFont="1" applyFill="1" applyBorder="1" applyAlignment="1">
      <alignment horizontal="center" vertical="top"/>
    </xf>
    <xf numFmtId="0" fontId="26" fillId="4" borderId="83" xfId="0" applyFont="1" applyFill="1" applyBorder="1" applyAlignment="1">
      <alignment horizontal="center" vertical="top"/>
    </xf>
    <xf numFmtId="0" fontId="26" fillId="4" borderId="90" xfId="0" applyFont="1" applyFill="1" applyBorder="1" applyAlignment="1">
      <alignment horizontal="center" vertical="top"/>
    </xf>
    <xf numFmtId="0" fontId="13" fillId="4" borderId="14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horizontal="left" vertical="top" wrapText="1"/>
    </xf>
    <xf numFmtId="0" fontId="12" fillId="4" borderId="45" xfId="0" applyFont="1" applyFill="1" applyBorder="1" applyAlignment="1">
      <alignment horizontal="right" vertical="top" wrapText="1"/>
    </xf>
    <xf numFmtId="0" fontId="12" fillId="4" borderId="14" xfId="0" applyFont="1" applyFill="1" applyBorder="1" applyAlignment="1">
      <alignment horizontal="right" vertical="top" wrapText="1"/>
    </xf>
    <xf numFmtId="0" fontId="12" fillId="4" borderId="14" xfId="0" applyFont="1" applyFill="1" applyBorder="1" applyAlignment="1">
      <alignment horizontal="left" vertical="top" wrapText="1" indent="1"/>
    </xf>
    <xf numFmtId="0" fontId="58" fillId="4" borderId="9" xfId="0" applyFont="1" applyFill="1" applyBorder="1" applyAlignment="1">
      <alignment horizontal="left" vertical="top" wrapText="1" indent="2"/>
    </xf>
    <xf numFmtId="0" fontId="58" fillId="4" borderId="10" xfId="0" applyFont="1" applyFill="1" applyBorder="1" applyAlignment="1">
      <alignment horizontal="left" vertical="top" wrapText="1" indent="2"/>
    </xf>
    <xf numFmtId="0" fontId="58" fillId="4" borderId="3" xfId="0" applyFont="1" applyFill="1" applyBorder="1" applyAlignment="1">
      <alignment horizontal="left" vertical="top" wrapText="1" indent="2"/>
    </xf>
    <xf numFmtId="0" fontId="58" fillId="4" borderId="9" xfId="0" applyFont="1" applyFill="1" applyBorder="1" applyAlignment="1">
      <alignment horizontal="left" vertical="top" wrapText="1"/>
    </xf>
    <xf numFmtId="0" fontId="58" fillId="4" borderId="10" xfId="0" applyFont="1" applyFill="1" applyBorder="1" applyAlignment="1">
      <alignment horizontal="left" vertical="top" wrapText="1"/>
    </xf>
    <xf numFmtId="0" fontId="58" fillId="4" borderId="3" xfId="0" applyFont="1" applyFill="1" applyBorder="1" applyAlignment="1">
      <alignment horizontal="left" vertical="top" wrapText="1"/>
    </xf>
    <xf numFmtId="0" fontId="58" fillId="4" borderId="49" xfId="0" applyFont="1" applyFill="1" applyBorder="1" applyAlignment="1">
      <alignment horizontal="left" vertical="center" wrapText="1" indent="1"/>
    </xf>
    <xf numFmtId="0" fontId="58" fillId="4" borderId="0" xfId="0" applyFont="1" applyFill="1" applyBorder="1" applyAlignment="1">
      <alignment horizontal="left" vertical="center" wrapText="1" indent="1"/>
    </xf>
    <xf numFmtId="0" fontId="58" fillId="4" borderId="9" xfId="0" applyFont="1" applyFill="1" applyBorder="1" applyAlignment="1">
      <alignment horizontal="left" vertical="center" wrapText="1" indent="1"/>
    </xf>
    <xf numFmtId="0" fontId="58" fillId="4" borderId="10" xfId="0" applyFont="1" applyFill="1" applyBorder="1" applyAlignment="1">
      <alignment horizontal="left" vertical="center" wrapText="1" indent="1"/>
    </xf>
    <xf numFmtId="0" fontId="58" fillId="4" borderId="79" xfId="0" applyFont="1" applyFill="1" applyBorder="1" applyAlignment="1">
      <alignment horizontal="left" vertical="center" wrapText="1"/>
    </xf>
    <xf numFmtId="0" fontId="58" fillId="4" borderId="62" xfId="0" applyFont="1" applyFill="1" applyBorder="1" applyAlignment="1">
      <alignment horizontal="left" vertical="center" wrapText="1"/>
    </xf>
    <xf numFmtId="0" fontId="38" fillId="4" borderId="49" xfId="0" applyFont="1" applyFill="1" applyBorder="1" applyAlignment="1">
      <alignment horizontal="center" vertical="center" wrapText="1"/>
    </xf>
    <xf numFmtId="0" fontId="38" fillId="4" borderId="0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58" fillId="4" borderId="49" xfId="0" applyFont="1" applyFill="1" applyBorder="1" applyAlignment="1">
      <alignment horizontal="left" textRotation="90" wrapText="1"/>
    </xf>
    <xf numFmtId="0" fontId="58" fillId="4" borderId="0" xfId="0" applyFont="1" applyFill="1" applyBorder="1" applyAlignment="1">
      <alignment horizontal="left" textRotation="90" wrapText="1"/>
    </xf>
    <xf numFmtId="0" fontId="58" fillId="4" borderId="13" xfId="0" applyFont="1" applyFill="1" applyBorder="1" applyAlignment="1">
      <alignment horizontal="left" textRotation="90" wrapText="1"/>
    </xf>
    <xf numFmtId="0" fontId="58" fillId="4" borderId="9" xfId="0" applyFont="1" applyFill="1" applyBorder="1" applyAlignment="1">
      <alignment horizontal="center" vertical="top" wrapText="1"/>
    </xf>
    <xf numFmtId="0" fontId="58" fillId="4" borderId="10" xfId="0" applyFont="1" applyFill="1" applyBorder="1" applyAlignment="1">
      <alignment horizontal="center" vertical="top" wrapText="1"/>
    </xf>
    <xf numFmtId="0" fontId="58" fillId="4" borderId="3" xfId="0" applyFont="1" applyFill="1" applyBorder="1" applyAlignment="1">
      <alignment horizontal="center" vertical="top" wrapText="1"/>
    </xf>
    <xf numFmtId="0" fontId="58" fillId="4" borderId="3" xfId="0" applyFont="1" applyFill="1" applyBorder="1" applyAlignment="1">
      <alignment horizontal="left" vertical="top" wrapText="1" indent="1"/>
    </xf>
    <xf numFmtId="1" fontId="24" fillId="4" borderId="14" xfId="0" applyNumberFormat="1" applyFont="1" applyFill="1" applyBorder="1" applyAlignment="1">
      <alignment horizontal="center" vertical="top" shrinkToFit="1"/>
    </xf>
    <xf numFmtId="0" fontId="58" fillId="4" borderId="11" xfId="0" applyFont="1" applyFill="1" applyBorder="1" applyAlignment="1">
      <alignment horizontal="right" vertical="top" wrapText="1"/>
    </xf>
    <xf numFmtId="0" fontId="58" fillId="4" borderId="12" xfId="0" applyFont="1" applyFill="1" applyBorder="1" applyAlignment="1">
      <alignment horizontal="right" vertical="top" wrapText="1"/>
    </xf>
    <xf numFmtId="0" fontId="58" fillId="4" borderId="1" xfId="0" applyFont="1" applyFill="1" applyBorder="1" applyAlignment="1">
      <alignment horizontal="right" vertical="top" wrapText="1"/>
    </xf>
    <xf numFmtId="0" fontId="13" fillId="4" borderId="11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8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1" fontId="17" fillId="4" borderId="8" xfId="0" applyNumberFormat="1" applyFont="1" applyFill="1" applyBorder="1" applyAlignment="1">
      <alignment horizontal="right" vertical="center" shrinkToFit="1"/>
    </xf>
    <xf numFmtId="0" fontId="86" fillId="0" borderId="16" xfId="11" applyFont="1" applyBorder="1" applyAlignment="1">
      <alignment horizontal="center" vertical="center"/>
    </xf>
    <xf numFmtId="0" fontId="86" fillId="0" borderId="18" xfId="11" applyFont="1" applyBorder="1" applyAlignment="1">
      <alignment horizontal="center" vertical="center"/>
    </xf>
    <xf numFmtId="0" fontId="138" fillId="0" borderId="0" xfId="12" applyFont="1" applyAlignment="1">
      <alignment horizontal="center"/>
    </xf>
    <xf numFmtId="0" fontId="138" fillId="0" borderId="0" xfId="12" applyFont="1" applyFill="1" applyBorder="1" applyAlignment="1">
      <alignment horizontal="center"/>
    </xf>
    <xf numFmtId="0" fontId="83" fillId="0" borderId="59" xfId="0" applyFont="1" applyFill="1" applyBorder="1" applyAlignment="1">
      <alignment horizontal="center" vertical="top"/>
    </xf>
    <xf numFmtId="0" fontId="83" fillId="0" borderId="17" xfId="0" applyFont="1" applyFill="1" applyBorder="1" applyAlignment="1">
      <alignment horizontal="center" vertical="top"/>
    </xf>
    <xf numFmtId="0" fontId="83" fillId="0" borderId="60" xfId="0" applyFont="1" applyFill="1" applyBorder="1" applyAlignment="1">
      <alignment horizontal="center" vertical="top"/>
    </xf>
    <xf numFmtId="0" fontId="78" fillId="0" borderId="14" xfId="0" applyFont="1" applyFill="1" applyBorder="1" applyAlignment="1">
      <alignment horizontal="center" vertical="center" wrapText="1" shrinkToFit="1"/>
    </xf>
    <xf numFmtId="0" fontId="75" fillId="0" borderId="59" xfId="0" applyFont="1" applyFill="1" applyBorder="1" applyAlignment="1">
      <alignment horizontal="left" vertical="top"/>
    </xf>
    <xf numFmtId="0" fontId="75" fillId="0" borderId="17" xfId="0" applyFont="1" applyFill="1" applyBorder="1" applyAlignment="1">
      <alignment horizontal="left" vertical="top"/>
    </xf>
    <xf numFmtId="0" fontId="75" fillId="0" borderId="18" xfId="0" applyFont="1" applyFill="1" applyBorder="1" applyAlignment="1">
      <alignment horizontal="left" vertical="top"/>
    </xf>
    <xf numFmtId="0" fontId="77" fillId="4" borderId="68" xfId="0" applyFont="1" applyFill="1" applyBorder="1" applyAlignment="1">
      <alignment horizontal="center" vertical="top"/>
    </xf>
    <xf numFmtId="0" fontId="77" fillId="4" borderId="69" xfId="0" applyFont="1" applyFill="1" applyBorder="1" applyAlignment="1">
      <alignment horizontal="center" vertical="top"/>
    </xf>
    <xf numFmtId="0" fontId="77" fillId="4" borderId="77" xfId="0" applyFont="1" applyFill="1" applyBorder="1" applyAlignment="1">
      <alignment horizontal="center" vertical="top"/>
    </xf>
    <xf numFmtId="0" fontId="77" fillId="4" borderId="34" xfId="0" applyFont="1" applyFill="1" applyBorder="1" applyAlignment="1">
      <alignment horizontal="center" vertical="top"/>
    </xf>
    <xf numFmtId="0" fontId="77" fillId="4" borderId="35" xfId="0" applyFont="1" applyFill="1" applyBorder="1" applyAlignment="1">
      <alignment horizontal="center" vertical="top"/>
    </xf>
    <xf numFmtId="0" fontId="77" fillId="4" borderId="36" xfId="0" applyFont="1" applyFill="1" applyBorder="1" applyAlignment="1">
      <alignment horizontal="center" vertical="top"/>
    </xf>
    <xf numFmtId="0" fontId="77" fillId="4" borderId="37" xfId="0" applyFont="1" applyFill="1" applyBorder="1" applyAlignment="1">
      <alignment horizontal="center" vertical="top"/>
    </xf>
    <xf numFmtId="0" fontId="77" fillId="4" borderId="0" xfId="0" applyFont="1" applyFill="1" applyBorder="1" applyAlignment="1">
      <alignment horizontal="center" vertical="top"/>
    </xf>
    <xf numFmtId="0" fontId="77" fillId="4" borderId="38" xfId="0" applyFont="1" applyFill="1" applyBorder="1" applyAlignment="1">
      <alignment horizontal="center" vertical="top"/>
    </xf>
    <xf numFmtId="0" fontId="77" fillId="4" borderId="44" xfId="0" applyFont="1" applyFill="1" applyBorder="1" applyAlignment="1">
      <alignment horizontal="center" vertical="top"/>
    </xf>
    <xf numFmtId="0" fontId="77" fillId="4" borderId="26" xfId="0" applyFont="1" applyFill="1" applyBorder="1" applyAlignment="1">
      <alignment horizontal="center" vertical="top"/>
    </xf>
    <xf numFmtId="0" fontId="77" fillId="4" borderId="70" xfId="0" applyFont="1" applyFill="1" applyBorder="1" applyAlignment="1">
      <alignment horizontal="center" vertical="top"/>
    </xf>
    <xf numFmtId="0" fontId="75" fillId="0" borderId="82" xfId="0" applyFont="1" applyFill="1" applyBorder="1" applyAlignment="1">
      <alignment horizontal="left" vertical="top"/>
    </xf>
    <xf numFmtId="0" fontId="75" fillId="0" borderId="83" xfId="0" applyFont="1" applyFill="1" applyBorder="1" applyAlignment="1">
      <alignment horizontal="left" vertical="top"/>
    </xf>
    <xf numFmtId="0" fontId="75" fillId="0" borderId="90" xfId="0" applyFont="1" applyFill="1" applyBorder="1" applyAlignment="1">
      <alignment horizontal="left" vertical="top"/>
    </xf>
    <xf numFmtId="164" fontId="76" fillId="0" borderId="30" xfId="0" applyNumberFormat="1" applyFont="1" applyFill="1" applyBorder="1" applyAlignment="1">
      <alignment horizontal="center" vertical="center"/>
    </xf>
    <xf numFmtId="164" fontId="76" fillId="0" borderId="67" xfId="0" applyNumberFormat="1" applyFont="1" applyFill="1" applyBorder="1" applyAlignment="1">
      <alignment horizontal="center" vertical="center"/>
    </xf>
    <xf numFmtId="164" fontId="76" fillId="0" borderId="43" xfId="0" applyNumberFormat="1" applyFont="1" applyFill="1" applyBorder="1" applyAlignment="1">
      <alignment horizontal="center" vertical="center"/>
    </xf>
    <xf numFmtId="164" fontId="76" fillId="0" borderId="38" xfId="0" applyNumberFormat="1" applyFont="1" applyFill="1" applyBorder="1" applyAlignment="1">
      <alignment horizontal="center" vertical="center"/>
    </xf>
    <xf numFmtId="164" fontId="76" fillId="0" borderId="91" xfId="0" applyNumberFormat="1" applyFont="1" applyFill="1" applyBorder="1" applyAlignment="1">
      <alignment horizontal="center" vertical="center"/>
    </xf>
    <xf numFmtId="164" fontId="76" fillId="0" borderId="41" xfId="0" applyNumberFormat="1" applyFont="1" applyFill="1" applyBorder="1" applyAlignment="1">
      <alignment horizontal="center" vertical="center"/>
    </xf>
    <xf numFmtId="0" fontId="75" fillId="0" borderId="59" xfId="0" applyFont="1" applyFill="1" applyBorder="1" applyAlignment="1">
      <alignment horizontal="left" vertical="top" wrapText="1" shrinkToFit="1"/>
    </xf>
    <xf numFmtId="0" fontId="75" fillId="0" borderId="17" xfId="0" applyFont="1" applyFill="1" applyBorder="1" applyAlignment="1">
      <alignment horizontal="left" vertical="top" wrapText="1" shrinkToFit="1"/>
    </xf>
    <xf numFmtId="0" fontId="75" fillId="0" borderId="18" xfId="0" applyFont="1" applyFill="1" applyBorder="1" applyAlignment="1">
      <alignment horizontal="left" vertical="top" wrapText="1" shrinkToFit="1"/>
    </xf>
    <xf numFmtId="0" fontId="81" fillId="0" borderId="59" xfId="0" applyFont="1" applyFill="1" applyBorder="1" applyAlignment="1">
      <alignment horizontal="left" vertical="top" wrapText="1" shrinkToFit="1"/>
    </xf>
    <xf numFmtId="0" fontId="81" fillId="0" borderId="17" xfId="0" applyFont="1" applyFill="1" applyBorder="1" applyAlignment="1">
      <alignment horizontal="left" vertical="top" wrapText="1" shrinkToFit="1"/>
    </xf>
    <xf numFmtId="0" fontId="81" fillId="0" borderId="18" xfId="0" applyFont="1" applyFill="1" applyBorder="1" applyAlignment="1">
      <alignment horizontal="left" vertical="top" wrapText="1" shrinkToFit="1"/>
    </xf>
    <xf numFmtId="1" fontId="76" fillId="0" borderId="30" xfId="0" applyNumberFormat="1" applyFont="1" applyFill="1" applyBorder="1" applyAlignment="1">
      <alignment horizontal="center" vertical="center"/>
    </xf>
    <xf numFmtId="1" fontId="76" fillId="0" borderId="67" xfId="0" applyNumberFormat="1" applyFont="1" applyFill="1" applyBorder="1" applyAlignment="1">
      <alignment horizontal="center" vertical="center"/>
    </xf>
    <xf numFmtId="1" fontId="77" fillId="0" borderId="27" xfId="0" applyNumberFormat="1" applyFont="1" applyFill="1" applyBorder="1" applyAlignment="1">
      <alignment horizontal="center" vertical="center"/>
    </xf>
    <xf numFmtId="1" fontId="77" fillId="0" borderId="70" xfId="0" applyNumberFormat="1" applyFont="1" applyFill="1" applyBorder="1" applyAlignment="1">
      <alignment horizontal="center" vertical="center"/>
    </xf>
    <xf numFmtId="1" fontId="76" fillId="0" borderId="43" xfId="0" applyNumberFormat="1" applyFont="1" applyFill="1" applyBorder="1" applyAlignment="1">
      <alignment horizontal="center" vertical="center"/>
    </xf>
    <xf numFmtId="1" fontId="76" fillId="0" borderId="38" xfId="0" applyNumberFormat="1" applyFont="1" applyFill="1" applyBorder="1" applyAlignment="1">
      <alignment horizontal="center" vertical="center"/>
    </xf>
    <xf numFmtId="1" fontId="76" fillId="0" borderId="27" xfId="0" applyNumberFormat="1" applyFont="1" applyFill="1" applyBorder="1" applyAlignment="1">
      <alignment horizontal="center" vertical="center"/>
    </xf>
    <xf numFmtId="1" fontId="76" fillId="0" borderId="70" xfId="0" applyNumberFormat="1" applyFont="1" applyFill="1" applyBorder="1" applyAlignment="1">
      <alignment horizontal="center" vertical="center"/>
    </xf>
    <xf numFmtId="0" fontId="45" fillId="4" borderId="72" xfId="0" applyFont="1" applyFill="1" applyBorder="1" applyAlignment="1">
      <alignment horizontal="center" vertical="top"/>
    </xf>
    <xf numFmtId="0" fontId="45" fillId="4" borderId="73" xfId="0" applyFont="1" applyFill="1" applyBorder="1" applyAlignment="1">
      <alignment horizontal="center" vertical="top"/>
    </xf>
    <xf numFmtId="0" fontId="45" fillId="4" borderId="74" xfId="0" applyFont="1" applyFill="1" applyBorder="1" applyAlignment="1">
      <alignment horizontal="center" vertical="top"/>
    </xf>
    <xf numFmtId="0" fontId="45" fillId="4" borderId="45" xfId="0" applyFont="1" applyFill="1" applyBorder="1" applyAlignment="1">
      <alignment horizontal="center" vertical="top" wrapText="1"/>
    </xf>
    <xf numFmtId="0" fontId="45" fillId="4" borderId="14" xfId="0" applyFont="1" applyFill="1" applyBorder="1" applyAlignment="1">
      <alignment horizontal="center" vertical="top" wrapText="1"/>
    </xf>
    <xf numFmtId="0" fontId="45" fillId="4" borderId="46" xfId="0" applyFont="1" applyFill="1" applyBorder="1" applyAlignment="1">
      <alignment horizontal="center" vertical="top" wrapText="1"/>
    </xf>
    <xf numFmtId="0" fontId="45" fillId="4" borderId="45" xfId="0" applyFont="1" applyFill="1" applyBorder="1" applyAlignment="1">
      <alignment horizontal="center" vertical="top"/>
    </xf>
    <xf numFmtId="0" fontId="45" fillId="4" borderId="14" xfId="0" applyFont="1" applyFill="1" applyBorder="1" applyAlignment="1">
      <alignment horizontal="center" vertical="top"/>
    </xf>
    <xf numFmtId="0" fontId="45" fillId="4" borderId="46" xfId="0" applyFont="1" applyFill="1" applyBorder="1" applyAlignment="1">
      <alignment horizontal="center" vertical="top"/>
    </xf>
    <xf numFmtId="0" fontId="47" fillId="4" borderId="78" xfId="0" applyFont="1" applyFill="1" applyBorder="1" applyAlignment="1">
      <alignment horizontal="left" vertical="center" wrapText="1"/>
    </xf>
    <xf numFmtId="0" fontId="47" fillId="4" borderId="55" xfId="0" applyFont="1" applyFill="1" applyBorder="1" applyAlignment="1">
      <alignment horizontal="center" vertical="top" wrapText="1"/>
    </xf>
    <xf numFmtId="0" fontId="47" fillId="4" borderId="19" xfId="0" applyFont="1" applyFill="1" applyBorder="1" applyAlignment="1">
      <alignment horizontal="center" vertical="top" wrapText="1"/>
    </xf>
    <xf numFmtId="0" fontId="47" fillId="4" borderId="50" xfId="0" applyFont="1" applyFill="1" applyBorder="1" applyAlignment="1">
      <alignment horizontal="center" vertical="top" wrapText="1"/>
    </xf>
    <xf numFmtId="0" fontId="47" fillId="4" borderId="55" xfId="0" applyFont="1" applyFill="1" applyBorder="1" applyAlignment="1">
      <alignment horizontal="left" vertical="top" wrapText="1" indent="1"/>
    </xf>
    <xf numFmtId="0" fontId="47" fillId="4" borderId="19" xfId="0" applyFont="1" applyFill="1" applyBorder="1" applyAlignment="1">
      <alignment horizontal="left" vertical="top" wrapText="1" indent="1"/>
    </xf>
    <xf numFmtId="0" fontId="47" fillId="4" borderId="50" xfId="0" applyFont="1" applyFill="1" applyBorder="1" applyAlignment="1">
      <alignment horizontal="left" vertical="top" wrapText="1" indent="1"/>
    </xf>
    <xf numFmtId="0" fontId="11" fillId="0" borderId="67" xfId="0" applyFont="1" applyFill="1" applyBorder="1" applyAlignment="1">
      <alignment horizontal="center" vertical="top" wrapText="1"/>
    </xf>
    <xf numFmtId="0" fontId="11" fillId="0" borderId="70" xfId="0" applyFont="1" applyFill="1" applyBorder="1" applyAlignment="1">
      <alignment horizontal="center" vertical="top" wrapText="1"/>
    </xf>
    <xf numFmtId="0" fontId="40" fillId="0" borderId="8" xfId="0" applyFont="1" applyFill="1" applyBorder="1" applyAlignment="1">
      <alignment horizontal="left" vertical="top"/>
    </xf>
    <xf numFmtId="0" fontId="41" fillId="4" borderId="40" xfId="0" applyFont="1" applyFill="1" applyBorder="1" applyAlignment="1">
      <alignment horizontal="left" vertical="top"/>
    </xf>
    <xf numFmtId="0" fontId="47" fillId="4" borderId="55" xfId="0" applyFont="1" applyFill="1" applyBorder="1" applyAlignment="1">
      <alignment horizontal="left" vertical="top" wrapText="1"/>
    </xf>
    <xf numFmtId="0" fontId="47" fillId="4" borderId="19" xfId="0" applyFont="1" applyFill="1" applyBorder="1" applyAlignment="1">
      <alignment horizontal="left" vertical="top" wrapText="1"/>
    </xf>
    <xf numFmtId="0" fontId="47" fillId="4" borderId="50" xfId="0" applyFont="1" applyFill="1" applyBorder="1" applyAlignment="1">
      <alignment horizontal="left" vertical="top" wrapText="1"/>
    </xf>
    <xf numFmtId="0" fontId="47" fillId="4" borderId="55" xfId="0" applyFont="1" applyFill="1" applyBorder="1" applyAlignment="1">
      <alignment horizontal="left" vertical="top" wrapText="1" indent="2"/>
    </xf>
    <xf numFmtId="0" fontId="47" fillId="4" borderId="19" xfId="0" applyFont="1" applyFill="1" applyBorder="1" applyAlignment="1">
      <alignment horizontal="left" vertical="top" wrapText="1" indent="2"/>
    </xf>
    <xf numFmtId="0" fontId="47" fillId="4" borderId="50" xfId="0" applyFont="1" applyFill="1" applyBorder="1" applyAlignment="1">
      <alignment horizontal="left" vertical="top" wrapText="1" indent="2"/>
    </xf>
    <xf numFmtId="0" fontId="47" fillId="4" borderId="9" xfId="0" applyFont="1" applyFill="1" applyBorder="1" applyAlignment="1">
      <alignment horizontal="left" vertical="center" wrapText="1" indent="1"/>
    </xf>
    <xf numFmtId="0" fontId="47" fillId="4" borderId="10" xfId="0" applyFont="1" applyFill="1" applyBorder="1" applyAlignment="1">
      <alignment horizontal="left" vertical="center" wrapText="1" indent="1"/>
    </xf>
    <xf numFmtId="0" fontId="45" fillId="4" borderId="84" xfId="0" applyFont="1" applyFill="1" applyBorder="1" applyAlignment="1">
      <alignment horizontal="center" vertical="top"/>
    </xf>
    <xf numFmtId="0" fontId="45" fillId="4" borderId="29" xfId="0" applyFont="1" applyFill="1" applyBorder="1" applyAlignment="1">
      <alignment horizontal="center" vertical="top"/>
    </xf>
    <xf numFmtId="0" fontId="45" fillId="4" borderId="67" xfId="0" applyFont="1" applyFill="1" applyBorder="1" applyAlignment="1">
      <alignment horizontal="center" vertical="top"/>
    </xf>
    <xf numFmtId="1" fontId="61" fillId="4" borderId="11" xfId="0" applyNumberFormat="1" applyFont="1" applyFill="1" applyBorder="1" applyAlignment="1">
      <alignment horizontal="left" vertical="center" indent="1" shrinkToFit="1"/>
    </xf>
    <xf numFmtId="1" fontId="61" fillId="4" borderId="12" xfId="0" applyNumberFormat="1" applyFont="1" applyFill="1" applyBorder="1" applyAlignment="1">
      <alignment horizontal="left" vertical="center" indent="1" shrinkToFit="1"/>
    </xf>
    <xf numFmtId="1" fontId="61" fillId="4" borderId="1" xfId="0" applyNumberFormat="1" applyFont="1" applyFill="1" applyBorder="1" applyAlignment="1">
      <alignment horizontal="left" vertical="center" indent="1" shrinkToFit="1"/>
    </xf>
    <xf numFmtId="1" fontId="61" fillId="4" borderId="11" xfId="0" applyNumberFormat="1" applyFont="1" applyFill="1" applyBorder="1" applyAlignment="1">
      <alignment horizontal="right" vertical="center" indent="1" shrinkToFit="1"/>
    </xf>
    <xf numFmtId="1" fontId="61" fillId="4" borderId="12" xfId="0" applyNumberFormat="1" applyFont="1" applyFill="1" applyBorder="1" applyAlignment="1">
      <alignment horizontal="right" vertical="center" indent="1" shrinkToFit="1"/>
    </xf>
    <xf numFmtId="1" fontId="61" fillId="4" borderId="1" xfId="0" applyNumberFormat="1" applyFont="1" applyFill="1" applyBorder="1" applyAlignment="1">
      <alignment horizontal="right" vertical="center" indent="1" shrinkToFit="1"/>
    </xf>
    <xf numFmtId="0" fontId="60" fillId="4" borderId="7" xfId="0" applyFont="1" applyFill="1" applyBorder="1" applyAlignment="1">
      <alignment horizontal="left" vertical="center" wrapText="1" indent="1"/>
    </xf>
    <xf numFmtId="0" fontId="60" fillId="4" borderId="8" xfId="0" applyFont="1" applyFill="1" applyBorder="1" applyAlignment="1">
      <alignment horizontal="left" vertical="center" wrapText="1" indent="1"/>
    </xf>
    <xf numFmtId="0" fontId="60" fillId="4" borderId="9" xfId="0" applyFont="1" applyFill="1" applyBorder="1" applyAlignment="1">
      <alignment horizontal="left" vertical="center" wrapText="1" indent="1"/>
    </xf>
    <xf numFmtId="0" fontId="60" fillId="4" borderId="10" xfId="0" applyFont="1" applyFill="1" applyBorder="1" applyAlignment="1">
      <alignment horizontal="left" vertical="center" wrapText="1" indent="1"/>
    </xf>
    <xf numFmtId="0" fontId="77" fillId="0" borderId="59" xfId="0" applyFont="1" applyFill="1" applyBorder="1" applyAlignment="1">
      <alignment horizontal="center" vertical="top"/>
    </xf>
    <xf numFmtId="0" fontId="77" fillId="0" borderId="17" xfId="0" applyFont="1" applyFill="1" applyBorder="1" applyAlignment="1">
      <alignment horizontal="center" vertical="top"/>
    </xf>
    <xf numFmtId="0" fontId="77" fillId="0" borderId="60" xfId="0" applyFont="1" applyFill="1" applyBorder="1" applyAlignment="1">
      <alignment horizontal="center" vertical="top"/>
    </xf>
    <xf numFmtId="0" fontId="77" fillId="0" borderId="59" xfId="0" applyFont="1" applyFill="1" applyBorder="1" applyAlignment="1">
      <alignment horizontal="left" vertical="top"/>
    </xf>
    <xf numFmtId="0" fontId="77" fillId="0" borderId="17" xfId="0" applyFont="1" applyFill="1" applyBorder="1" applyAlignment="1">
      <alignment horizontal="left" vertical="top"/>
    </xf>
    <xf numFmtId="0" fontId="77" fillId="0" borderId="18" xfId="0" applyFont="1" applyFill="1" applyBorder="1" applyAlignment="1">
      <alignment horizontal="left" vertical="top"/>
    </xf>
    <xf numFmtId="0" fontId="77" fillId="0" borderId="59" xfId="0" applyFont="1" applyFill="1" applyBorder="1" applyAlignment="1">
      <alignment horizontal="left" vertical="top" wrapText="1" shrinkToFit="1"/>
    </xf>
    <xf numFmtId="0" fontId="77" fillId="0" borderId="17" xfId="0" applyFont="1" applyFill="1" applyBorder="1" applyAlignment="1">
      <alignment horizontal="left" vertical="top" wrapText="1" shrinkToFit="1"/>
    </xf>
    <xf numFmtId="0" fontId="77" fillId="0" borderId="18" xfId="0" applyFont="1" applyFill="1" applyBorder="1" applyAlignment="1">
      <alignment horizontal="left" vertical="top" wrapText="1" shrinkToFit="1"/>
    </xf>
    <xf numFmtId="164" fontId="150" fillId="0" borderId="30" xfId="0" applyNumberFormat="1" applyFont="1" applyFill="1" applyBorder="1" applyAlignment="1">
      <alignment horizontal="center" vertical="center"/>
    </xf>
    <xf numFmtId="164" fontId="150" fillId="0" borderId="67" xfId="0" applyNumberFormat="1" applyFont="1" applyFill="1" applyBorder="1" applyAlignment="1">
      <alignment horizontal="center" vertical="center"/>
    </xf>
    <xf numFmtId="164" fontId="150" fillId="0" borderId="91" xfId="0" applyNumberFormat="1" applyFont="1" applyFill="1" applyBorder="1" applyAlignment="1">
      <alignment horizontal="center" vertical="center"/>
    </xf>
    <xf numFmtId="164" fontId="150" fillId="0" borderId="41" xfId="0" applyNumberFormat="1" applyFont="1" applyFill="1" applyBorder="1" applyAlignment="1">
      <alignment horizontal="center" vertical="center"/>
    </xf>
    <xf numFmtId="0" fontId="77" fillId="0" borderId="82" xfId="0" applyFont="1" applyFill="1" applyBorder="1" applyAlignment="1">
      <alignment horizontal="left" vertical="top"/>
    </xf>
    <xf numFmtId="0" fontId="77" fillId="0" borderId="83" xfId="0" applyFont="1" applyFill="1" applyBorder="1" applyAlignment="1">
      <alignment horizontal="left" vertical="top"/>
    </xf>
    <xf numFmtId="0" fontId="77" fillId="0" borderId="90" xfId="0" applyFont="1" applyFill="1" applyBorder="1" applyAlignment="1">
      <alignment horizontal="left" vertical="top"/>
    </xf>
  </cellXfs>
  <cellStyles count="14">
    <cellStyle name="Comma" xfId="13" builtinId="3"/>
    <cellStyle name="Normal" xfId="0" builtinId="0"/>
    <cellStyle name="Normal 10" xfId="7"/>
    <cellStyle name="Normal 2" xfId="1"/>
    <cellStyle name="Normal 2 2" xfId="5"/>
    <cellStyle name="Normal 3" xfId="2"/>
    <cellStyle name="Normal 3 2" xfId="10"/>
    <cellStyle name="Normal 3 3" xfId="11"/>
    <cellStyle name="Normal 4" xfId="3"/>
    <cellStyle name="Normal 4 2" xfId="4"/>
    <cellStyle name="Normal 5" xfId="6"/>
    <cellStyle name="Normal 6" xfId="8"/>
    <cellStyle name="Normal 7" xfId="9"/>
    <cellStyle name="Normal 8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1"/>
  <sheetViews>
    <sheetView view="pageBreakPreview" zoomScale="10" zoomScaleSheetLayoutView="10" workbookViewId="0">
      <selection activeCell="I16" sqref="I16"/>
    </sheetView>
  </sheetViews>
  <sheetFormatPr defaultRowHeight="25.5"/>
  <cols>
    <col min="1" max="1" width="43.83203125" style="84" customWidth="1"/>
    <col min="2" max="2" width="254.83203125" style="42" customWidth="1"/>
    <col min="3" max="3" width="4" style="42" hidden="1" customWidth="1"/>
    <col min="4" max="7" width="255.83203125" style="42" hidden="1" customWidth="1"/>
    <col min="8" max="8" width="234.1640625" style="42" hidden="1" customWidth="1"/>
    <col min="9" max="9" width="254.1640625" style="42" customWidth="1"/>
    <col min="10" max="10" width="255.6640625" style="42" hidden="1" customWidth="1"/>
    <col min="11" max="11" width="163.1640625" style="42" hidden="1" customWidth="1"/>
    <col min="12" max="12" width="155.6640625" style="42" hidden="1" customWidth="1"/>
    <col min="13" max="13" width="154.83203125" style="42" hidden="1" customWidth="1"/>
    <col min="14" max="14" width="98.83203125" style="42" customWidth="1"/>
    <col min="15" max="15" width="9.33203125" style="42"/>
    <col min="16" max="16" width="1.83203125" style="42" customWidth="1"/>
    <col min="17" max="101" width="9.33203125" style="42" customWidth="1"/>
    <col min="102" max="102" width="14.5" style="42" customWidth="1"/>
    <col min="103" max="103" width="26.6640625" style="42" customWidth="1"/>
    <col min="104" max="104" width="24.33203125" style="42" customWidth="1"/>
    <col min="105" max="16384" width="9.33203125" style="42"/>
  </cols>
  <sheetData>
    <row r="1" spans="1:104" ht="120.75">
      <c r="A1" s="685" t="s">
        <v>409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5"/>
    </row>
    <row r="2" spans="1:104" ht="120.75">
      <c r="A2" s="685" t="s">
        <v>536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7"/>
    </row>
    <row r="3" spans="1:104" ht="159" customHeight="1">
      <c r="A3" s="685" t="s">
        <v>1109</v>
      </c>
      <c r="B3" s="685"/>
      <c r="C3" s="685"/>
      <c r="D3" s="685"/>
      <c r="E3" s="685"/>
      <c r="F3" s="685"/>
      <c r="G3" s="685"/>
      <c r="H3" s="685"/>
      <c r="I3" s="685"/>
      <c r="J3" s="685"/>
      <c r="K3" s="685"/>
      <c r="L3" s="685"/>
      <c r="M3" s="685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7"/>
    </row>
    <row r="4" spans="1:104" ht="21" hidden="1" customHeight="1" thickBot="1">
      <c r="A4" s="686"/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6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9"/>
    </row>
    <row r="5" spans="1:104" ht="408.75" customHeight="1">
      <c r="A5" s="625" t="s">
        <v>0</v>
      </c>
      <c r="B5" s="684" t="s">
        <v>434</v>
      </c>
      <c r="C5" s="684"/>
      <c r="D5" s="626" t="s">
        <v>503</v>
      </c>
      <c r="E5" s="626" t="s">
        <v>504</v>
      </c>
      <c r="F5" s="626" t="s">
        <v>7</v>
      </c>
      <c r="G5" s="626" t="s">
        <v>1106</v>
      </c>
      <c r="H5" s="626" t="s">
        <v>1105</v>
      </c>
      <c r="I5" s="626" t="s">
        <v>1107</v>
      </c>
      <c r="J5" s="626" t="s">
        <v>499</v>
      </c>
      <c r="K5" s="626" t="s">
        <v>498</v>
      </c>
      <c r="L5" s="626" t="s">
        <v>540</v>
      </c>
      <c r="M5" s="626" t="s">
        <v>541</v>
      </c>
      <c r="N5" s="63"/>
      <c r="O5" s="63"/>
      <c r="P5" s="63"/>
      <c r="CZ5" s="79"/>
    </row>
    <row r="6" spans="1:104" s="634" customFormat="1" ht="119.25">
      <c r="A6" s="628">
        <v>1</v>
      </c>
      <c r="B6" s="629" t="s">
        <v>435</v>
      </c>
      <c r="C6" s="629"/>
      <c r="D6" s="630">
        <f>'ABEOKUTA NORTH'!CM33</f>
        <v>27701</v>
      </c>
      <c r="E6" s="631" t="s">
        <v>502</v>
      </c>
      <c r="F6" s="631"/>
      <c r="G6" s="631"/>
      <c r="H6" s="632"/>
      <c r="I6" s="630">
        <f>'ABEOKUTA NORTH NEW'!B42</f>
        <v>27</v>
      </c>
      <c r="J6" s="630" t="e">
        <f>'ABEOKUTA NORTH NEW'!#REF!</f>
        <v>#REF!</v>
      </c>
      <c r="K6" s="630" t="e">
        <f>'ABEOKUTA NORTH NEW'!#REF!</f>
        <v>#REF!</v>
      </c>
      <c r="L6" s="630" t="e">
        <f>'ABEOKUTA NORTH NEW'!#REF!</f>
        <v>#REF!</v>
      </c>
      <c r="M6" s="630" t="e">
        <f>'ABEOKUTA NORTH NEW'!#REF!</f>
        <v>#REF!</v>
      </c>
      <c r="CZ6" s="635"/>
    </row>
    <row r="7" spans="1:104" s="634" customFormat="1" ht="119.25">
      <c r="A7" s="628">
        <v>2</v>
      </c>
      <c r="B7" s="629" t="s">
        <v>436</v>
      </c>
      <c r="C7" s="629"/>
      <c r="D7" s="630">
        <f>'ABEOKUTA SOUTH'!CP47-E7</f>
        <v>0</v>
      </c>
      <c r="E7" s="630">
        <f>'ABEOKUTA SOUTH'!CP46</f>
        <v>0</v>
      </c>
      <c r="F7" s="630"/>
      <c r="G7" s="630"/>
      <c r="H7" s="630"/>
      <c r="I7" s="630">
        <f>'ABEOKUTA SOUTH NEW'!B49</f>
        <v>40</v>
      </c>
      <c r="J7" s="630" t="e">
        <f>'ABEOKUTA SOUTH NEW'!C49</f>
        <v>#REF!</v>
      </c>
      <c r="K7" s="630" t="e">
        <f>'ABEOKUTA SOUTH NEW'!#REF!</f>
        <v>#REF!</v>
      </c>
      <c r="L7" s="630" t="e">
        <f>'ABEOKUTA SOUTH NEW'!C49</f>
        <v>#REF!</v>
      </c>
      <c r="M7" s="630" t="e">
        <f>'ABEOKUTA SOUTH NEW'!#REF!</f>
        <v>#REF!</v>
      </c>
      <c r="CZ7" s="635"/>
    </row>
    <row r="8" spans="1:104" s="634" customFormat="1" ht="119.25">
      <c r="A8" s="628">
        <v>3</v>
      </c>
      <c r="B8" s="629" t="s">
        <v>437</v>
      </c>
      <c r="C8" s="629"/>
      <c r="D8" s="630" t="e">
        <f>#REF!-E8</f>
        <v>#REF!</v>
      </c>
      <c r="E8" s="630" t="e">
        <f>#REF!</f>
        <v>#REF!</v>
      </c>
      <c r="F8" s="630"/>
      <c r="G8" s="630"/>
      <c r="H8" s="630"/>
      <c r="I8" s="630">
        <f>'ADO ODO JUNIOR'!A27+'ADO ODO SENIOR'!A27+'ADO ODO COMBINED'!A26</f>
        <v>53</v>
      </c>
      <c r="J8" s="633"/>
      <c r="K8" s="633"/>
      <c r="L8" s="630"/>
      <c r="M8" s="630"/>
      <c r="CZ8" s="635"/>
    </row>
    <row r="9" spans="1:104" s="634" customFormat="1" ht="119.25">
      <c r="A9" s="628">
        <v>4</v>
      </c>
      <c r="B9" s="629" t="s">
        <v>438</v>
      </c>
      <c r="C9" s="629"/>
      <c r="D9" s="630">
        <f>EWEKORO!CM20-E9</f>
        <v>13111</v>
      </c>
      <c r="E9" s="630">
        <f>EWEKORO!CM19</f>
        <v>233</v>
      </c>
      <c r="F9" s="630"/>
      <c r="G9" s="630"/>
      <c r="H9" s="630"/>
      <c r="I9" s="630">
        <f>'EWEKORO NEW'!B22</f>
        <v>14</v>
      </c>
      <c r="J9" s="630">
        <f>'EWEKORO NEW'!C22</f>
        <v>9</v>
      </c>
      <c r="K9" s="630">
        <f>'EWEKORO NEW'!D22</f>
        <v>5</v>
      </c>
      <c r="L9" s="630">
        <f>'EWEKORO NEW'!C22</f>
        <v>9</v>
      </c>
      <c r="M9" s="630">
        <f>'EWEKORO NEW'!D22</f>
        <v>5</v>
      </c>
      <c r="CZ9" s="635"/>
    </row>
    <row r="10" spans="1:104" s="634" customFormat="1" ht="119.25">
      <c r="A10" s="628">
        <v>5</v>
      </c>
      <c r="B10" s="629" t="s">
        <v>439</v>
      </c>
      <c r="C10" s="629"/>
      <c r="D10" s="630" t="e">
        <f>Ifo!#REF!</f>
        <v>#REF!</v>
      </c>
      <c r="E10" s="631" t="s">
        <v>502</v>
      </c>
      <c r="F10" s="631"/>
      <c r="G10" s="631"/>
      <c r="H10" s="631"/>
      <c r="I10" s="630">
        <f>'Ifo new'!A43</f>
        <v>31</v>
      </c>
      <c r="J10" s="630" t="e">
        <f>'Ifo new'!B43</f>
        <v>#REF!</v>
      </c>
      <c r="K10" s="630" t="e">
        <f>'Ifo new'!C43</f>
        <v>#REF!</v>
      </c>
      <c r="L10" s="630" t="e">
        <f>'Ifo new'!B43</f>
        <v>#REF!</v>
      </c>
      <c r="M10" s="630" t="e">
        <f>'Ifo new'!#REF!</f>
        <v>#REF!</v>
      </c>
      <c r="CZ10" s="635"/>
    </row>
    <row r="11" spans="1:104" s="634" customFormat="1" ht="119.25">
      <c r="A11" s="628">
        <v>6</v>
      </c>
      <c r="B11" s="629" t="s">
        <v>440</v>
      </c>
      <c r="C11" s="629"/>
      <c r="D11" s="630">
        <f>'Ijebu East'!CM25</f>
        <v>0</v>
      </c>
      <c r="E11" s="631" t="s">
        <v>502</v>
      </c>
      <c r="F11" s="631"/>
      <c r="G11" s="631"/>
      <c r="H11" s="631"/>
      <c r="I11" s="630">
        <f>'Ijebu East New'!A29</f>
        <v>19</v>
      </c>
      <c r="J11" s="630">
        <f>'Ijebu East New'!B29</f>
        <v>0</v>
      </c>
      <c r="K11" s="630" t="e">
        <f>'Ijebu East New'!#REF!</f>
        <v>#REF!</v>
      </c>
      <c r="L11" s="630">
        <f>'Ijebu East New'!B29</f>
        <v>0</v>
      </c>
      <c r="M11" s="630" t="e">
        <f>'Ijebu East New'!#REF!</f>
        <v>#REF!</v>
      </c>
      <c r="CZ11" s="635"/>
    </row>
    <row r="12" spans="1:104" s="634" customFormat="1" ht="119.25">
      <c r="A12" s="628">
        <v>7</v>
      </c>
      <c r="B12" s="629" t="s">
        <v>441</v>
      </c>
      <c r="C12" s="629"/>
      <c r="D12" s="630">
        <f>'Ijebu North EAST'!CV20</f>
        <v>4175</v>
      </c>
      <c r="E12" s="631" t="s">
        <v>502</v>
      </c>
      <c r="F12" s="631"/>
      <c r="G12" s="631"/>
      <c r="H12" s="631"/>
      <c r="I12" s="630">
        <f>'Ijebu North East New'!A20</f>
        <v>14</v>
      </c>
      <c r="J12" s="630">
        <f>'Ijebu North East New'!B20</f>
        <v>0</v>
      </c>
      <c r="K12" s="630" t="e">
        <f>'Ijebu North East New'!#REF!</f>
        <v>#REF!</v>
      </c>
      <c r="L12" s="630">
        <f>'Ijebu North East New'!B20</f>
        <v>0</v>
      </c>
      <c r="M12" s="630" t="e">
        <f>'Ijebu North East New'!#REF!</f>
        <v>#REF!</v>
      </c>
      <c r="CZ12" s="635"/>
    </row>
    <row r="13" spans="1:104" s="634" customFormat="1" ht="119.25">
      <c r="A13" s="628">
        <v>8</v>
      </c>
      <c r="B13" s="629" t="s">
        <v>442</v>
      </c>
      <c r="C13" s="629"/>
      <c r="D13" s="630">
        <f>'Ijebu North'!CD44-E13</f>
        <v>16768</v>
      </c>
      <c r="E13" s="630">
        <f>'Ijebu North'!CD27</f>
        <v>106</v>
      </c>
      <c r="F13" s="630"/>
      <c r="G13" s="630"/>
      <c r="H13" s="630"/>
      <c r="I13" s="630">
        <f>'Ijebu North New'!A49</f>
        <v>36</v>
      </c>
      <c r="J13" s="630">
        <f>'Ijebu North New'!B49</f>
        <v>0</v>
      </c>
      <c r="K13" s="630" t="e">
        <f>'Ijebu North New'!#REF!</f>
        <v>#REF!</v>
      </c>
      <c r="L13" s="630">
        <f>'Ijebu North New'!B49</f>
        <v>0</v>
      </c>
      <c r="M13" s="630" t="e">
        <f>'Ijebu North New'!#REF!</f>
        <v>#REF!</v>
      </c>
      <c r="N13" s="633"/>
      <c r="CZ13" s="635"/>
    </row>
    <row r="14" spans="1:104" s="634" customFormat="1" ht="119.25">
      <c r="A14" s="628">
        <v>9</v>
      </c>
      <c r="B14" s="629" t="s">
        <v>443</v>
      </c>
      <c r="C14" s="629"/>
      <c r="D14" s="630">
        <f>'Ijebu Ode'!CM33-E14</f>
        <v>25755</v>
      </c>
      <c r="E14" s="630">
        <f>'Ijebu Ode'!CM30</f>
        <v>489</v>
      </c>
      <c r="F14" s="630"/>
      <c r="G14" s="630"/>
      <c r="H14" s="630"/>
      <c r="I14" s="630">
        <f>'Ijebu Ode New'!A34</f>
        <v>26</v>
      </c>
      <c r="J14" s="630">
        <f>'Ijebu Ode New'!B49</f>
        <v>0</v>
      </c>
      <c r="K14" s="630" t="e">
        <f>'Ijebu Ode New'!#REF!</f>
        <v>#REF!</v>
      </c>
      <c r="L14" s="630">
        <f>'Ijebu Ode New'!B34</f>
        <v>0</v>
      </c>
      <c r="M14" s="630" t="e">
        <f>'Ijebu Ode New'!#REF!</f>
        <v>#REF!</v>
      </c>
      <c r="CZ14" s="635"/>
    </row>
    <row r="15" spans="1:104" s="634" customFormat="1" ht="119.25">
      <c r="A15" s="628">
        <v>10</v>
      </c>
      <c r="B15" s="629" t="s">
        <v>444</v>
      </c>
      <c r="C15" s="629"/>
      <c r="D15" s="630">
        <f>Ikenne!CM24</f>
        <v>0</v>
      </c>
      <c r="E15" s="631" t="s">
        <v>502</v>
      </c>
      <c r="F15" s="631"/>
      <c r="G15" s="631"/>
      <c r="H15" s="631"/>
      <c r="I15" s="630">
        <f>'Ikenne new'!B27</f>
        <v>18</v>
      </c>
      <c r="J15" s="630">
        <f>'Ikenne new'!C27</f>
        <v>0</v>
      </c>
      <c r="K15" s="630" t="e">
        <f>'Ikenne new'!#REF!</f>
        <v>#REF!</v>
      </c>
      <c r="L15" s="630">
        <f>'Ikenne new'!C27</f>
        <v>0</v>
      </c>
      <c r="M15" s="630" t="e">
        <f>'Ikenne new'!#REF!</f>
        <v>#REF!</v>
      </c>
      <c r="CZ15" s="635"/>
    </row>
    <row r="16" spans="1:104" s="634" customFormat="1" ht="119.25">
      <c r="A16" s="628">
        <v>11</v>
      </c>
      <c r="B16" s="629" t="s">
        <v>445</v>
      </c>
      <c r="C16" s="629"/>
      <c r="D16" s="636">
        <f>'Imeko Afon'!CN55</f>
        <v>6371</v>
      </c>
      <c r="E16" s="631" t="s">
        <v>502</v>
      </c>
      <c r="F16" s="631"/>
      <c r="G16" s="631"/>
      <c r="H16" s="631"/>
      <c r="I16" s="630">
        <f>'Imeko Afon NEW'!B35</f>
        <v>19</v>
      </c>
      <c r="J16" s="630" t="e">
        <f>'Imeko Afon NEW'!#REF!</f>
        <v>#REF!</v>
      </c>
      <c r="K16" s="630" t="e">
        <f>'Imeko Afon NEW'!#REF!</f>
        <v>#REF!</v>
      </c>
      <c r="L16" s="630" t="e">
        <f>'Imeko Afon NEW'!#REF!</f>
        <v>#REF!</v>
      </c>
      <c r="M16" s="630" t="e">
        <f>'Imeko Afon NEW'!#REF!</f>
        <v>#REF!</v>
      </c>
      <c r="CZ16" s="635"/>
    </row>
    <row r="17" spans="1:104" s="634" customFormat="1" ht="119.25">
      <c r="A17" s="628">
        <v>12</v>
      </c>
      <c r="B17" s="629" t="s">
        <v>446</v>
      </c>
      <c r="C17" s="629"/>
      <c r="D17" s="630">
        <f>IPOKIA!CM30</f>
        <v>17807</v>
      </c>
      <c r="E17" s="631" t="s">
        <v>502</v>
      </c>
      <c r="F17" s="631"/>
      <c r="G17" s="631"/>
      <c r="H17" s="631"/>
      <c r="I17" s="630">
        <f>'Ipokia New'!A33</f>
        <v>24</v>
      </c>
      <c r="J17" s="630">
        <f>'Ipokia New'!B33</f>
        <v>0</v>
      </c>
      <c r="K17" s="630" t="e">
        <f>'Ipokia New'!#REF!</f>
        <v>#REF!</v>
      </c>
      <c r="L17" s="630">
        <f>'Ipokia New'!B33</f>
        <v>0</v>
      </c>
      <c r="M17" s="630" t="e">
        <f>'Ipokia New'!#REF!</f>
        <v>#REF!</v>
      </c>
      <c r="CZ17" s="635"/>
    </row>
    <row r="18" spans="1:104" s="634" customFormat="1" ht="119.25">
      <c r="A18" s="628">
        <v>13</v>
      </c>
      <c r="B18" s="629" t="s">
        <v>447</v>
      </c>
      <c r="C18" s="629"/>
      <c r="D18" s="630">
        <f>'Obafemi Owode'!CX29</f>
        <v>0</v>
      </c>
      <c r="E18" s="631" t="s">
        <v>502</v>
      </c>
      <c r="F18" s="631"/>
      <c r="G18" s="631"/>
      <c r="H18" s="631"/>
      <c r="I18" s="630">
        <f>'OBAFEMI NEW'!B33</f>
        <v>23</v>
      </c>
      <c r="J18" s="630" t="e">
        <f>'OBAFEMI NEW'!#REF!</f>
        <v>#REF!</v>
      </c>
      <c r="K18" s="630" t="e">
        <f>'OBAFEMI NEW'!#REF!</f>
        <v>#REF!</v>
      </c>
      <c r="L18" s="630" t="e">
        <f>'OBAFEMI NEW'!#REF!</f>
        <v>#REF!</v>
      </c>
      <c r="M18" s="630" t="e">
        <f>'OBAFEMI NEW'!#REF!</f>
        <v>#REF!</v>
      </c>
      <c r="CZ18" s="635"/>
    </row>
    <row r="19" spans="1:104" s="634" customFormat="1" ht="119.25">
      <c r="A19" s="628">
        <v>14</v>
      </c>
      <c r="B19" s="629" t="s">
        <v>414</v>
      </c>
      <c r="C19" s="629"/>
      <c r="D19" s="630">
        <f>Odeda!CJ25</f>
        <v>0</v>
      </c>
      <c r="E19" s="631" t="s">
        <v>502</v>
      </c>
      <c r="F19" s="631"/>
      <c r="G19" s="631"/>
      <c r="H19" s="631"/>
      <c r="I19" s="630">
        <f>'Odeda new'!B24</f>
        <v>18</v>
      </c>
      <c r="J19" s="630" t="e">
        <f>'Odeda new'!#REF!</f>
        <v>#REF!</v>
      </c>
      <c r="K19" s="630" t="e">
        <f>'Odeda new'!#REF!</f>
        <v>#REF!</v>
      </c>
      <c r="L19" s="630" t="e">
        <f>'Odeda new'!#REF!</f>
        <v>#REF!</v>
      </c>
      <c r="M19" s="630" t="e">
        <f>'Odeda new'!#REF!</f>
        <v>#REF!</v>
      </c>
      <c r="CZ19" s="635"/>
    </row>
    <row r="20" spans="1:104" s="634" customFormat="1" ht="119.25">
      <c r="A20" s="628">
        <v>15</v>
      </c>
      <c r="B20" s="629" t="s">
        <v>415</v>
      </c>
      <c r="C20" s="629"/>
      <c r="D20" s="630">
        <f>ODOGBOLU!CM32</f>
        <v>8515</v>
      </c>
      <c r="E20" s="631" t="s">
        <v>502</v>
      </c>
      <c r="F20" s="631"/>
      <c r="G20" s="631"/>
      <c r="H20" s="631"/>
      <c r="I20" s="630">
        <f>'ODOGBOLU NEW'!A38</f>
        <v>28</v>
      </c>
      <c r="J20" s="630">
        <f>'ODOGBOLU NEW'!B38</f>
        <v>0</v>
      </c>
      <c r="K20" s="630" t="e">
        <f>'ODOGBOLU NEW'!#REF!</f>
        <v>#REF!</v>
      </c>
      <c r="L20" s="630">
        <f>'ODOGBOLU NEW'!B38</f>
        <v>0</v>
      </c>
      <c r="M20" s="630" t="e">
        <f>'ODOGBOLU NEW'!#REF!</f>
        <v>#REF!</v>
      </c>
      <c r="CZ20" s="635"/>
    </row>
    <row r="21" spans="1:104" s="634" customFormat="1" ht="119.25">
      <c r="A21" s="628">
        <v>16</v>
      </c>
      <c r="B21" s="629" t="s">
        <v>448</v>
      </c>
      <c r="C21" s="629"/>
      <c r="D21" s="636">
        <f>'Remo North'!CM16-E21</f>
        <v>3485</v>
      </c>
      <c r="E21" s="636">
        <f>'Remo North'!CM15</f>
        <v>28</v>
      </c>
      <c r="F21" s="636"/>
      <c r="G21" s="636"/>
      <c r="H21" s="636"/>
      <c r="I21" s="630">
        <f>'Remo north new '!B17</f>
        <v>9</v>
      </c>
      <c r="J21" s="630" t="e">
        <f>'Remo north new '!#REF!</f>
        <v>#REF!</v>
      </c>
      <c r="K21" s="630" t="e">
        <f>'Remo north new '!#REF!</f>
        <v>#REF!</v>
      </c>
      <c r="L21" s="630" t="e">
        <f>'Remo north new '!#REF!</f>
        <v>#REF!</v>
      </c>
      <c r="M21" s="630" t="e">
        <f>'Remo north new '!#REF!</f>
        <v>#REF!</v>
      </c>
      <c r="CZ21" s="635"/>
    </row>
    <row r="22" spans="1:104" s="634" customFormat="1" ht="119.25">
      <c r="A22" s="628">
        <v>17</v>
      </c>
      <c r="B22" s="629" t="s">
        <v>449</v>
      </c>
      <c r="C22" s="629"/>
      <c r="D22" s="630">
        <f>Sagamu!CD35</f>
        <v>29003</v>
      </c>
      <c r="E22" s="631" t="s">
        <v>502</v>
      </c>
      <c r="F22" s="631"/>
      <c r="G22" s="631"/>
      <c r="H22" s="631"/>
      <c r="I22" s="630">
        <f>'Sagamu New'!B38</f>
        <v>28</v>
      </c>
      <c r="J22" s="630" t="e">
        <f>'Sagamu New'!#REF!</f>
        <v>#REF!</v>
      </c>
      <c r="K22" s="630" t="e">
        <f>'Sagamu New'!#REF!</f>
        <v>#REF!</v>
      </c>
      <c r="L22" s="630" t="e">
        <f>'Sagamu New'!#REF!</f>
        <v>#REF!</v>
      </c>
      <c r="M22" s="630" t="e">
        <f>'Sagamu New'!#REF!</f>
        <v>#REF!</v>
      </c>
      <c r="CZ22" s="635"/>
    </row>
    <row r="23" spans="1:104" s="634" customFormat="1" ht="119.25">
      <c r="A23" s="628">
        <v>18</v>
      </c>
      <c r="B23" s="629" t="s">
        <v>417</v>
      </c>
      <c r="C23" s="629"/>
      <c r="D23" s="630">
        <f>'OGUN WATERSIDE'!CN55</f>
        <v>6789</v>
      </c>
      <c r="E23" s="631" t="s">
        <v>502</v>
      </c>
      <c r="F23" s="631"/>
      <c r="G23" s="631"/>
      <c r="H23" s="631"/>
      <c r="I23" s="630">
        <f>'OGUN WATERSIDE new'!A36</f>
        <v>20</v>
      </c>
      <c r="J23" s="630">
        <f>'OGUN WATERSIDE new'!B36</f>
        <v>0</v>
      </c>
      <c r="K23" s="630" t="e">
        <f>'OGUN WATERSIDE new'!#REF!</f>
        <v>#REF!</v>
      </c>
      <c r="L23" s="630">
        <f>'OGUN WATERSIDE new'!B36</f>
        <v>0</v>
      </c>
      <c r="M23" s="630" t="e">
        <f>'OGUN WATERSIDE new'!#REF!</f>
        <v>#REF!</v>
      </c>
      <c r="CZ23" s="635"/>
    </row>
    <row r="24" spans="1:104" s="634" customFormat="1" ht="119.25">
      <c r="A24" s="628">
        <v>19</v>
      </c>
      <c r="B24" s="629" t="s">
        <v>450</v>
      </c>
      <c r="C24" s="629"/>
      <c r="D24" s="630">
        <f>'YEWA NORTH'!CJ40-E24</f>
        <v>15782</v>
      </c>
      <c r="E24" s="630">
        <f>'YEWA NORTH'!CJ18</f>
        <v>437</v>
      </c>
      <c r="F24" s="630"/>
      <c r="G24" s="630"/>
      <c r="H24" s="630"/>
      <c r="I24" s="630">
        <f>'YEWA NORTH NEW'!B48</f>
        <v>35</v>
      </c>
      <c r="J24" s="630" t="e">
        <f>'YEWA NORTH NEW'!#REF!</f>
        <v>#REF!</v>
      </c>
      <c r="K24" s="630" t="e">
        <f>'YEWA NORTH NEW'!#REF!</f>
        <v>#REF!</v>
      </c>
      <c r="L24" s="630" t="e">
        <f>'YEWA NORTH NEW'!#REF!</f>
        <v>#REF!</v>
      </c>
      <c r="M24" s="630" t="e">
        <f>'YEWA NORTH NEW'!#REF!</f>
        <v>#REF!</v>
      </c>
      <c r="CZ24" s="635"/>
    </row>
    <row r="25" spans="1:104" s="634" customFormat="1" ht="119.25">
      <c r="A25" s="628">
        <v>20</v>
      </c>
      <c r="B25" s="629" t="s">
        <v>451</v>
      </c>
      <c r="C25" s="629"/>
      <c r="D25" s="630">
        <f>'YEWA SOUTH'!CN51</f>
        <v>22911</v>
      </c>
      <c r="E25" s="631" t="s">
        <v>502</v>
      </c>
      <c r="F25" s="631"/>
      <c r="G25" s="631"/>
      <c r="H25" s="631"/>
      <c r="I25" s="630">
        <f>'Yewa South new'!B41</f>
        <v>28</v>
      </c>
      <c r="J25" s="630">
        <f>'Yewa South new'!C41</f>
        <v>0</v>
      </c>
      <c r="K25" s="630">
        <f>'Yewa South new'!D41</f>
        <v>0</v>
      </c>
      <c r="L25" s="630" t="e">
        <f>'Yewa South new'!#REF!</f>
        <v>#REF!</v>
      </c>
      <c r="M25" s="630" t="e">
        <f>'Yewa South new'!#REF!</f>
        <v>#REF!</v>
      </c>
      <c r="CZ25" s="635"/>
    </row>
    <row r="26" spans="1:104" ht="172.5" customHeight="1">
      <c r="A26" s="220"/>
      <c r="B26" s="627" t="s">
        <v>25</v>
      </c>
      <c r="C26" s="227"/>
      <c r="D26" s="222" t="e">
        <f>SUM(D6:D25)</f>
        <v>#REF!</v>
      </c>
      <c r="E26" s="222" t="e">
        <f t="shared" ref="E26" si="0">SUM(E6:E25)</f>
        <v>#REF!</v>
      </c>
      <c r="F26" s="222"/>
      <c r="G26" s="222"/>
      <c r="H26" s="222"/>
      <c r="I26" s="623">
        <f>SUM(I6:I25)</f>
        <v>510</v>
      </c>
      <c r="J26" s="624" t="e">
        <f>SUM(J6:J25)</f>
        <v>#REF!</v>
      </c>
      <c r="K26" s="624" t="e">
        <f>SUM(K6:K25)</f>
        <v>#REF!</v>
      </c>
      <c r="L26" s="623" t="e">
        <f t="shared" ref="L26:M26" si="1">SUM(L6:L25)</f>
        <v>#REF!</v>
      </c>
      <c r="M26" s="623" t="e">
        <f t="shared" si="1"/>
        <v>#REF!</v>
      </c>
      <c r="CZ26" s="79"/>
    </row>
    <row r="27" spans="1:104" ht="127.5" hidden="1" customHeight="1">
      <c r="A27" s="611"/>
      <c r="B27" s="231"/>
      <c r="C27" s="231"/>
      <c r="D27" s="232"/>
      <c r="E27" s="232"/>
      <c r="F27" s="232"/>
      <c r="G27" s="232"/>
      <c r="H27" s="232"/>
      <c r="I27" s="232"/>
      <c r="J27" s="233"/>
      <c r="K27" s="233"/>
      <c r="L27" s="232"/>
      <c r="M27" s="232"/>
      <c r="CZ27" s="79"/>
    </row>
    <row r="28" spans="1:104">
      <c r="A28" s="80"/>
    </row>
    <row r="29" spans="1:104">
      <c r="A29" s="80"/>
      <c r="D29" s="42" t="e">
        <f>D26*150</f>
        <v>#REF!</v>
      </c>
      <c r="E29" s="42">
        <f>D13*150</f>
        <v>2515200</v>
      </c>
    </row>
    <row r="30" spans="1:104">
      <c r="A30" s="80"/>
      <c r="E30" s="42" t="e">
        <f>E26*1200</f>
        <v>#REF!</v>
      </c>
    </row>
    <row r="31" spans="1:104" ht="26.25" thickBot="1">
      <c r="A31" s="81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</sheetData>
  <mergeCells count="5">
    <mergeCell ref="B5:C5"/>
    <mergeCell ref="A1:M1"/>
    <mergeCell ref="A2:M2"/>
    <mergeCell ref="A3:M3"/>
    <mergeCell ref="A4:M4"/>
  </mergeCells>
  <pageMargins left="0.25" right="0.25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zoomScale="70" zoomScaleNormal="70" workbookViewId="0">
      <selection activeCell="J5" sqref="J5"/>
    </sheetView>
  </sheetViews>
  <sheetFormatPr defaultRowHeight="15.75"/>
  <cols>
    <col min="1" max="1" width="7.33203125" style="637" customWidth="1"/>
    <col min="2" max="2" width="101" style="637" customWidth="1"/>
    <col min="3" max="16384" width="9.33203125" style="637"/>
  </cols>
  <sheetData>
    <row r="1" spans="1:2" ht="28.5" customHeight="1">
      <c r="A1" s="687" t="s">
        <v>1110</v>
      </c>
      <c r="B1" s="687"/>
    </row>
    <row r="2" spans="1:2" ht="26.25" customHeight="1">
      <c r="A2" s="687" t="s">
        <v>1111</v>
      </c>
      <c r="B2" s="687"/>
    </row>
    <row r="3" spans="1:2" ht="28.5" customHeight="1">
      <c r="A3" s="687" t="s">
        <v>1112</v>
      </c>
      <c r="B3" s="687"/>
    </row>
    <row r="5" spans="1:2" ht="31.5" customHeight="1">
      <c r="A5" s="688" t="s">
        <v>614</v>
      </c>
      <c r="B5" s="690" t="s">
        <v>551</v>
      </c>
    </row>
    <row r="6" spans="1:2" ht="26.25" customHeight="1">
      <c r="A6" s="689"/>
      <c r="B6" s="691"/>
    </row>
    <row r="7" spans="1:2" ht="30" customHeight="1">
      <c r="A7" s="638">
        <v>1</v>
      </c>
      <c r="B7" s="639" t="s">
        <v>1113</v>
      </c>
    </row>
    <row r="8" spans="1:2" ht="30" customHeight="1">
      <c r="A8" s="638">
        <v>2</v>
      </c>
      <c r="B8" s="639" t="s">
        <v>1114</v>
      </c>
    </row>
    <row r="9" spans="1:2" ht="30" customHeight="1">
      <c r="A9" s="638">
        <v>3</v>
      </c>
      <c r="B9" s="639" t="s">
        <v>1115</v>
      </c>
    </row>
    <row r="10" spans="1:2" ht="30" customHeight="1">
      <c r="A10" s="638">
        <v>4</v>
      </c>
      <c r="B10" s="639" t="s">
        <v>1116</v>
      </c>
    </row>
    <row r="11" spans="1:2" ht="30" customHeight="1">
      <c r="A11" s="638">
        <v>5</v>
      </c>
      <c r="B11" s="639" t="s">
        <v>1117</v>
      </c>
    </row>
    <row r="12" spans="1:2" ht="30" customHeight="1">
      <c r="A12" s="638">
        <v>6</v>
      </c>
      <c r="B12" s="639" t="s">
        <v>1118</v>
      </c>
    </row>
    <row r="13" spans="1:2" ht="30" customHeight="1">
      <c r="A13" s="638">
        <v>7</v>
      </c>
      <c r="B13" s="639" t="s">
        <v>1119</v>
      </c>
    </row>
    <row r="14" spans="1:2" ht="30" customHeight="1">
      <c r="A14" s="638">
        <v>8</v>
      </c>
      <c r="B14" s="639" t="s">
        <v>1120</v>
      </c>
    </row>
    <row r="15" spans="1:2" ht="30" customHeight="1">
      <c r="A15" s="638">
        <v>9</v>
      </c>
      <c r="B15" s="639" t="s">
        <v>1121</v>
      </c>
    </row>
    <row r="16" spans="1:2" ht="30" customHeight="1">
      <c r="A16" s="638">
        <v>10</v>
      </c>
      <c r="B16" s="640" t="s">
        <v>1122</v>
      </c>
    </row>
    <row r="17" spans="1:2" ht="30" customHeight="1">
      <c r="A17" s="638">
        <v>11</v>
      </c>
      <c r="B17" s="639" t="s">
        <v>1123</v>
      </c>
    </row>
    <row r="18" spans="1:2" ht="30" customHeight="1">
      <c r="A18" s="638">
        <v>12</v>
      </c>
      <c r="B18" s="640" t="s">
        <v>1124</v>
      </c>
    </row>
    <row r="19" spans="1:2" ht="30" customHeight="1">
      <c r="A19" s="638">
        <v>13</v>
      </c>
      <c r="B19" s="639" t="s">
        <v>1125</v>
      </c>
    </row>
    <row r="20" spans="1:2" ht="30" customHeight="1">
      <c r="A20" s="638">
        <v>14</v>
      </c>
      <c r="B20" s="641" t="s">
        <v>1126</v>
      </c>
    </row>
    <row r="21" spans="1:2" ht="30" customHeight="1">
      <c r="A21" s="638">
        <v>15</v>
      </c>
      <c r="B21" s="639" t="s">
        <v>1127</v>
      </c>
    </row>
    <row r="22" spans="1:2" ht="30" customHeight="1">
      <c r="A22" s="638">
        <v>16</v>
      </c>
      <c r="B22" s="641" t="s">
        <v>1128</v>
      </c>
    </row>
    <row r="23" spans="1:2" ht="30" customHeight="1">
      <c r="A23" s="638">
        <v>17</v>
      </c>
      <c r="B23" s="642" t="s">
        <v>1129</v>
      </c>
    </row>
    <row r="24" spans="1:2" ht="30" customHeight="1" thickBot="1">
      <c r="A24" s="643">
        <v>18</v>
      </c>
      <c r="B24" s="644" t="s">
        <v>1130</v>
      </c>
    </row>
    <row r="25" spans="1:2" ht="30" customHeight="1" thickBot="1">
      <c r="A25" s="645"/>
      <c r="B25" s="646"/>
    </row>
    <row r="27" spans="1:2">
      <c r="A27" s="637">
        <f>COUNTA(A7:A24)</f>
        <v>18</v>
      </c>
    </row>
  </sheetData>
  <mergeCells count="5">
    <mergeCell ref="A1:B1"/>
    <mergeCell ref="A2:B2"/>
    <mergeCell ref="A3:B3"/>
    <mergeCell ref="A5:A6"/>
    <mergeCell ref="B5:B6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zoomScale="70" zoomScaleNormal="70" workbookViewId="0">
      <selection activeCell="D4" sqref="D4"/>
    </sheetView>
  </sheetViews>
  <sheetFormatPr defaultRowHeight="15.75"/>
  <cols>
    <col min="1" max="1" width="7.33203125" style="637" customWidth="1"/>
    <col min="2" max="2" width="104.83203125" style="637" customWidth="1"/>
    <col min="3" max="16384" width="9.33203125" style="637"/>
  </cols>
  <sheetData>
    <row r="1" spans="1:2" ht="28.5" customHeight="1">
      <c r="A1" s="687" t="s">
        <v>1110</v>
      </c>
      <c r="B1" s="687"/>
    </row>
    <row r="2" spans="1:2" ht="26.25" customHeight="1">
      <c r="A2" s="687" t="s">
        <v>1111</v>
      </c>
      <c r="B2" s="687"/>
    </row>
    <row r="3" spans="1:2" ht="28.5" customHeight="1">
      <c r="A3" s="687" t="s">
        <v>1112</v>
      </c>
      <c r="B3" s="687"/>
    </row>
    <row r="5" spans="1:2" ht="31.5" customHeight="1">
      <c r="A5" s="688" t="s">
        <v>614</v>
      </c>
      <c r="B5" s="690" t="s">
        <v>551</v>
      </c>
    </row>
    <row r="6" spans="1:2" ht="26.25" customHeight="1">
      <c r="A6" s="689"/>
      <c r="B6" s="691"/>
    </row>
    <row r="7" spans="1:2" ht="30" customHeight="1">
      <c r="A7" s="638">
        <v>1</v>
      </c>
      <c r="B7" s="639" t="s">
        <v>1131</v>
      </c>
    </row>
    <row r="8" spans="1:2" ht="30" customHeight="1">
      <c r="A8" s="638">
        <v>2</v>
      </c>
      <c r="B8" s="639" t="s">
        <v>1132</v>
      </c>
    </row>
    <row r="9" spans="1:2" ht="30" customHeight="1">
      <c r="A9" s="638">
        <v>3</v>
      </c>
      <c r="B9" s="639" t="s">
        <v>1133</v>
      </c>
    </row>
    <row r="10" spans="1:2" ht="30" customHeight="1">
      <c r="A10" s="638">
        <v>4</v>
      </c>
      <c r="B10" s="639" t="s">
        <v>1134</v>
      </c>
    </row>
    <row r="11" spans="1:2" ht="30" customHeight="1">
      <c r="A11" s="638">
        <v>5</v>
      </c>
      <c r="B11" s="639" t="s">
        <v>1135</v>
      </c>
    </row>
    <row r="12" spans="1:2" ht="30" customHeight="1">
      <c r="A12" s="638">
        <v>6</v>
      </c>
      <c r="B12" s="639" t="s">
        <v>1136</v>
      </c>
    </row>
    <row r="13" spans="1:2" ht="30" customHeight="1">
      <c r="A13" s="638">
        <v>7</v>
      </c>
      <c r="B13" s="639" t="s">
        <v>1119</v>
      </c>
    </row>
    <row r="14" spans="1:2" ht="30" customHeight="1">
      <c r="A14" s="638">
        <v>8</v>
      </c>
      <c r="B14" s="639" t="s">
        <v>1137</v>
      </c>
    </row>
    <row r="15" spans="1:2" ht="30" customHeight="1">
      <c r="A15" s="638">
        <v>9</v>
      </c>
      <c r="B15" s="639" t="s">
        <v>1138</v>
      </c>
    </row>
    <row r="16" spans="1:2" ht="30" customHeight="1">
      <c r="A16" s="638">
        <v>10</v>
      </c>
      <c r="B16" s="640" t="s">
        <v>1139</v>
      </c>
    </row>
    <row r="17" spans="1:2" ht="30" customHeight="1">
      <c r="A17" s="638">
        <v>11</v>
      </c>
      <c r="B17" s="639" t="s">
        <v>1140</v>
      </c>
    </row>
    <row r="18" spans="1:2" ht="30" customHeight="1">
      <c r="A18" s="638">
        <v>12</v>
      </c>
      <c r="B18" s="640" t="s">
        <v>1124</v>
      </c>
    </row>
    <row r="19" spans="1:2" ht="30" customHeight="1">
      <c r="A19" s="638">
        <v>13</v>
      </c>
      <c r="B19" s="639" t="s">
        <v>1141</v>
      </c>
    </row>
    <row r="20" spans="1:2" ht="30" customHeight="1">
      <c r="A20" s="638">
        <v>14</v>
      </c>
      <c r="B20" s="641" t="s">
        <v>1142</v>
      </c>
    </row>
    <row r="21" spans="1:2" ht="30" customHeight="1">
      <c r="A21" s="638">
        <v>15</v>
      </c>
      <c r="B21" s="639" t="s">
        <v>1143</v>
      </c>
    </row>
    <row r="22" spans="1:2" ht="30" customHeight="1">
      <c r="A22" s="638">
        <v>16</v>
      </c>
      <c r="B22" s="641" t="s">
        <v>1144</v>
      </c>
    </row>
    <row r="23" spans="1:2" ht="30" customHeight="1">
      <c r="A23" s="638">
        <v>17</v>
      </c>
      <c r="B23" s="642" t="s">
        <v>1145</v>
      </c>
    </row>
    <row r="24" spans="1:2" ht="30" customHeight="1" thickBot="1">
      <c r="A24" s="643">
        <v>18</v>
      </c>
      <c r="B24" s="644" t="s">
        <v>1146</v>
      </c>
    </row>
    <row r="25" spans="1:2" ht="30" customHeight="1" thickBot="1">
      <c r="A25" s="647"/>
      <c r="B25" s="646"/>
    </row>
    <row r="27" spans="1:2">
      <c r="A27" s="637">
        <f>COUNTA(A7:A24)</f>
        <v>18</v>
      </c>
    </row>
  </sheetData>
  <mergeCells count="5">
    <mergeCell ref="A1:B1"/>
    <mergeCell ref="A2:B2"/>
    <mergeCell ref="A3:B3"/>
    <mergeCell ref="A5:A6"/>
    <mergeCell ref="B5:B6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8" zoomScale="70" zoomScaleNormal="70" workbookViewId="0">
      <selection activeCell="C4" sqref="C1:K1048576"/>
    </sheetView>
  </sheetViews>
  <sheetFormatPr defaultRowHeight="15.75"/>
  <cols>
    <col min="1" max="1" width="7.33203125" style="637" customWidth="1"/>
    <col min="2" max="2" width="96.5" style="637" bestFit="1" customWidth="1"/>
    <col min="3" max="16384" width="9.33203125" style="637"/>
  </cols>
  <sheetData>
    <row r="1" spans="1:2" ht="28.5" customHeight="1">
      <c r="A1" s="692" t="s">
        <v>1110</v>
      </c>
      <c r="B1" s="692"/>
    </row>
    <row r="2" spans="1:2" ht="26.25" customHeight="1">
      <c r="A2" s="692" t="s">
        <v>1111</v>
      </c>
      <c r="B2" s="692"/>
    </row>
    <row r="3" spans="1:2" ht="28.5" customHeight="1">
      <c r="A3" s="692" t="s">
        <v>1112</v>
      </c>
      <c r="B3" s="692"/>
    </row>
    <row r="5" spans="1:2" ht="31.5" customHeight="1">
      <c r="A5" s="688" t="s">
        <v>614</v>
      </c>
      <c r="B5" s="690" t="s">
        <v>551</v>
      </c>
    </row>
    <row r="6" spans="1:2" ht="26.25" customHeight="1">
      <c r="A6" s="689"/>
      <c r="B6" s="691"/>
    </row>
    <row r="7" spans="1:2" ht="30" customHeight="1">
      <c r="A7" s="638">
        <v>1</v>
      </c>
      <c r="B7" s="639" t="s">
        <v>1147</v>
      </c>
    </row>
    <row r="8" spans="1:2" ht="30" customHeight="1">
      <c r="A8" s="638">
        <v>2</v>
      </c>
      <c r="B8" s="639" t="s">
        <v>1148</v>
      </c>
    </row>
    <row r="9" spans="1:2" ht="30" customHeight="1">
      <c r="A9" s="638">
        <v>3</v>
      </c>
      <c r="B9" s="639" t="s">
        <v>1149</v>
      </c>
    </row>
    <row r="10" spans="1:2" ht="30" customHeight="1">
      <c r="A10" s="638">
        <v>4</v>
      </c>
      <c r="B10" s="639" t="s">
        <v>1150</v>
      </c>
    </row>
    <row r="11" spans="1:2" ht="30" customHeight="1">
      <c r="A11" s="638">
        <v>5</v>
      </c>
      <c r="B11" s="639" t="s">
        <v>1151</v>
      </c>
    </row>
    <row r="12" spans="1:2" ht="30" customHeight="1">
      <c r="A12" s="638">
        <v>6</v>
      </c>
      <c r="B12" s="639" t="s">
        <v>1152</v>
      </c>
    </row>
    <row r="13" spans="1:2" ht="30" customHeight="1">
      <c r="A13" s="638">
        <v>7</v>
      </c>
      <c r="B13" s="639" t="s">
        <v>1153</v>
      </c>
    </row>
    <row r="14" spans="1:2" ht="30" customHeight="1">
      <c r="A14" s="638">
        <v>8</v>
      </c>
      <c r="B14" s="639" t="s">
        <v>1154</v>
      </c>
    </row>
    <row r="15" spans="1:2" ht="30" customHeight="1">
      <c r="A15" s="638">
        <v>9</v>
      </c>
      <c r="B15" s="639" t="s">
        <v>1155</v>
      </c>
    </row>
    <row r="16" spans="1:2" ht="30" customHeight="1">
      <c r="A16" s="638">
        <v>10</v>
      </c>
      <c r="B16" s="640" t="s">
        <v>1156</v>
      </c>
    </row>
    <row r="17" spans="1:2" ht="30" customHeight="1">
      <c r="A17" s="638">
        <v>11</v>
      </c>
      <c r="B17" s="639" t="s">
        <v>1157</v>
      </c>
    </row>
    <row r="18" spans="1:2" ht="30" customHeight="1">
      <c r="A18" s="638">
        <v>12</v>
      </c>
      <c r="B18" s="640" t="s">
        <v>1158</v>
      </c>
    </row>
    <row r="19" spans="1:2" ht="30" customHeight="1">
      <c r="A19" s="638">
        <v>13</v>
      </c>
      <c r="B19" s="639" t="s">
        <v>1159</v>
      </c>
    </row>
    <row r="20" spans="1:2" ht="30" customHeight="1">
      <c r="A20" s="638">
        <v>14</v>
      </c>
      <c r="B20" s="641" t="s">
        <v>1160</v>
      </c>
    </row>
    <row r="21" spans="1:2" ht="30" customHeight="1">
      <c r="A21" s="638">
        <v>15</v>
      </c>
      <c r="B21" s="639" t="s">
        <v>1161</v>
      </c>
    </row>
    <row r="22" spans="1:2" ht="30" customHeight="1">
      <c r="A22" s="638">
        <v>16</v>
      </c>
      <c r="B22" s="641" t="s">
        <v>1162</v>
      </c>
    </row>
    <row r="23" spans="1:2" ht="30" customHeight="1" thickBot="1">
      <c r="A23" s="643">
        <v>17</v>
      </c>
      <c r="B23" s="648" t="s">
        <v>1163</v>
      </c>
    </row>
    <row r="24" spans="1:2" ht="30" customHeight="1" thickBot="1">
      <c r="A24" s="645"/>
      <c r="B24" s="646"/>
    </row>
    <row r="26" spans="1:2">
      <c r="A26" s="637">
        <f>COUNTA(A7:A23)</f>
        <v>17</v>
      </c>
    </row>
  </sheetData>
  <mergeCells count="5">
    <mergeCell ref="A1:B1"/>
    <mergeCell ref="A2:B2"/>
    <mergeCell ref="A3:B3"/>
    <mergeCell ref="A5:A6"/>
    <mergeCell ref="B5:B6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9"/>
  <sheetViews>
    <sheetView tabSelected="1" view="pageBreakPreview" topLeftCell="B40" zoomScale="80" zoomScaleSheetLayoutView="80" workbookViewId="0">
      <selection activeCell="C44" sqref="C44"/>
    </sheetView>
  </sheetViews>
  <sheetFormatPr defaultRowHeight="15"/>
  <cols>
    <col min="1" max="1" width="4.83203125" style="492" customWidth="1"/>
    <col min="2" max="2" width="6" style="492" customWidth="1"/>
    <col min="3" max="3" width="132.1640625" style="492" customWidth="1"/>
    <col min="4" max="16384" width="9.33203125" style="492"/>
  </cols>
  <sheetData>
    <row r="1" spans="2:3" s="491" customFormat="1" ht="19.5">
      <c r="B1" s="693" t="s">
        <v>843</v>
      </c>
      <c r="C1" s="693"/>
    </row>
    <row r="2" spans="2:3" s="491" customFormat="1" ht="19.5" customHeight="1">
      <c r="B2" s="693" t="s">
        <v>844</v>
      </c>
      <c r="C2" s="693"/>
    </row>
    <row r="3" spans="2:3" ht="19.5">
      <c r="C3" s="649" t="s">
        <v>13</v>
      </c>
    </row>
    <row r="4" spans="2:3" ht="23.25">
      <c r="B4" s="493"/>
      <c r="C4" s="494" t="s">
        <v>599</v>
      </c>
    </row>
    <row r="5" spans="2:3" s="495" customFormat="1" ht="26.25" customHeight="1">
      <c r="B5" s="694" t="s">
        <v>0</v>
      </c>
      <c r="C5" s="694" t="s">
        <v>845</v>
      </c>
    </row>
    <row r="6" spans="2:3" s="495" customFormat="1" ht="108.75" customHeight="1">
      <c r="B6" s="695"/>
      <c r="C6" s="695"/>
    </row>
    <row r="7" spans="2:3" s="499" customFormat="1" ht="21">
      <c r="B7" s="496">
        <v>1</v>
      </c>
      <c r="C7" s="497" t="s">
        <v>846</v>
      </c>
    </row>
    <row r="8" spans="2:3" s="499" customFormat="1" ht="21">
      <c r="B8" s="496">
        <v>2</v>
      </c>
      <c r="C8" s="497" t="s">
        <v>847</v>
      </c>
    </row>
    <row r="9" spans="2:3" s="499" customFormat="1" ht="21">
      <c r="B9" s="496">
        <v>3</v>
      </c>
      <c r="C9" s="497" t="s">
        <v>848</v>
      </c>
    </row>
    <row r="10" spans="2:3" s="499" customFormat="1" ht="21">
      <c r="B10" s="496">
        <v>4</v>
      </c>
      <c r="C10" s="497" t="s">
        <v>849</v>
      </c>
    </row>
    <row r="11" spans="2:3" s="499" customFormat="1" ht="21">
      <c r="B11" s="496">
        <v>5</v>
      </c>
      <c r="C11" s="497" t="s">
        <v>850</v>
      </c>
    </row>
    <row r="12" spans="2:3" s="499" customFormat="1" ht="21">
      <c r="B12" s="496">
        <v>6</v>
      </c>
      <c r="C12" s="497" t="s">
        <v>851</v>
      </c>
    </row>
    <row r="13" spans="2:3" s="499" customFormat="1" ht="21">
      <c r="B13" s="496">
        <v>7</v>
      </c>
      <c r="C13" s="497" t="s">
        <v>852</v>
      </c>
    </row>
    <row r="14" spans="2:3" s="499" customFormat="1" ht="21">
      <c r="B14" s="496">
        <v>8</v>
      </c>
      <c r="C14" s="497" t="s">
        <v>853</v>
      </c>
    </row>
    <row r="15" spans="2:3" s="499" customFormat="1" ht="21">
      <c r="B15" s="496">
        <v>9</v>
      </c>
      <c r="C15" s="497" t="s">
        <v>854</v>
      </c>
    </row>
    <row r="16" spans="2:3" s="499" customFormat="1" ht="21">
      <c r="B16" s="496">
        <v>10</v>
      </c>
      <c r="C16" s="497" t="s">
        <v>855</v>
      </c>
    </row>
    <row r="17" spans="2:4" s="499" customFormat="1" ht="21">
      <c r="B17" s="496">
        <v>11</v>
      </c>
      <c r="C17" s="497" t="s">
        <v>856</v>
      </c>
    </row>
    <row r="18" spans="2:4" s="499" customFormat="1" ht="21">
      <c r="B18" s="496">
        <v>12</v>
      </c>
      <c r="C18" s="497" t="s">
        <v>857</v>
      </c>
    </row>
    <row r="19" spans="2:4" s="499" customFormat="1" ht="21">
      <c r="B19" s="496">
        <v>13</v>
      </c>
      <c r="C19" s="497" t="s">
        <v>858</v>
      </c>
    </row>
    <row r="20" spans="2:4" s="499" customFormat="1" ht="21">
      <c r="B20" s="496">
        <v>14</v>
      </c>
      <c r="C20" s="497" t="s">
        <v>859</v>
      </c>
    </row>
    <row r="21" spans="2:4" s="499" customFormat="1" ht="21">
      <c r="B21" s="496">
        <v>15</v>
      </c>
      <c r="C21" s="497" t="s">
        <v>860</v>
      </c>
    </row>
    <row r="22" spans="2:4" s="499" customFormat="1" ht="21">
      <c r="B22" s="496">
        <v>16</v>
      </c>
      <c r="C22" s="497" t="s">
        <v>861</v>
      </c>
    </row>
    <row r="23" spans="2:4" s="499" customFormat="1" ht="21">
      <c r="B23" s="496">
        <v>17</v>
      </c>
      <c r="C23" s="497" t="s">
        <v>862</v>
      </c>
    </row>
    <row r="24" spans="2:4" s="499" customFormat="1" ht="21">
      <c r="B24" s="496">
        <v>18</v>
      </c>
      <c r="C24" s="497" t="s">
        <v>863</v>
      </c>
    </row>
    <row r="25" spans="2:4" s="499" customFormat="1" ht="21">
      <c r="B25" s="496">
        <v>19</v>
      </c>
      <c r="C25" s="497" t="s">
        <v>864</v>
      </c>
    </row>
    <row r="26" spans="2:4" ht="23.25">
      <c r="B26" s="500"/>
      <c r="C26" s="501" t="s">
        <v>589</v>
      </c>
      <c r="D26" s="502"/>
    </row>
    <row r="27" spans="2:4" ht="21">
      <c r="B27" s="496">
        <v>20</v>
      </c>
      <c r="C27" s="496" t="s">
        <v>846</v>
      </c>
      <c r="D27" s="504"/>
    </row>
    <row r="28" spans="2:4" ht="21">
      <c r="B28" s="496">
        <v>21</v>
      </c>
      <c r="C28" s="496" t="s">
        <v>847</v>
      </c>
      <c r="D28" s="504"/>
    </row>
    <row r="29" spans="2:4" ht="21">
      <c r="B29" s="496">
        <v>22</v>
      </c>
      <c r="C29" s="496" t="s">
        <v>865</v>
      </c>
      <c r="D29" s="504"/>
    </row>
    <row r="30" spans="2:4" ht="21">
      <c r="B30" s="496">
        <v>23</v>
      </c>
      <c r="C30" s="496" t="s">
        <v>848</v>
      </c>
      <c r="D30" s="504"/>
    </row>
    <row r="31" spans="2:4" ht="21">
      <c r="B31" s="496">
        <v>24</v>
      </c>
      <c r="C31" s="496" t="s">
        <v>849</v>
      </c>
      <c r="D31" s="504"/>
    </row>
    <row r="32" spans="2:4" ht="21">
      <c r="B32" s="496">
        <v>25</v>
      </c>
      <c r="C32" s="496" t="s">
        <v>850</v>
      </c>
      <c r="D32" s="504"/>
    </row>
    <row r="33" spans="2:4" ht="21">
      <c r="B33" s="496">
        <v>26</v>
      </c>
      <c r="C33" s="496" t="s">
        <v>851</v>
      </c>
      <c r="D33" s="504"/>
    </row>
    <row r="34" spans="2:4" ht="21">
      <c r="B34" s="496">
        <v>27</v>
      </c>
      <c r="C34" s="496" t="s">
        <v>852</v>
      </c>
      <c r="D34" s="504"/>
    </row>
    <row r="35" spans="2:4" ht="21">
      <c r="B35" s="496">
        <v>28</v>
      </c>
      <c r="C35" s="496" t="s">
        <v>853</v>
      </c>
      <c r="D35" s="504"/>
    </row>
    <row r="36" spans="2:4" ht="21">
      <c r="B36" s="496">
        <v>29</v>
      </c>
      <c r="C36" s="496" t="s">
        <v>866</v>
      </c>
      <c r="D36" s="504"/>
    </row>
    <row r="37" spans="2:4" ht="21">
      <c r="B37" s="496">
        <v>30</v>
      </c>
      <c r="C37" s="496" t="s">
        <v>854</v>
      </c>
      <c r="D37" s="504"/>
    </row>
    <row r="38" spans="2:4" ht="21">
      <c r="B38" s="496">
        <v>31</v>
      </c>
      <c r="C38" s="496" t="s">
        <v>855</v>
      </c>
      <c r="D38" s="504"/>
    </row>
    <row r="39" spans="2:4" ht="21">
      <c r="B39" s="496">
        <v>32</v>
      </c>
      <c r="C39" s="496" t="s">
        <v>856</v>
      </c>
      <c r="D39" s="504"/>
    </row>
    <row r="40" spans="2:4" ht="21">
      <c r="B40" s="496">
        <v>33</v>
      </c>
      <c r="C40" s="496" t="s">
        <v>857</v>
      </c>
      <c r="D40" s="504"/>
    </row>
    <row r="41" spans="2:4" ht="21">
      <c r="B41" s="496">
        <v>34</v>
      </c>
      <c r="C41" s="496" t="s">
        <v>858</v>
      </c>
      <c r="D41" s="504"/>
    </row>
    <row r="42" spans="2:4" ht="21">
      <c r="B42" s="496">
        <v>35</v>
      </c>
      <c r="C42" s="496" t="s">
        <v>859</v>
      </c>
      <c r="D42" s="504"/>
    </row>
    <row r="43" spans="2:4" ht="21">
      <c r="B43" s="496">
        <v>36</v>
      </c>
      <c r="C43" s="496" t="s">
        <v>860</v>
      </c>
      <c r="D43" s="504"/>
    </row>
    <row r="44" spans="2:4" ht="21">
      <c r="B44" s="496">
        <v>37</v>
      </c>
      <c r="C44" s="496" t="s">
        <v>861</v>
      </c>
      <c r="D44" s="504"/>
    </row>
    <row r="45" spans="2:4" ht="21">
      <c r="B45" s="496">
        <v>38</v>
      </c>
      <c r="C45" s="496" t="s">
        <v>862</v>
      </c>
      <c r="D45" s="504"/>
    </row>
    <row r="46" spans="2:4" ht="21">
      <c r="B46" s="496">
        <v>39</v>
      </c>
      <c r="C46" s="496" t="s">
        <v>863</v>
      </c>
      <c r="D46" s="504"/>
    </row>
    <row r="47" spans="2:4" ht="21">
      <c r="B47" s="496">
        <v>40</v>
      </c>
      <c r="C47" s="496" t="s">
        <v>864</v>
      </c>
      <c r="D47" s="504"/>
    </row>
    <row r="48" spans="2:4" ht="33.75" customHeight="1"/>
    <row r="49" spans="2:3" ht="28.5" customHeight="1">
      <c r="B49" s="555">
        <f>COUNTA(B7:B47)</f>
        <v>40</v>
      </c>
      <c r="C49" s="503" t="e">
        <f>COUNTIF(#REF!, "&lt;1001")</f>
        <v>#REF!</v>
      </c>
    </row>
  </sheetData>
  <mergeCells count="4">
    <mergeCell ref="B1:C1"/>
    <mergeCell ref="B2:C2"/>
    <mergeCell ref="B5:B6"/>
    <mergeCell ref="C5:C6"/>
  </mergeCells>
  <pageMargins left="0.17" right="0.17" top="0.22" bottom="0.22" header="0.17" footer="0.17"/>
  <pageSetup scale="56" orientation="landscape" r:id="rId1"/>
  <rowBreaks count="1" manualBreakCount="1">
    <brk id="17" max="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5" sqref="J45"/>
    </sheetView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3" workbookViewId="0">
      <selection activeCell="A39" sqref="A39:B40"/>
    </sheetView>
  </sheetViews>
  <sheetFormatPr defaultRowHeight="17.25"/>
  <cols>
    <col min="1" max="1" width="9.33203125" style="394"/>
    <col min="2" max="2" width="68.83203125" style="395" customWidth="1"/>
    <col min="3" max="16384" width="9.33203125" style="394"/>
  </cols>
  <sheetData>
    <row r="1" spans="1:2">
      <c r="A1" s="696" t="s">
        <v>560</v>
      </c>
      <c r="B1" s="696"/>
    </row>
    <row r="2" spans="1:2">
      <c r="A2" s="696" t="s">
        <v>600</v>
      </c>
      <c r="B2" s="696"/>
    </row>
    <row r="3" spans="1:2">
      <c r="A3" s="696" t="s">
        <v>601</v>
      </c>
      <c r="B3" s="696"/>
    </row>
    <row r="4" spans="1:2" ht="17.25" hidden="1" customHeight="1">
      <c r="A4" s="696"/>
      <c r="B4" s="696"/>
    </row>
    <row r="5" spans="1:2" ht="33.75" customHeight="1">
      <c r="A5" s="699" t="s">
        <v>0</v>
      </c>
      <c r="B5" s="699" t="s">
        <v>551</v>
      </c>
    </row>
    <row r="6" spans="1:2" s="395" customFormat="1">
      <c r="A6" s="699"/>
      <c r="B6" s="699"/>
    </row>
    <row r="7" spans="1:2" s="395" customFormat="1" ht="38.25" customHeight="1">
      <c r="A7" s="697" t="s">
        <v>599</v>
      </c>
      <c r="B7" s="698"/>
    </row>
    <row r="8" spans="1:2" ht="42" customHeight="1">
      <c r="A8" s="423">
        <v>1</v>
      </c>
      <c r="B8" s="425" t="s">
        <v>598</v>
      </c>
    </row>
    <row r="9" spans="1:2" ht="38.25" customHeight="1">
      <c r="A9" s="423">
        <v>2</v>
      </c>
      <c r="B9" s="425" t="s">
        <v>597</v>
      </c>
    </row>
    <row r="10" spans="1:2" ht="38.25" customHeight="1">
      <c r="A10" s="423">
        <v>3</v>
      </c>
      <c r="B10" s="425" t="s">
        <v>596</v>
      </c>
    </row>
    <row r="11" spans="1:2" ht="35.25" customHeight="1">
      <c r="A11" s="423">
        <v>4</v>
      </c>
      <c r="B11" s="425" t="s">
        <v>595</v>
      </c>
    </row>
    <row r="12" spans="1:2" ht="35.25" customHeight="1">
      <c r="A12" s="423">
        <v>5</v>
      </c>
      <c r="B12" s="425" t="s">
        <v>594</v>
      </c>
    </row>
    <row r="13" spans="1:2" ht="35.25" customHeight="1">
      <c r="A13" s="423">
        <v>6</v>
      </c>
      <c r="B13" s="425" t="s">
        <v>593</v>
      </c>
    </row>
    <row r="14" spans="1:2" ht="36.75" customHeight="1">
      <c r="A14" s="423">
        <v>7</v>
      </c>
      <c r="B14" s="425" t="s">
        <v>592</v>
      </c>
    </row>
    <row r="15" spans="1:2" ht="22.5" customHeight="1">
      <c r="A15" s="423">
        <v>8</v>
      </c>
      <c r="B15" s="425" t="s">
        <v>591</v>
      </c>
    </row>
    <row r="16" spans="1:2" ht="35.25" customHeight="1">
      <c r="A16" s="423">
        <v>9</v>
      </c>
      <c r="B16" s="425" t="s">
        <v>590</v>
      </c>
    </row>
    <row r="17" spans="1:2" ht="35.25" customHeight="1" thickBot="1">
      <c r="B17" s="553" t="s">
        <v>421</v>
      </c>
    </row>
    <row r="18" spans="1:2" ht="24.75" customHeight="1" thickTop="1" thickBot="1">
      <c r="B18" s="553" t="s">
        <v>589</v>
      </c>
    </row>
    <row r="19" spans="1:2" ht="40.5" customHeight="1" thickTop="1">
      <c r="A19" s="423">
        <v>10</v>
      </c>
      <c r="B19" s="425" t="s">
        <v>588</v>
      </c>
    </row>
    <row r="20" spans="1:2" ht="35.25" customHeight="1">
      <c r="A20" s="423">
        <v>11</v>
      </c>
      <c r="B20" s="425" t="s">
        <v>587</v>
      </c>
    </row>
    <row r="21" spans="1:2" ht="35.25" customHeight="1">
      <c r="A21" s="423">
        <v>12</v>
      </c>
      <c r="B21" s="425" t="s">
        <v>586</v>
      </c>
    </row>
    <row r="22" spans="1:2" ht="35.25" customHeight="1">
      <c r="A22" s="423">
        <v>13</v>
      </c>
      <c r="B22" s="425" t="s">
        <v>585</v>
      </c>
    </row>
    <row r="23" spans="1:2" ht="35.25" customHeight="1">
      <c r="A23" s="423">
        <v>14</v>
      </c>
      <c r="B23" s="425" t="s">
        <v>584</v>
      </c>
    </row>
    <row r="24" spans="1:2" ht="35.25" customHeight="1">
      <c r="A24" s="423">
        <v>15</v>
      </c>
      <c r="B24" s="425" t="s">
        <v>583</v>
      </c>
    </row>
    <row r="25" spans="1:2" ht="35.25" customHeight="1">
      <c r="A25" s="423">
        <v>16</v>
      </c>
      <c r="B25" s="425" t="s">
        <v>582</v>
      </c>
    </row>
    <row r="26" spans="1:2" ht="35.25" customHeight="1">
      <c r="A26" s="423">
        <v>17</v>
      </c>
      <c r="B26" s="425" t="s">
        <v>581</v>
      </c>
    </row>
    <row r="27" spans="1:2" ht="35.25" customHeight="1">
      <c r="A27" s="423">
        <v>18</v>
      </c>
      <c r="B27" s="425" t="s">
        <v>580</v>
      </c>
    </row>
    <row r="28" spans="1:2" ht="35.25" customHeight="1" thickBot="1">
      <c r="B28" s="553" t="s">
        <v>421</v>
      </c>
    </row>
    <row r="29" spans="1:2" ht="25.5" customHeight="1" thickTop="1">
      <c r="B29" s="554" t="s">
        <v>579</v>
      </c>
    </row>
    <row r="30" spans="1:2" ht="35.25" customHeight="1">
      <c r="A30" s="423">
        <v>19</v>
      </c>
      <c r="B30" s="425" t="s">
        <v>578</v>
      </c>
    </row>
    <row r="31" spans="1:2" ht="26.25" customHeight="1">
      <c r="A31" s="423">
        <v>20</v>
      </c>
      <c r="B31" s="426" t="s">
        <v>577</v>
      </c>
    </row>
    <row r="32" spans="1:2" ht="24" customHeight="1">
      <c r="A32" s="423">
        <v>21</v>
      </c>
      <c r="B32" s="425" t="s">
        <v>576</v>
      </c>
    </row>
    <row r="33" spans="1:6" ht="23.25" customHeight="1">
      <c r="A33" s="423">
        <v>22</v>
      </c>
      <c r="B33" s="425" t="s">
        <v>575</v>
      </c>
    </row>
    <row r="34" spans="1:6" ht="21.75" customHeight="1">
      <c r="A34" s="423">
        <v>23</v>
      </c>
      <c r="B34" s="425" t="s">
        <v>574</v>
      </c>
    </row>
    <row r="35" spans="1:6" ht="35.25" customHeight="1">
      <c r="A35" s="423">
        <v>24</v>
      </c>
      <c r="B35" s="425" t="s">
        <v>573</v>
      </c>
    </row>
    <row r="36" spans="1:6" ht="20.25" customHeight="1">
      <c r="A36" s="423">
        <v>25</v>
      </c>
      <c r="B36" s="425" t="s">
        <v>572</v>
      </c>
    </row>
    <row r="37" spans="1:6" ht="33" customHeight="1">
      <c r="A37" s="423">
        <v>26</v>
      </c>
      <c r="B37" s="425" t="s">
        <v>62</v>
      </c>
    </row>
    <row r="38" spans="1:6">
      <c r="A38" s="423">
        <v>27</v>
      </c>
      <c r="B38" s="425" t="s">
        <v>571</v>
      </c>
    </row>
    <row r="39" spans="1:6" ht="34.5" customHeight="1">
      <c r="A39" s="696"/>
      <c r="B39" s="696"/>
    </row>
    <row r="40" spans="1:6" ht="34.5" customHeight="1">
      <c r="A40" s="696"/>
      <c r="B40" s="696"/>
    </row>
    <row r="42" spans="1:6">
      <c r="B42" s="395">
        <f>COUNTA(A8:A38)</f>
        <v>27</v>
      </c>
    </row>
    <row r="48" spans="1:6">
      <c r="F48" s="424"/>
    </row>
  </sheetData>
  <mergeCells count="9">
    <mergeCell ref="A39:B39"/>
    <mergeCell ref="A40:B40"/>
    <mergeCell ref="A1:B1"/>
    <mergeCell ref="A2:B2"/>
    <mergeCell ref="A3:B3"/>
    <mergeCell ref="A4:B4"/>
    <mergeCell ref="A7:B7"/>
    <mergeCell ref="B5:B6"/>
    <mergeCell ref="A5:A6"/>
  </mergeCells>
  <printOptions gridLines="1"/>
  <pageMargins left="0" right="0" top="0" bottom="0" header="0" footer="0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7"/>
  <sheetViews>
    <sheetView view="pageBreakPreview" topLeftCell="A17" zoomScale="50" zoomScaleNormal="130" zoomScaleSheetLayoutView="50" workbookViewId="0">
      <selection activeCell="F39" sqref="F39"/>
    </sheetView>
  </sheetViews>
  <sheetFormatPr defaultRowHeight="12.75"/>
  <cols>
    <col min="1" max="1" width="10.83203125" customWidth="1"/>
    <col min="6" max="6" width="171.1640625" customWidth="1"/>
    <col min="7" max="42" width="0" hidden="1" customWidth="1"/>
    <col min="43" max="43" width="8.1640625" hidden="1" customWidth="1"/>
    <col min="44" max="44" width="2" hidden="1" customWidth="1"/>
    <col min="45" max="47" width="0" hidden="1" customWidth="1"/>
    <col min="48" max="48" width="7.5" hidden="1" customWidth="1"/>
    <col min="49" max="51" width="0" hidden="1" customWidth="1"/>
    <col min="52" max="52" width="37.6640625" hidden="1" customWidth="1"/>
    <col min="53" max="53" width="15.1640625" hidden="1" customWidth="1"/>
    <col min="54" max="64" width="0" hidden="1" customWidth="1"/>
    <col min="65" max="65" width="9.5" hidden="1" customWidth="1"/>
    <col min="66" max="66" width="0.5" hidden="1" customWidth="1"/>
    <col min="67" max="68" width="9.33203125" hidden="1" customWidth="1"/>
    <col min="69" max="69" width="19" hidden="1" customWidth="1"/>
    <col min="70" max="71" width="0" hidden="1" customWidth="1"/>
    <col min="72" max="72" width="9.33203125" hidden="1" customWidth="1"/>
    <col min="73" max="73" width="9.6640625" hidden="1" customWidth="1"/>
    <col min="74" max="83" width="0" hidden="1" customWidth="1"/>
    <col min="84" max="84" width="26.83203125" hidden="1" customWidth="1"/>
    <col min="85" max="85" width="27.5" customWidth="1"/>
    <col min="86" max="86" width="9.1640625" customWidth="1"/>
    <col min="87" max="87" width="9.33203125" hidden="1" customWidth="1"/>
    <col min="89" max="89" width="1.83203125" customWidth="1"/>
    <col min="90" max="90" width="3.5" customWidth="1"/>
    <col min="92" max="92" width="15.83203125" customWidth="1"/>
    <col min="93" max="93" width="0.33203125" customWidth="1"/>
    <col min="94" max="101" width="0" hidden="1" customWidth="1"/>
    <col min="102" max="102" width="62.33203125" customWidth="1"/>
  </cols>
  <sheetData>
    <row r="1" spans="1:102" ht="45">
      <c r="A1" s="788" t="s">
        <v>409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788"/>
      <c r="BL1" s="788"/>
      <c r="BM1" s="788"/>
      <c r="BN1" s="788"/>
      <c r="BO1" s="788"/>
      <c r="BP1" s="788"/>
      <c r="BQ1" s="788"/>
      <c r="BR1" s="788"/>
      <c r="BS1" s="788"/>
      <c r="BT1" s="788"/>
      <c r="BU1" s="788"/>
      <c r="BV1" s="788"/>
      <c r="BW1" s="788"/>
      <c r="BX1" s="788"/>
      <c r="BY1" s="788"/>
      <c r="BZ1" s="788"/>
      <c r="CA1" s="788"/>
      <c r="CB1" s="788"/>
      <c r="CC1" s="788"/>
      <c r="CD1" s="788"/>
      <c r="CE1" s="788"/>
      <c r="CF1" s="788"/>
      <c r="CG1" s="788"/>
      <c r="CH1" s="788"/>
      <c r="CI1" s="788"/>
      <c r="CJ1" s="788"/>
      <c r="CK1" s="788"/>
      <c r="CL1" s="788"/>
      <c r="CM1" s="788"/>
      <c r="CN1" s="788"/>
      <c r="CO1" s="788"/>
      <c r="CP1" s="788"/>
      <c r="CQ1" s="788"/>
      <c r="CR1" s="788"/>
      <c r="CS1" s="788"/>
      <c r="CT1" s="788"/>
      <c r="CU1" s="788"/>
      <c r="CV1" s="788"/>
      <c r="CW1" s="788"/>
      <c r="CX1" s="788"/>
    </row>
    <row r="2" spans="1:102" ht="45">
      <c r="A2" s="788" t="s">
        <v>410</v>
      </c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8"/>
      <c r="T2" s="788"/>
      <c r="U2" s="788"/>
      <c r="V2" s="788"/>
      <c r="W2" s="788"/>
      <c r="X2" s="788"/>
      <c r="Y2" s="788"/>
      <c r="Z2" s="788"/>
      <c r="AA2" s="788"/>
      <c r="AB2" s="788"/>
      <c r="AC2" s="788"/>
      <c r="AD2" s="788"/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788"/>
      <c r="BL2" s="788"/>
      <c r="BM2" s="788"/>
      <c r="BN2" s="788"/>
      <c r="BO2" s="788"/>
      <c r="BP2" s="788"/>
      <c r="BQ2" s="788"/>
      <c r="BR2" s="788"/>
      <c r="BS2" s="788"/>
      <c r="BT2" s="788"/>
      <c r="BU2" s="788"/>
      <c r="BV2" s="788"/>
      <c r="BW2" s="788"/>
      <c r="BX2" s="788"/>
      <c r="BY2" s="788"/>
      <c r="BZ2" s="788"/>
      <c r="CA2" s="788"/>
      <c r="CB2" s="788"/>
      <c r="CC2" s="788"/>
      <c r="CD2" s="788"/>
      <c r="CE2" s="788"/>
      <c r="CF2" s="788"/>
      <c r="CG2" s="788"/>
      <c r="CH2" s="788"/>
      <c r="CI2" s="788"/>
      <c r="CJ2" s="788"/>
      <c r="CK2" s="788"/>
      <c r="CL2" s="788"/>
      <c r="CM2" s="788"/>
      <c r="CN2" s="788"/>
      <c r="CO2" s="788"/>
      <c r="CP2" s="788"/>
      <c r="CQ2" s="788"/>
      <c r="CR2" s="788"/>
      <c r="CS2" s="788"/>
      <c r="CT2" s="788"/>
      <c r="CU2" s="788"/>
      <c r="CV2" s="788"/>
      <c r="CW2" s="788"/>
      <c r="CX2" s="788"/>
    </row>
    <row r="3" spans="1:102" ht="45">
      <c r="A3" s="788" t="s">
        <v>411</v>
      </c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8"/>
      <c r="M3" s="788"/>
      <c r="N3" s="788"/>
      <c r="O3" s="788"/>
      <c r="P3" s="788"/>
      <c r="Q3" s="788"/>
      <c r="R3" s="788"/>
      <c r="S3" s="788"/>
      <c r="T3" s="788"/>
      <c r="U3" s="788"/>
      <c r="V3" s="788"/>
      <c r="W3" s="788"/>
      <c r="X3" s="788"/>
      <c r="Y3" s="788"/>
      <c r="Z3" s="788"/>
      <c r="AA3" s="788"/>
      <c r="AB3" s="788"/>
      <c r="AC3" s="788"/>
      <c r="AD3" s="788"/>
      <c r="AE3" s="788"/>
      <c r="AF3" s="788"/>
      <c r="AG3" s="788"/>
      <c r="AH3" s="788"/>
      <c r="AI3" s="788"/>
      <c r="AJ3" s="788"/>
      <c r="AK3" s="788"/>
      <c r="AL3" s="788"/>
      <c r="AM3" s="788"/>
      <c r="AN3" s="788"/>
      <c r="AO3" s="788"/>
      <c r="AP3" s="788"/>
      <c r="AQ3" s="788"/>
      <c r="AR3" s="788"/>
      <c r="AS3" s="788"/>
      <c r="AT3" s="788"/>
      <c r="AU3" s="788"/>
      <c r="AV3" s="788"/>
      <c r="AW3" s="788"/>
      <c r="AX3" s="788"/>
      <c r="AY3" s="788"/>
      <c r="AZ3" s="788"/>
      <c r="BA3" s="788"/>
      <c r="BB3" s="788"/>
      <c r="BC3" s="788"/>
      <c r="BD3" s="788"/>
      <c r="BE3" s="788"/>
      <c r="BF3" s="788"/>
      <c r="BG3" s="788"/>
      <c r="BH3" s="788"/>
      <c r="BI3" s="788"/>
      <c r="BJ3" s="788"/>
      <c r="BK3" s="788"/>
      <c r="BL3" s="788"/>
      <c r="BM3" s="788"/>
      <c r="BN3" s="788"/>
      <c r="BO3" s="788"/>
      <c r="BP3" s="788"/>
      <c r="BQ3" s="788"/>
      <c r="BR3" s="788"/>
      <c r="BS3" s="788"/>
      <c r="BT3" s="788"/>
      <c r="BU3" s="788"/>
      <c r="BV3" s="788"/>
      <c r="BW3" s="788"/>
      <c r="BX3" s="788"/>
      <c r="BY3" s="788"/>
      <c r="BZ3" s="788"/>
      <c r="CA3" s="788"/>
      <c r="CB3" s="788"/>
      <c r="CC3" s="788"/>
      <c r="CD3" s="788"/>
      <c r="CE3" s="788"/>
      <c r="CF3" s="788"/>
      <c r="CG3" s="788"/>
      <c r="CH3" s="788"/>
      <c r="CI3" s="788"/>
      <c r="CJ3" s="788"/>
      <c r="CK3" s="788"/>
      <c r="CL3" s="788"/>
      <c r="CM3" s="788"/>
      <c r="CN3" s="788"/>
      <c r="CO3" s="788"/>
      <c r="CP3" s="788"/>
      <c r="CQ3" s="788"/>
      <c r="CR3" s="788"/>
      <c r="CS3" s="788"/>
      <c r="CT3" s="788"/>
      <c r="CU3" s="788"/>
      <c r="CV3" s="788"/>
      <c r="CW3" s="788"/>
      <c r="CX3" s="788"/>
    </row>
    <row r="4" spans="1:102" ht="45">
      <c r="A4" s="788" t="s">
        <v>12</v>
      </c>
      <c r="B4" s="788"/>
      <c r="C4" s="788"/>
      <c r="D4" s="788"/>
      <c r="E4" s="788"/>
      <c r="F4" s="788"/>
      <c r="G4" s="788"/>
      <c r="H4" s="788"/>
      <c r="I4" s="788"/>
      <c r="J4" s="788"/>
      <c r="K4" s="788"/>
      <c r="L4" s="788"/>
      <c r="M4" s="788"/>
      <c r="N4" s="788"/>
      <c r="O4" s="788"/>
      <c r="P4" s="788"/>
      <c r="Q4" s="788"/>
      <c r="R4" s="788"/>
      <c r="S4" s="788"/>
      <c r="T4" s="788"/>
      <c r="U4" s="788"/>
      <c r="V4" s="788"/>
      <c r="W4" s="788"/>
      <c r="X4" s="788"/>
      <c r="Y4" s="788"/>
      <c r="Z4" s="788"/>
      <c r="AA4" s="788"/>
      <c r="AB4" s="788"/>
      <c r="AC4" s="788"/>
      <c r="AD4" s="788"/>
      <c r="AE4" s="788"/>
      <c r="AF4" s="788"/>
      <c r="AG4" s="788"/>
      <c r="AH4" s="788"/>
      <c r="AI4" s="788"/>
      <c r="AJ4" s="788"/>
      <c r="AK4" s="788"/>
      <c r="AL4" s="788"/>
      <c r="AM4" s="788"/>
      <c r="AN4" s="788"/>
      <c r="AO4" s="788"/>
      <c r="AP4" s="788"/>
      <c r="AQ4" s="788"/>
      <c r="AR4" s="788"/>
      <c r="AS4" s="788"/>
      <c r="AT4" s="788"/>
      <c r="AU4" s="788"/>
      <c r="AV4" s="788"/>
      <c r="AW4" s="788"/>
      <c r="AX4" s="788"/>
      <c r="AY4" s="788"/>
      <c r="AZ4" s="788"/>
      <c r="BA4" s="788"/>
      <c r="BB4" s="788"/>
      <c r="BC4" s="788"/>
      <c r="BD4" s="788"/>
      <c r="BE4" s="788"/>
      <c r="BF4" s="788"/>
      <c r="BG4" s="788"/>
      <c r="BH4" s="788"/>
      <c r="BI4" s="788"/>
      <c r="BJ4" s="788"/>
      <c r="BK4" s="788"/>
      <c r="BL4" s="788"/>
      <c r="BM4" s="788"/>
      <c r="BN4" s="788"/>
      <c r="BO4" s="788"/>
      <c r="BP4" s="788"/>
      <c r="BQ4" s="788"/>
      <c r="BR4" s="788"/>
      <c r="BS4" s="788"/>
      <c r="BT4" s="788"/>
      <c r="BU4" s="788"/>
      <c r="BV4" s="788"/>
      <c r="BW4" s="788"/>
      <c r="BX4" s="788"/>
      <c r="BY4" s="788"/>
      <c r="BZ4" s="788"/>
      <c r="CA4" s="788"/>
      <c r="CB4" s="788"/>
      <c r="CC4" s="788"/>
      <c r="CD4" s="788"/>
      <c r="CE4" s="788"/>
      <c r="CF4" s="788"/>
      <c r="CG4" s="788"/>
      <c r="CH4" s="788"/>
      <c r="CI4" s="788"/>
      <c r="CJ4" s="788"/>
      <c r="CK4" s="788"/>
      <c r="CL4" s="788"/>
      <c r="CM4" s="788"/>
      <c r="CN4" s="788"/>
      <c r="CO4" s="788"/>
      <c r="CP4" s="788"/>
      <c r="CQ4" s="788"/>
      <c r="CR4" s="788"/>
      <c r="CS4" s="788"/>
      <c r="CT4" s="788"/>
      <c r="CU4" s="788"/>
      <c r="CV4" s="788"/>
      <c r="CW4" s="788"/>
      <c r="CX4" s="788"/>
    </row>
    <row r="5" spans="1:102" s="1" customFormat="1" ht="26.25">
      <c r="A5" s="712" t="s">
        <v>0</v>
      </c>
      <c r="B5" s="714" t="s">
        <v>511</v>
      </c>
      <c r="C5" s="715"/>
      <c r="D5" s="715"/>
      <c r="E5" s="715"/>
      <c r="F5" s="716"/>
      <c r="G5" s="720" t="s">
        <v>29</v>
      </c>
      <c r="H5" s="721"/>
      <c r="I5" s="722"/>
      <c r="J5" s="720" t="s">
        <v>30</v>
      </c>
      <c r="K5" s="722"/>
      <c r="L5" s="705" t="s">
        <v>1</v>
      </c>
      <c r="M5" s="709"/>
      <c r="N5" s="709"/>
      <c r="O5" s="709"/>
      <c r="P5" s="709"/>
      <c r="Q5" s="709"/>
      <c r="R5" s="709"/>
      <c r="S5" s="706"/>
      <c r="T5" s="705" t="s">
        <v>2</v>
      </c>
      <c r="U5" s="709"/>
      <c r="V5" s="709"/>
      <c r="W5" s="709"/>
      <c r="X5" s="709"/>
      <c r="Y5" s="709"/>
      <c r="Z5" s="709"/>
      <c r="AA5" s="709"/>
      <c r="AB5" s="706"/>
      <c r="AC5" s="705" t="s">
        <v>3</v>
      </c>
      <c r="AD5" s="709"/>
      <c r="AE5" s="709"/>
      <c r="AF5" s="709"/>
      <c r="AG5" s="709"/>
      <c r="AH5" s="709"/>
      <c r="AI5" s="709"/>
      <c r="AJ5" s="706"/>
      <c r="AK5" s="707" t="s">
        <v>406</v>
      </c>
      <c r="AL5" s="710"/>
      <c r="AM5" s="710"/>
      <c r="AN5" s="710"/>
      <c r="AO5" s="710"/>
      <c r="AP5" s="710"/>
      <c r="AQ5" s="710"/>
      <c r="AR5" s="710"/>
      <c r="AS5" s="710"/>
      <c r="AT5" s="710"/>
      <c r="AU5" s="708"/>
      <c r="AV5" s="705" t="s">
        <v>4</v>
      </c>
      <c r="AW5" s="709"/>
      <c r="AX5" s="709"/>
      <c r="AY5" s="709"/>
      <c r="AZ5" s="709"/>
      <c r="BA5" s="706"/>
      <c r="BB5" s="705" t="s">
        <v>5</v>
      </c>
      <c r="BC5" s="709"/>
      <c r="BD5" s="709"/>
      <c r="BE5" s="709"/>
      <c r="BF5" s="709"/>
      <c r="BG5" s="709"/>
      <c r="BH5" s="709"/>
      <c r="BI5" s="709"/>
      <c r="BJ5" s="706"/>
      <c r="BK5" s="705" t="s">
        <v>6</v>
      </c>
      <c r="BL5" s="709"/>
      <c r="BM5" s="709"/>
      <c r="BN5" s="709"/>
      <c r="BO5" s="709"/>
      <c r="BP5" s="709"/>
      <c r="BQ5" s="709"/>
      <c r="BR5" s="709"/>
      <c r="BS5" s="706"/>
      <c r="BT5" s="703" t="s">
        <v>32</v>
      </c>
      <c r="BU5" s="704"/>
      <c r="BV5" s="704"/>
      <c r="BW5" s="704"/>
      <c r="BX5" s="704"/>
      <c r="BY5" s="704"/>
      <c r="BZ5" s="704"/>
      <c r="CA5" s="704"/>
      <c r="CB5" s="704"/>
      <c r="CC5" s="711"/>
      <c r="CD5" s="700"/>
      <c r="CE5" s="701"/>
      <c r="CF5" s="701"/>
      <c r="CG5" s="701"/>
      <c r="CH5" s="701"/>
      <c r="CI5" s="701"/>
      <c r="CJ5" s="701"/>
      <c r="CK5" s="701"/>
      <c r="CL5" s="701"/>
      <c r="CM5" s="701"/>
      <c r="CN5" s="701"/>
      <c r="CO5" s="702"/>
      <c r="CP5" s="703" t="s">
        <v>7</v>
      </c>
      <c r="CQ5" s="704"/>
      <c r="CR5" s="704"/>
      <c r="CS5" s="704"/>
      <c r="CT5" s="704"/>
      <c r="CU5" s="704"/>
      <c r="CV5" s="704"/>
      <c r="CW5" s="704"/>
      <c r="CX5" s="131"/>
    </row>
    <row r="6" spans="1:102" s="1" customFormat="1" ht="160.5" customHeight="1">
      <c r="A6" s="713"/>
      <c r="B6" s="717"/>
      <c r="C6" s="718"/>
      <c r="D6" s="718"/>
      <c r="E6" s="718"/>
      <c r="F6" s="719"/>
      <c r="G6" s="723"/>
      <c r="H6" s="724"/>
      <c r="I6" s="725"/>
      <c r="J6" s="723"/>
      <c r="K6" s="725"/>
      <c r="L6" s="705" t="s">
        <v>8</v>
      </c>
      <c r="M6" s="706"/>
      <c r="N6" s="705" t="s">
        <v>9</v>
      </c>
      <c r="O6" s="706"/>
      <c r="P6" s="707" t="s">
        <v>10</v>
      </c>
      <c r="Q6" s="708"/>
      <c r="R6" s="705" t="s">
        <v>11</v>
      </c>
      <c r="S6" s="706"/>
      <c r="T6" s="705" t="s">
        <v>8</v>
      </c>
      <c r="U6" s="706"/>
      <c r="V6" s="705" t="s">
        <v>9</v>
      </c>
      <c r="W6" s="709"/>
      <c r="X6" s="706"/>
      <c r="Y6" s="707" t="s">
        <v>10</v>
      </c>
      <c r="Z6" s="708"/>
      <c r="AA6" s="705" t="s">
        <v>11</v>
      </c>
      <c r="AB6" s="706"/>
      <c r="AC6" s="705" t="s">
        <v>8</v>
      </c>
      <c r="AD6" s="706"/>
      <c r="AE6" s="705" t="s">
        <v>9</v>
      </c>
      <c r="AF6" s="706"/>
      <c r="AG6" s="736" t="s">
        <v>10</v>
      </c>
      <c r="AH6" s="738"/>
      <c r="AI6" s="705" t="s">
        <v>11</v>
      </c>
      <c r="AJ6" s="706"/>
      <c r="AK6" s="705" t="s">
        <v>8</v>
      </c>
      <c r="AL6" s="706"/>
      <c r="AM6" s="703" t="s">
        <v>9</v>
      </c>
      <c r="AN6" s="711"/>
      <c r="AO6" s="705" t="s">
        <v>10</v>
      </c>
      <c r="AP6" s="709"/>
      <c r="AQ6" s="709"/>
      <c r="AR6" s="706"/>
      <c r="AS6" s="705" t="s">
        <v>11</v>
      </c>
      <c r="AT6" s="709"/>
      <c r="AU6" s="706"/>
      <c r="AV6" s="90" t="s">
        <v>8</v>
      </c>
      <c r="AW6" s="705" t="s">
        <v>9</v>
      </c>
      <c r="AX6" s="706"/>
      <c r="AY6" s="736" t="s">
        <v>10</v>
      </c>
      <c r="AZ6" s="738"/>
      <c r="BA6" s="132" t="s">
        <v>11</v>
      </c>
      <c r="BB6" s="705" t="s">
        <v>8</v>
      </c>
      <c r="BC6" s="706"/>
      <c r="BD6" s="705" t="s">
        <v>9</v>
      </c>
      <c r="BE6" s="706"/>
      <c r="BF6" s="705" t="s">
        <v>10</v>
      </c>
      <c r="BG6" s="709"/>
      <c r="BH6" s="706"/>
      <c r="BI6" s="705" t="s">
        <v>11</v>
      </c>
      <c r="BJ6" s="706"/>
      <c r="BK6" s="736" t="s">
        <v>8</v>
      </c>
      <c r="BL6" s="738"/>
      <c r="BM6" s="703" t="s">
        <v>9</v>
      </c>
      <c r="BN6" s="704"/>
      <c r="BO6" s="704"/>
      <c r="BP6" s="711"/>
      <c r="BQ6" s="90" t="s">
        <v>10</v>
      </c>
      <c r="BR6" s="705" t="s">
        <v>11</v>
      </c>
      <c r="BS6" s="706"/>
      <c r="BT6" s="705" t="s">
        <v>8</v>
      </c>
      <c r="BU6" s="706"/>
      <c r="BV6" s="705" t="s">
        <v>9</v>
      </c>
      <c r="BW6" s="709"/>
      <c r="BX6" s="706"/>
      <c r="BY6" s="705" t="s">
        <v>10</v>
      </c>
      <c r="BZ6" s="706"/>
      <c r="CA6" s="707" t="s">
        <v>11</v>
      </c>
      <c r="CB6" s="710"/>
      <c r="CC6" s="708"/>
      <c r="CD6" s="736" t="s">
        <v>8</v>
      </c>
      <c r="CE6" s="737"/>
      <c r="CF6" s="738"/>
      <c r="CG6" s="705" t="s">
        <v>9</v>
      </c>
      <c r="CH6" s="709"/>
      <c r="CI6" s="706"/>
      <c r="CJ6" s="736" t="s">
        <v>10</v>
      </c>
      <c r="CK6" s="737"/>
      <c r="CL6" s="738"/>
      <c r="CM6" s="705" t="s">
        <v>421</v>
      </c>
      <c r="CN6" s="709"/>
      <c r="CO6" s="706"/>
      <c r="CP6" s="707" t="s">
        <v>9</v>
      </c>
      <c r="CQ6" s="710"/>
      <c r="CR6" s="708"/>
      <c r="CS6" s="705" t="s">
        <v>10</v>
      </c>
      <c r="CT6" s="709"/>
      <c r="CU6" s="706"/>
      <c r="CV6" s="705" t="s">
        <v>11</v>
      </c>
      <c r="CW6" s="709"/>
      <c r="CX6" s="133" t="s">
        <v>544</v>
      </c>
    </row>
    <row r="7" spans="1:102" ht="35.25">
      <c r="A7" s="134">
        <v>1</v>
      </c>
      <c r="B7" s="726" t="s">
        <v>34</v>
      </c>
      <c r="C7" s="727"/>
      <c r="D7" s="727"/>
      <c r="E7" s="727"/>
      <c r="F7" s="728"/>
      <c r="G7" s="729" t="s">
        <v>12</v>
      </c>
      <c r="H7" s="730"/>
      <c r="I7" s="731"/>
      <c r="J7" s="732">
        <v>11</v>
      </c>
      <c r="K7" s="733"/>
      <c r="L7" s="734">
        <v>18</v>
      </c>
      <c r="M7" s="735"/>
      <c r="N7" s="734">
        <v>561</v>
      </c>
      <c r="O7" s="735"/>
      <c r="P7" s="732">
        <v>564</v>
      </c>
      <c r="Q7" s="733"/>
      <c r="R7" s="741">
        <v>1125</v>
      </c>
      <c r="S7" s="743"/>
      <c r="T7" s="734">
        <v>18</v>
      </c>
      <c r="U7" s="735"/>
      <c r="V7" s="734">
        <v>544</v>
      </c>
      <c r="W7" s="744"/>
      <c r="X7" s="735"/>
      <c r="Y7" s="732">
        <v>510</v>
      </c>
      <c r="Z7" s="733"/>
      <c r="AA7" s="741">
        <v>1054</v>
      </c>
      <c r="AB7" s="743"/>
      <c r="AC7" s="734">
        <v>18</v>
      </c>
      <c r="AD7" s="735"/>
      <c r="AE7" s="734">
        <v>521</v>
      </c>
      <c r="AF7" s="735"/>
      <c r="AG7" s="739">
        <v>480</v>
      </c>
      <c r="AH7" s="740"/>
      <c r="AI7" s="741">
        <v>1001</v>
      </c>
      <c r="AJ7" s="743"/>
      <c r="AK7" s="741">
        <v>54</v>
      </c>
      <c r="AL7" s="743"/>
      <c r="AM7" s="758">
        <v>1626</v>
      </c>
      <c r="AN7" s="759"/>
      <c r="AO7" s="741">
        <v>1554</v>
      </c>
      <c r="AP7" s="742"/>
      <c r="AQ7" s="742"/>
      <c r="AR7" s="743"/>
      <c r="AS7" s="741">
        <v>3180</v>
      </c>
      <c r="AT7" s="742"/>
      <c r="AU7" s="743"/>
      <c r="AV7" s="135">
        <v>0</v>
      </c>
      <c r="AW7" s="734">
        <v>0</v>
      </c>
      <c r="AX7" s="735"/>
      <c r="AY7" s="739">
        <v>0</v>
      </c>
      <c r="AZ7" s="740"/>
      <c r="BA7" s="136">
        <v>0</v>
      </c>
      <c r="BB7" s="734">
        <v>0</v>
      </c>
      <c r="BC7" s="735"/>
      <c r="BD7" s="734">
        <v>0</v>
      </c>
      <c r="BE7" s="735"/>
      <c r="BF7" s="734">
        <v>0</v>
      </c>
      <c r="BG7" s="744"/>
      <c r="BH7" s="735"/>
      <c r="BI7" s="741">
        <v>0</v>
      </c>
      <c r="BJ7" s="743"/>
      <c r="BK7" s="739">
        <v>0</v>
      </c>
      <c r="BL7" s="740"/>
      <c r="BM7" s="732">
        <v>0</v>
      </c>
      <c r="BN7" s="751"/>
      <c r="BO7" s="751"/>
      <c r="BP7" s="733"/>
      <c r="BQ7" s="135">
        <v>0</v>
      </c>
      <c r="BR7" s="741">
        <v>0</v>
      </c>
      <c r="BS7" s="743"/>
      <c r="BT7" s="741">
        <v>0</v>
      </c>
      <c r="BU7" s="743"/>
      <c r="BV7" s="741">
        <v>0</v>
      </c>
      <c r="BW7" s="742"/>
      <c r="BX7" s="743"/>
      <c r="BY7" s="741">
        <v>0</v>
      </c>
      <c r="BZ7" s="743"/>
      <c r="CA7" s="752">
        <v>0</v>
      </c>
      <c r="CB7" s="753"/>
      <c r="CC7" s="754"/>
      <c r="CD7" s="755">
        <v>54</v>
      </c>
      <c r="CE7" s="756"/>
      <c r="CF7" s="757"/>
      <c r="CG7" s="748">
        <v>1626</v>
      </c>
      <c r="CH7" s="749"/>
      <c r="CI7" s="750"/>
      <c r="CJ7" s="745">
        <v>1554</v>
      </c>
      <c r="CK7" s="746"/>
      <c r="CL7" s="747"/>
      <c r="CM7" s="748">
        <v>3180</v>
      </c>
      <c r="CN7" s="749"/>
      <c r="CO7" s="750"/>
      <c r="CP7" s="732">
        <v>22</v>
      </c>
      <c r="CQ7" s="751"/>
      <c r="CR7" s="733"/>
      <c r="CS7" s="734">
        <v>58</v>
      </c>
      <c r="CT7" s="744"/>
      <c r="CU7" s="735"/>
      <c r="CV7" s="741">
        <v>80</v>
      </c>
      <c r="CW7" s="742"/>
      <c r="CX7" s="96">
        <f>IF(CM7&lt;1001,30000 * 3,50000*3)</f>
        <v>150000</v>
      </c>
    </row>
    <row r="8" spans="1:102" ht="35.25">
      <c r="A8" s="134">
        <v>2</v>
      </c>
      <c r="B8" s="726" t="s">
        <v>36</v>
      </c>
      <c r="C8" s="727"/>
      <c r="D8" s="727"/>
      <c r="E8" s="727"/>
      <c r="F8" s="728"/>
      <c r="G8" s="729" t="s">
        <v>37</v>
      </c>
      <c r="H8" s="730"/>
      <c r="I8" s="731"/>
      <c r="J8" s="732">
        <v>15</v>
      </c>
      <c r="K8" s="733"/>
      <c r="L8" s="734">
        <v>5</v>
      </c>
      <c r="M8" s="735"/>
      <c r="N8" s="734">
        <v>183</v>
      </c>
      <c r="O8" s="735"/>
      <c r="P8" s="732">
        <v>178</v>
      </c>
      <c r="Q8" s="733"/>
      <c r="R8" s="741">
        <v>361</v>
      </c>
      <c r="S8" s="743"/>
      <c r="T8" s="734">
        <v>5</v>
      </c>
      <c r="U8" s="735"/>
      <c r="V8" s="734">
        <v>189</v>
      </c>
      <c r="W8" s="744"/>
      <c r="X8" s="735"/>
      <c r="Y8" s="732">
        <v>167</v>
      </c>
      <c r="Z8" s="733"/>
      <c r="AA8" s="741">
        <v>356</v>
      </c>
      <c r="AB8" s="743"/>
      <c r="AC8" s="734">
        <v>2</v>
      </c>
      <c r="AD8" s="735"/>
      <c r="AE8" s="734">
        <v>89</v>
      </c>
      <c r="AF8" s="735"/>
      <c r="AG8" s="739">
        <v>72</v>
      </c>
      <c r="AH8" s="740"/>
      <c r="AI8" s="741">
        <v>161</v>
      </c>
      <c r="AJ8" s="743"/>
      <c r="AK8" s="741">
        <v>12</v>
      </c>
      <c r="AL8" s="743"/>
      <c r="AM8" s="758">
        <v>461</v>
      </c>
      <c r="AN8" s="759"/>
      <c r="AO8" s="741">
        <v>417</v>
      </c>
      <c r="AP8" s="742"/>
      <c r="AQ8" s="742"/>
      <c r="AR8" s="743"/>
      <c r="AS8" s="741">
        <v>878</v>
      </c>
      <c r="AT8" s="742"/>
      <c r="AU8" s="743"/>
      <c r="AV8" s="135">
        <v>0</v>
      </c>
      <c r="AW8" s="734">
        <v>0</v>
      </c>
      <c r="AX8" s="735"/>
      <c r="AY8" s="739">
        <v>0</v>
      </c>
      <c r="AZ8" s="740"/>
      <c r="BA8" s="136">
        <v>0</v>
      </c>
      <c r="BB8" s="734">
        <v>0</v>
      </c>
      <c r="BC8" s="735"/>
      <c r="BD8" s="734">
        <v>0</v>
      </c>
      <c r="BE8" s="735"/>
      <c r="BF8" s="734">
        <v>0</v>
      </c>
      <c r="BG8" s="744"/>
      <c r="BH8" s="735"/>
      <c r="BI8" s="741">
        <v>0</v>
      </c>
      <c r="BJ8" s="743"/>
      <c r="BK8" s="739">
        <v>0</v>
      </c>
      <c r="BL8" s="740"/>
      <c r="BM8" s="732">
        <v>0</v>
      </c>
      <c r="BN8" s="751"/>
      <c r="BO8" s="751"/>
      <c r="BP8" s="733"/>
      <c r="BQ8" s="135">
        <v>0</v>
      </c>
      <c r="BR8" s="741">
        <v>0</v>
      </c>
      <c r="BS8" s="743"/>
      <c r="BT8" s="741">
        <v>0</v>
      </c>
      <c r="BU8" s="743"/>
      <c r="BV8" s="741">
        <v>0</v>
      </c>
      <c r="BW8" s="742"/>
      <c r="BX8" s="743"/>
      <c r="BY8" s="741">
        <v>0</v>
      </c>
      <c r="BZ8" s="743"/>
      <c r="CA8" s="752">
        <v>0</v>
      </c>
      <c r="CB8" s="753"/>
      <c r="CC8" s="754"/>
      <c r="CD8" s="755">
        <v>12</v>
      </c>
      <c r="CE8" s="756"/>
      <c r="CF8" s="757"/>
      <c r="CG8" s="748">
        <v>461</v>
      </c>
      <c r="CH8" s="749"/>
      <c r="CI8" s="750"/>
      <c r="CJ8" s="745">
        <v>417</v>
      </c>
      <c r="CK8" s="746"/>
      <c r="CL8" s="747"/>
      <c r="CM8" s="748">
        <v>878</v>
      </c>
      <c r="CN8" s="749"/>
      <c r="CO8" s="750"/>
      <c r="CP8" s="760">
        <v>9</v>
      </c>
      <c r="CQ8" s="761"/>
      <c r="CR8" s="762"/>
      <c r="CS8" s="734">
        <v>20</v>
      </c>
      <c r="CT8" s="744"/>
      <c r="CU8" s="735"/>
      <c r="CV8" s="741">
        <v>29</v>
      </c>
      <c r="CW8" s="742"/>
      <c r="CX8" s="96">
        <f t="shared" ref="CX8:CX32" si="0">IF(CM8&lt;1001,30000 * 3,50000*3)</f>
        <v>90000</v>
      </c>
    </row>
    <row r="9" spans="1:102" ht="35.25">
      <c r="A9" s="134">
        <v>3</v>
      </c>
      <c r="B9" s="726" t="s">
        <v>38</v>
      </c>
      <c r="C9" s="727"/>
      <c r="D9" s="727"/>
      <c r="E9" s="727"/>
      <c r="F9" s="728"/>
      <c r="G9" s="729" t="s">
        <v>12</v>
      </c>
      <c r="H9" s="730"/>
      <c r="I9" s="731"/>
      <c r="J9" s="732">
        <v>4</v>
      </c>
      <c r="K9" s="733"/>
      <c r="L9" s="734">
        <v>5</v>
      </c>
      <c r="M9" s="735"/>
      <c r="N9" s="734">
        <v>180</v>
      </c>
      <c r="O9" s="735"/>
      <c r="P9" s="732">
        <v>191</v>
      </c>
      <c r="Q9" s="733"/>
      <c r="R9" s="741">
        <v>371</v>
      </c>
      <c r="S9" s="743"/>
      <c r="T9" s="734">
        <v>6</v>
      </c>
      <c r="U9" s="735"/>
      <c r="V9" s="734">
        <v>180</v>
      </c>
      <c r="W9" s="744"/>
      <c r="X9" s="735"/>
      <c r="Y9" s="732">
        <v>204</v>
      </c>
      <c r="Z9" s="733"/>
      <c r="AA9" s="741">
        <v>384</v>
      </c>
      <c r="AB9" s="743"/>
      <c r="AC9" s="734">
        <v>6</v>
      </c>
      <c r="AD9" s="735"/>
      <c r="AE9" s="734">
        <v>168</v>
      </c>
      <c r="AF9" s="735"/>
      <c r="AG9" s="739">
        <v>176</v>
      </c>
      <c r="AH9" s="740"/>
      <c r="AI9" s="741">
        <v>344</v>
      </c>
      <c r="AJ9" s="743"/>
      <c r="AK9" s="741">
        <v>17</v>
      </c>
      <c r="AL9" s="743"/>
      <c r="AM9" s="758">
        <v>528</v>
      </c>
      <c r="AN9" s="759"/>
      <c r="AO9" s="741">
        <v>571</v>
      </c>
      <c r="AP9" s="742"/>
      <c r="AQ9" s="742"/>
      <c r="AR9" s="743"/>
      <c r="AS9" s="741">
        <v>1099</v>
      </c>
      <c r="AT9" s="742"/>
      <c r="AU9" s="743"/>
      <c r="AV9" s="135">
        <v>0</v>
      </c>
      <c r="AW9" s="734">
        <v>0</v>
      </c>
      <c r="AX9" s="735"/>
      <c r="AY9" s="739">
        <v>0</v>
      </c>
      <c r="AZ9" s="740"/>
      <c r="BA9" s="136">
        <v>0</v>
      </c>
      <c r="BB9" s="734">
        <v>0</v>
      </c>
      <c r="BC9" s="735"/>
      <c r="BD9" s="734">
        <v>0</v>
      </c>
      <c r="BE9" s="735"/>
      <c r="BF9" s="734">
        <v>0</v>
      </c>
      <c r="BG9" s="744"/>
      <c r="BH9" s="735"/>
      <c r="BI9" s="741">
        <v>0</v>
      </c>
      <c r="BJ9" s="743"/>
      <c r="BK9" s="739">
        <v>0</v>
      </c>
      <c r="BL9" s="740"/>
      <c r="BM9" s="732">
        <v>0</v>
      </c>
      <c r="BN9" s="751"/>
      <c r="BO9" s="751"/>
      <c r="BP9" s="733"/>
      <c r="BQ9" s="135">
        <v>0</v>
      </c>
      <c r="BR9" s="741">
        <v>0</v>
      </c>
      <c r="BS9" s="743"/>
      <c r="BT9" s="741">
        <v>0</v>
      </c>
      <c r="BU9" s="743"/>
      <c r="BV9" s="741">
        <v>0</v>
      </c>
      <c r="BW9" s="742"/>
      <c r="BX9" s="743"/>
      <c r="BY9" s="741">
        <v>0</v>
      </c>
      <c r="BZ9" s="743"/>
      <c r="CA9" s="752">
        <v>0</v>
      </c>
      <c r="CB9" s="753"/>
      <c r="CC9" s="754"/>
      <c r="CD9" s="755">
        <v>17</v>
      </c>
      <c r="CE9" s="756"/>
      <c r="CF9" s="757"/>
      <c r="CG9" s="748">
        <v>528</v>
      </c>
      <c r="CH9" s="749"/>
      <c r="CI9" s="750"/>
      <c r="CJ9" s="745">
        <v>571</v>
      </c>
      <c r="CK9" s="746"/>
      <c r="CL9" s="747"/>
      <c r="CM9" s="748">
        <v>1099</v>
      </c>
      <c r="CN9" s="749"/>
      <c r="CO9" s="750"/>
      <c r="CP9" s="732">
        <v>16</v>
      </c>
      <c r="CQ9" s="751"/>
      <c r="CR9" s="733"/>
      <c r="CS9" s="734">
        <v>25</v>
      </c>
      <c r="CT9" s="744"/>
      <c r="CU9" s="735"/>
      <c r="CV9" s="741">
        <v>41</v>
      </c>
      <c r="CW9" s="742"/>
      <c r="CX9" s="96">
        <f t="shared" si="0"/>
        <v>150000</v>
      </c>
    </row>
    <row r="10" spans="1:102" ht="35.25">
      <c r="A10" s="134">
        <v>4</v>
      </c>
      <c r="B10" s="726" t="s">
        <v>39</v>
      </c>
      <c r="C10" s="727"/>
      <c r="D10" s="727"/>
      <c r="E10" s="727"/>
      <c r="F10" s="728"/>
      <c r="G10" s="729" t="s">
        <v>40</v>
      </c>
      <c r="H10" s="730"/>
      <c r="I10" s="731"/>
      <c r="J10" s="732">
        <v>11</v>
      </c>
      <c r="K10" s="733"/>
      <c r="L10" s="734">
        <v>10</v>
      </c>
      <c r="M10" s="735"/>
      <c r="N10" s="734">
        <v>202</v>
      </c>
      <c r="O10" s="735"/>
      <c r="P10" s="732">
        <v>186</v>
      </c>
      <c r="Q10" s="733"/>
      <c r="R10" s="741">
        <v>388</v>
      </c>
      <c r="S10" s="743"/>
      <c r="T10" s="734">
        <v>10</v>
      </c>
      <c r="U10" s="735"/>
      <c r="V10" s="734">
        <v>169</v>
      </c>
      <c r="W10" s="744"/>
      <c r="X10" s="735"/>
      <c r="Y10" s="732">
        <v>184</v>
      </c>
      <c r="Z10" s="733"/>
      <c r="AA10" s="741">
        <v>353</v>
      </c>
      <c r="AB10" s="743"/>
      <c r="AC10" s="734">
        <v>10</v>
      </c>
      <c r="AD10" s="735"/>
      <c r="AE10" s="734">
        <v>175</v>
      </c>
      <c r="AF10" s="735"/>
      <c r="AG10" s="739">
        <v>154</v>
      </c>
      <c r="AH10" s="740"/>
      <c r="AI10" s="741">
        <v>329</v>
      </c>
      <c r="AJ10" s="743"/>
      <c r="AK10" s="741">
        <v>30</v>
      </c>
      <c r="AL10" s="743"/>
      <c r="AM10" s="758">
        <v>546</v>
      </c>
      <c r="AN10" s="759"/>
      <c r="AO10" s="741">
        <v>524</v>
      </c>
      <c r="AP10" s="742"/>
      <c r="AQ10" s="742"/>
      <c r="AR10" s="743"/>
      <c r="AS10" s="741">
        <v>1070</v>
      </c>
      <c r="AT10" s="742"/>
      <c r="AU10" s="743"/>
      <c r="AV10" s="135">
        <v>0</v>
      </c>
      <c r="AW10" s="734">
        <v>0</v>
      </c>
      <c r="AX10" s="735"/>
      <c r="AY10" s="739">
        <v>0</v>
      </c>
      <c r="AZ10" s="740"/>
      <c r="BA10" s="136">
        <v>0</v>
      </c>
      <c r="BB10" s="734">
        <v>0</v>
      </c>
      <c r="BC10" s="735"/>
      <c r="BD10" s="734">
        <v>0</v>
      </c>
      <c r="BE10" s="735"/>
      <c r="BF10" s="734">
        <v>0</v>
      </c>
      <c r="BG10" s="744"/>
      <c r="BH10" s="735"/>
      <c r="BI10" s="741">
        <v>0</v>
      </c>
      <c r="BJ10" s="743"/>
      <c r="BK10" s="739">
        <v>0</v>
      </c>
      <c r="BL10" s="740"/>
      <c r="BM10" s="732">
        <v>0</v>
      </c>
      <c r="BN10" s="751"/>
      <c r="BO10" s="751"/>
      <c r="BP10" s="733"/>
      <c r="BQ10" s="135">
        <v>0</v>
      </c>
      <c r="BR10" s="741">
        <v>0</v>
      </c>
      <c r="BS10" s="743"/>
      <c r="BT10" s="741">
        <v>0</v>
      </c>
      <c r="BU10" s="743"/>
      <c r="BV10" s="741">
        <v>0</v>
      </c>
      <c r="BW10" s="742"/>
      <c r="BX10" s="743"/>
      <c r="BY10" s="741">
        <v>0</v>
      </c>
      <c r="BZ10" s="743"/>
      <c r="CA10" s="752">
        <v>0</v>
      </c>
      <c r="CB10" s="753"/>
      <c r="CC10" s="754"/>
      <c r="CD10" s="755">
        <v>30</v>
      </c>
      <c r="CE10" s="756"/>
      <c r="CF10" s="757"/>
      <c r="CG10" s="748">
        <v>546</v>
      </c>
      <c r="CH10" s="749"/>
      <c r="CI10" s="750"/>
      <c r="CJ10" s="745">
        <v>524</v>
      </c>
      <c r="CK10" s="746"/>
      <c r="CL10" s="747"/>
      <c r="CM10" s="748">
        <v>1070</v>
      </c>
      <c r="CN10" s="749"/>
      <c r="CO10" s="750"/>
      <c r="CP10" s="732">
        <v>14</v>
      </c>
      <c r="CQ10" s="751"/>
      <c r="CR10" s="733"/>
      <c r="CS10" s="734">
        <v>35</v>
      </c>
      <c r="CT10" s="744"/>
      <c r="CU10" s="735"/>
      <c r="CV10" s="741">
        <v>49</v>
      </c>
      <c r="CW10" s="742"/>
      <c r="CX10" s="96">
        <f t="shared" si="0"/>
        <v>150000</v>
      </c>
    </row>
    <row r="11" spans="1:102" ht="35.25">
      <c r="A11" s="134">
        <v>5</v>
      </c>
      <c r="B11" s="729" t="s">
        <v>41</v>
      </c>
      <c r="C11" s="730"/>
      <c r="D11" s="730"/>
      <c r="E11" s="730"/>
      <c r="F11" s="731"/>
      <c r="G11" s="729" t="s">
        <v>12</v>
      </c>
      <c r="H11" s="730"/>
      <c r="I11" s="731"/>
      <c r="J11" s="732">
        <v>4</v>
      </c>
      <c r="K11" s="733"/>
      <c r="L11" s="734">
        <v>10</v>
      </c>
      <c r="M11" s="735"/>
      <c r="N11" s="734">
        <v>353</v>
      </c>
      <c r="O11" s="735"/>
      <c r="P11" s="732">
        <v>346</v>
      </c>
      <c r="Q11" s="733"/>
      <c r="R11" s="741">
        <v>699</v>
      </c>
      <c r="S11" s="743"/>
      <c r="T11" s="734">
        <v>8</v>
      </c>
      <c r="U11" s="735"/>
      <c r="V11" s="734">
        <v>217</v>
      </c>
      <c r="W11" s="744"/>
      <c r="X11" s="735"/>
      <c r="Y11" s="732">
        <v>267</v>
      </c>
      <c r="Z11" s="733"/>
      <c r="AA11" s="741">
        <v>484</v>
      </c>
      <c r="AB11" s="743"/>
      <c r="AC11" s="734">
        <v>8</v>
      </c>
      <c r="AD11" s="735"/>
      <c r="AE11" s="734">
        <v>127</v>
      </c>
      <c r="AF11" s="735"/>
      <c r="AG11" s="739">
        <v>207</v>
      </c>
      <c r="AH11" s="740"/>
      <c r="AI11" s="741">
        <v>334</v>
      </c>
      <c r="AJ11" s="743"/>
      <c r="AK11" s="741">
        <v>26</v>
      </c>
      <c r="AL11" s="743"/>
      <c r="AM11" s="758">
        <v>697</v>
      </c>
      <c r="AN11" s="759"/>
      <c r="AO11" s="741">
        <v>820</v>
      </c>
      <c r="AP11" s="742"/>
      <c r="AQ11" s="742"/>
      <c r="AR11" s="743"/>
      <c r="AS11" s="741">
        <v>1517</v>
      </c>
      <c r="AT11" s="742"/>
      <c r="AU11" s="743"/>
      <c r="AV11" s="135">
        <v>0</v>
      </c>
      <c r="AW11" s="734">
        <v>0</v>
      </c>
      <c r="AX11" s="735"/>
      <c r="AY11" s="739">
        <v>0</v>
      </c>
      <c r="AZ11" s="740"/>
      <c r="BA11" s="136">
        <v>0</v>
      </c>
      <c r="BB11" s="734">
        <v>0</v>
      </c>
      <c r="BC11" s="735"/>
      <c r="BD11" s="734">
        <v>0</v>
      </c>
      <c r="BE11" s="735"/>
      <c r="BF11" s="734">
        <v>0</v>
      </c>
      <c r="BG11" s="744"/>
      <c r="BH11" s="735"/>
      <c r="BI11" s="741">
        <v>0</v>
      </c>
      <c r="BJ11" s="743"/>
      <c r="BK11" s="739">
        <v>0</v>
      </c>
      <c r="BL11" s="740"/>
      <c r="BM11" s="732">
        <v>0</v>
      </c>
      <c r="BN11" s="751"/>
      <c r="BO11" s="751"/>
      <c r="BP11" s="733"/>
      <c r="BQ11" s="135">
        <v>0</v>
      </c>
      <c r="BR11" s="741">
        <v>0</v>
      </c>
      <c r="BS11" s="743"/>
      <c r="BT11" s="741">
        <v>0</v>
      </c>
      <c r="BU11" s="743"/>
      <c r="BV11" s="741">
        <v>0</v>
      </c>
      <c r="BW11" s="742"/>
      <c r="BX11" s="743"/>
      <c r="BY11" s="741">
        <v>0</v>
      </c>
      <c r="BZ11" s="743"/>
      <c r="CA11" s="752">
        <v>0</v>
      </c>
      <c r="CB11" s="753"/>
      <c r="CC11" s="754"/>
      <c r="CD11" s="755">
        <v>26</v>
      </c>
      <c r="CE11" s="756"/>
      <c r="CF11" s="757"/>
      <c r="CG11" s="748">
        <v>697</v>
      </c>
      <c r="CH11" s="749"/>
      <c r="CI11" s="750"/>
      <c r="CJ11" s="745">
        <v>820</v>
      </c>
      <c r="CK11" s="746"/>
      <c r="CL11" s="747"/>
      <c r="CM11" s="748">
        <v>1517</v>
      </c>
      <c r="CN11" s="749"/>
      <c r="CO11" s="750"/>
      <c r="CP11" s="732">
        <v>12</v>
      </c>
      <c r="CQ11" s="751"/>
      <c r="CR11" s="733"/>
      <c r="CS11" s="734">
        <v>30</v>
      </c>
      <c r="CT11" s="744"/>
      <c r="CU11" s="735"/>
      <c r="CV11" s="741">
        <v>42</v>
      </c>
      <c r="CW11" s="742"/>
      <c r="CX11" s="96">
        <f t="shared" si="0"/>
        <v>150000</v>
      </c>
    </row>
    <row r="12" spans="1:102" ht="35.25">
      <c r="A12" s="134">
        <v>6</v>
      </c>
      <c r="B12" s="729" t="s">
        <v>42</v>
      </c>
      <c r="C12" s="730"/>
      <c r="D12" s="730"/>
      <c r="E12" s="730"/>
      <c r="F12" s="731"/>
      <c r="G12" s="726" t="s">
        <v>40</v>
      </c>
      <c r="H12" s="727"/>
      <c r="I12" s="728"/>
      <c r="J12" s="732">
        <v>9</v>
      </c>
      <c r="K12" s="733"/>
      <c r="L12" s="734">
        <v>12</v>
      </c>
      <c r="M12" s="735"/>
      <c r="N12" s="734">
        <v>359</v>
      </c>
      <c r="O12" s="735"/>
      <c r="P12" s="732">
        <v>322</v>
      </c>
      <c r="Q12" s="733"/>
      <c r="R12" s="741">
        <v>681</v>
      </c>
      <c r="S12" s="743"/>
      <c r="T12" s="734">
        <v>10</v>
      </c>
      <c r="U12" s="735"/>
      <c r="V12" s="734">
        <v>236</v>
      </c>
      <c r="W12" s="744"/>
      <c r="X12" s="735"/>
      <c r="Y12" s="732">
        <v>267</v>
      </c>
      <c r="Z12" s="733"/>
      <c r="AA12" s="741">
        <v>503</v>
      </c>
      <c r="AB12" s="743"/>
      <c r="AC12" s="734">
        <v>8</v>
      </c>
      <c r="AD12" s="735"/>
      <c r="AE12" s="734">
        <v>191</v>
      </c>
      <c r="AF12" s="735"/>
      <c r="AG12" s="739">
        <v>185</v>
      </c>
      <c r="AH12" s="740"/>
      <c r="AI12" s="741">
        <v>376</v>
      </c>
      <c r="AJ12" s="743"/>
      <c r="AK12" s="741">
        <v>30</v>
      </c>
      <c r="AL12" s="743"/>
      <c r="AM12" s="758">
        <v>786</v>
      </c>
      <c r="AN12" s="759"/>
      <c r="AO12" s="741">
        <v>774</v>
      </c>
      <c r="AP12" s="742"/>
      <c r="AQ12" s="742"/>
      <c r="AR12" s="743"/>
      <c r="AS12" s="741">
        <v>1560</v>
      </c>
      <c r="AT12" s="742"/>
      <c r="AU12" s="743"/>
      <c r="AV12" s="135">
        <v>0</v>
      </c>
      <c r="AW12" s="734">
        <v>0</v>
      </c>
      <c r="AX12" s="735"/>
      <c r="AY12" s="739">
        <v>0</v>
      </c>
      <c r="AZ12" s="740"/>
      <c r="BA12" s="136">
        <v>0</v>
      </c>
      <c r="BB12" s="734">
        <v>0</v>
      </c>
      <c r="BC12" s="735"/>
      <c r="BD12" s="734">
        <v>0</v>
      </c>
      <c r="BE12" s="735"/>
      <c r="BF12" s="734">
        <v>0</v>
      </c>
      <c r="BG12" s="744"/>
      <c r="BH12" s="735"/>
      <c r="BI12" s="741">
        <v>0</v>
      </c>
      <c r="BJ12" s="743"/>
      <c r="BK12" s="739">
        <v>0</v>
      </c>
      <c r="BL12" s="740"/>
      <c r="BM12" s="732">
        <v>0</v>
      </c>
      <c r="BN12" s="751"/>
      <c r="BO12" s="751"/>
      <c r="BP12" s="733"/>
      <c r="BQ12" s="135">
        <v>0</v>
      </c>
      <c r="BR12" s="741">
        <v>0</v>
      </c>
      <c r="BS12" s="743"/>
      <c r="BT12" s="741">
        <v>0</v>
      </c>
      <c r="BU12" s="743"/>
      <c r="BV12" s="741">
        <v>0</v>
      </c>
      <c r="BW12" s="742"/>
      <c r="BX12" s="743"/>
      <c r="BY12" s="741">
        <v>0</v>
      </c>
      <c r="BZ12" s="743"/>
      <c r="CA12" s="752">
        <v>0</v>
      </c>
      <c r="CB12" s="753"/>
      <c r="CC12" s="754"/>
      <c r="CD12" s="755">
        <v>30</v>
      </c>
      <c r="CE12" s="756"/>
      <c r="CF12" s="757"/>
      <c r="CG12" s="748">
        <v>786</v>
      </c>
      <c r="CH12" s="749"/>
      <c r="CI12" s="750"/>
      <c r="CJ12" s="745">
        <v>774</v>
      </c>
      <c r="CK12" s="746"/>
      <c r="CL12" s="747"/>
      <c r="CM12" s="748">
        <v>1560</v>
      </c>
      <c r="CN12" s="749"/>
      <c r="CO12" s="750"/>
      <c r="CP12" s="760">
        <v>8</v>
      </c>
      <c r="CQ12" s="761"/>
      <c r="CR12" s="762"/>
      <c r="CS12" s="734">
        <v>42</v>
      </c>
      <c r="CT12" s="744"/>
      <c r="CU12" s="735"/>
      <c r="CV12" s="741">
        <v>50</v>
      </c>
      <c r="CW12" s="742"/>
      <c r="CX12" s="96">
        <f t="shared" si="0"/>
        <v>150000</v>
      </c>
    </row>
    <row r="13" spans="1:102" ht="35.25">
      <c r="A13" s="134">
        <v>7</v>
      </c>
      <c r="B13" s="726" t="s">
        <v>43</v>
      </c>
      <c r="C13" s="727"/>
      <c r="D13" s="727"/>
      <c r="E13" s="727"/>
      <c r="F13" s="728"/>
      <c r="G13" s="726" t="s">
        <v>44</v>
      </c>
      <c r="H13" s="727"/>
      <c r="I13" s="728"/>
      <c r="J13" s="732">
        <v>9</v>
      </c>
      <c r="K13" s="733"/>
      <c r="L13" s="734">
        <v>12</v>
      </c>
      <c r="M13" s="735"/>
      <c r="N13" s="734">
        <v>356</v>
      </c>
      <c r="O13" s="735"/>
      <c r="P13" s="732">
        <v>307</v>
      </c>
      <c r="Q13" s="733"/>
      <c r="R13" s="741">
        <v>663</v>
      </c>
      <c r="S13" s="743"/>
      <c r="T13" s="734">
        <v>10</v>
      </c>
      <c r="U13" s="735"/>
      <c r="V13" s="734">
        <v>260</v>
      </c>
      <c r="W13" s="744"/>
      <c r="X13" s="735"/>
      <c r="Y13" s="732">
        <v>233</v>
      </c>
      <c r="Z13" s="733"/>
      <c r="AA13" s="741">
        <v>493</v>
      </c>
      <c r="AB13" s="743"/>
      <c r="AC13" s="734">
        <v>10</v>
      </c>
      <c r="AD13" s="735"/>
      <c r="AE13" s="734">
        <v>263</v>
      </c>
      <c r="AF13" s="735"/>
      <c r="AG13" s="739">
        <v>245</v>
      </c>
      <c r="AH13" s="740"/>
      <c r="AI13" s="741">
        <v>508</v>
      </c>
      <c r="AJ13" s="743"/>
      <c r="AK13" s="741">
        <v>32</v>
      </c>
      <c r="AL13" s="743"/>
      <c r="AM13" s="758">
        <v>879</v>
      </c>
      <c r="AN13" s="759"/>
      <c r="AO13" s="741">
        <v>785</v>
      </c>
      <c r="AP13" s="742"/>
      <c r="AQ13" s="742"/>
      <c r="AR13" s="743"/>
      <c r="AS13" s="741">
        <v>1664</v>
      </c>
      <c r="AT13" s="742"/>
      <c r="AU13" s="743"/>
      <c r="AV13" s="135">
        <v>0</v>
      </c>
      <c r="AW13" s="734">
        <v>0</v>
      </c>
      <c r="AX13" s="735"/>
      <c r="AY13" s="739">
        <v>0</v>
      </c>
      <c r="AZ13" s="740"/>
      <c r="BA13" s="136">
        <v>0</v>
      </c>
      <c r="BB13" s="734">
        <v>0</v>
      </c>
      <c r="BC13" s="735"/>
      <c r="BD13" s="734">
        <v>0</v>
      </c>
      <c r="BE13" s="735"/>
      <c r="BF13" s="734">
        <v>0</v>
      </c>
      <c r="BG13" s="744"/>
      <c r="BH13" s="735"/>
      <c r="BI13" s="741">
        <v>0</v>
      </c>
      <c r="BJ13" s="743"/>
      <c r="BK13" s="739">
        <v>0</v>
      </c>
      <c r="BL13" s="740"/>
      <c r="BM13" s="732">
        <v>0</v>
      </c>
      <c r="BN13" s="751"/>
      <c r="BO13" s="751"/>
      <c r="BP13" s="733"/>
      <c r="BQ13" s="135">
        <v>0</v>
      </c>
      <c r="BR13" s="741">
        <v>0</v>
      </c>
      <c r="BS13" s="743"/>
      <c r="BT13" s="741">
        <v>0</v>
      </c>
      <c r="BU13" s="743"/>
      <c r="BV13" s="741">
        <v>0</v>
      </c>
      <c r="BW13" s="742"/>
      <c r="BX13" s="743"/>
      <c r="BY13" s="741">
        <v>0</v>
      </c>
      <c r="BZ13" s="743"/>
      <c r="CA13" s="752">
        <v>0</v>
      </c>
      <c r="CB13" s="753"/>
      <c r="CC13" s="754"/>
      <c r="CD13" s="755">
        <v>32</v>
      </c>
      <c r="CE13" s="756"/>
      <c r="CF13" s="757"/>
      <c r="CG13" s="748">
        <v>879</v>
      </c>
      <c r="CH13" s="749"/>
      <c r="CI13" s="750"/>
      <c r="CJ13" s="745">
        <v>785</v>
      </c>
      <c r="CK13" s="746"/>
      <c r="CL13" s="747"/>
      <c r="CM13" s="748">
        <v>1664</v>
      </c>
      <c r="CN13" s="749"/>
      <c r="CO13" s="750"/>
      <c r="CP13" s="732">
        <v>15</v>
      </c>
      <c r="CQ13" s="751"/>
      <c r="CR13" s="733"/>
      <c r="CS13" s="734">
        <v>36</v>
      </c>
      <c r="CT13" s="744"/>
      <c r="CU13" s="735"/>
      <c r="CV13" s="741">
        <v>51</v>
      </c>
      <c r="CW13" s="742"/>
      <c r="CX13" s="96">
        <f t="shared" si="0"/>
        <v>150000</v>
      </c>
    </row>
    <row r="14" spans="1:102" ht="35.25">
      <c r="A14" s="134">
        <v>8</v>
      </c>
      <c r="B14" s="729" t="s">
        <v>45</v>
      </c>
      <c r="C14" s="730"/>
      <c r="D14" s="730"/>
      <c r="E14" s="730"/>
      <c r="F14" s="731"/>
      <c r="G14" s="726" t="s">
        <v>12</v>
      </c>
      <c r="H14" s="727"/>
      <c r="I14" s="728"/>
      <c r="J14" s="732">
        <v>12</v>
      </c>
      <c r="K14" s="733"/>
      <c r="L14" s="763">
        <v>6</v>
      </c>
      <c r="M14" s="764"/>
      <c r="N14" s="763">
        <v>205</v>
      </c>
      <c r="O14" s="764"/>
      <c r="P14" s="765">
        <v>235</v>
      </c>
      <c r="Q14" s="766"/>
      <c r="R14" s="741">
        <v>440</v>
      </c>
      <c r="S14" s="743"/>
      <c r="T14" s="763">
        <v>7</v>
      </c>
      <c r="U14" s="764"/>
      <c r="V14" s="763">
        <v>176</v>
      </c>
      <c r="W14" s="767"/>
      <c r="X14" s="764"/>
      <c r="Y14" s="765">
        <v>202</v>
      </c>
      <c r="Z14" s="766"/>
      <c r="AA14" s="741">
        <v>378</v>
      </c>
      <c r="AB14" s="743"/>
      <c r="AC14" s="763">
        <v>6</v>
      </c>
      <c r="AD14" s="764"/>
      <c r="AE14" s="763">
        <v>160</v>
      </c>
      <c r="AF14" s="764"/>
      <c r="AG14" s="768">
        <v>201</v>
      </c>
      <c r="AH14" s="769"/>
      <c r="AI14" s="741">
        <v>361</v>
      </c>
      <c r="AJ14" s="743"/>
      <c r="AK14" s="741">
        <v>19</v>
      </c>
      <c r="AL14" s="743"/>
      <c r="AM14" s="758">
        <v>541</v>
      </c>
      <c r="AN14" s="759"/>
      <c r="AO14" s="741">
        <v>638</v>
      </c>
      <c r="AP14" s="742"/>
      <c r="AQ14" s="742"/>
      <c r="AR14" s="743"/>
      <c r="AS14" s="741">
        <v>1179</v>
      </c>
      <c r="AT14" s="742"/>
      <c r="AU14" s="743"/>
      <c r="AV14" s="137">
        <v>0</v>
      </c>
      <c r="AW14" s="763">
        <v>0</v>
      </c>
      <c r="AX14" s="764"/>
      <c r="AY14" s="768">
        <v>0</v>
      </c>
      <c r="AZ14" s="769"/>
      <c r="BA14" s="136">
        <v>0</v>
      </c>
      <c r="BB14" s="763">
        <v>0</v>
      </c>
      <c r="BC14" s="764"/>
      <c r="BD14" s="763">
        <v>0</v>
      </c>
      <c r="BE14" s="764"/>
      <c r="BF14" s="763">
        <v>0</v>
      </c>
      <c r="BG14" s="767"/>
      <c r="BH14" s="764"/>
      <c r="BI14" s="741">
        <v>0</v>
      </c>
      <c r="BJ14" s="743"/>
      <c r="BK14" s="768">
        <v>0</v>
      </c>
      <c r="BL14" s="769"/>
      <c r="BM14" s="765">
        <v>0</v>
      </c>
      <c r="BN14" s="770"/>
      <c r="BO14" s="770"/>
      <c r="BP14" s="766"/>
      <c r="BQ14" s="137">
        <v>0</v>
      </c>
      <c r="BR14" s="741">
        <v>0</v>
      </c>
      <c r="BS14" s="743"/>
      <c r="BT14" s="741">
        <v>0</v>
      </c>
      <c r="BU14" s="743"/>
      <c r="BV14" s="741">
        <v>0</v>
      </c>
      <c r="BW14" s="742"/>
      <c r="BX14" s="743"/>
      <c r="BY14" s="741">
        <v>0</v>
      </c>
      <c r="BZ14" s="743"/>
      <c r="CA14" s="752">
        <v>0</v>
      </c>
      <c r="CB14" s="753"/>
      <c r="CC14" s="754"/>
      <c r="CD14" s="755">
        <v>19</v>
      </c>
      <c r="CE14" s="756"/>
      <c r="CF14" s="757"/>
      <c r="CG14" s="748">
        <v>541</v>
      </c>
      <c r="CH14" s="749"/>
      <c r="CI14" s="750"/>
      <c r="CJ14" s="745">
        <v>638</v>
      </c>
      <c r="CK14" s="746"/>
      <c r="CL14" s="747"/>
      <c r="CM14" s="748">
        <v>1179</v>
      </c>
      <c r="CN14" s="749"/>
      <c r="CO14" s="750"/>
      <c r="CP14" s="732">
        <v>17</v>
      </c>
      <c r="CQ14" s="751"/>
      <c r="CR14" s="733"/>
      <c r="CS14" s="734">
        <v>44</v>
      </c>
      <c r="CT14" s="744"/>
      <c r="CU14" s="735"/>
      <c r="CV14" s="741">
        <v>61</v>
      </c>
      <c r="CW14" s="742"/>
      <c r="CX14" s="96">
        <f t="shared" si="0"/>
        <v>150000</v>
      </c>
    </row>
    <row r="15" spans="1:102" ht="35.25">
      <c r="A15" s="134">
        <v>9</v>
      </c>
      <c r="B15" s="729" t="s">
        <v>46</v>
      </c>
      <c r="C15" s="730"/>
      <c r="D15" s="730"/>
      <c r="E15" s="730"/>
      <c r="F15" s="731"/>
      <c r="G15" s="729" t="s">
        <v>12</v>
      </c>
      <c r="H15" s="730"/>
      <c r="I15" s="731"/>
      <c r="J15" s="732">
        <v>9</v>
      </c>
      <c r="K15" s="733"/>
      <c r="L15" s="734">
        <v>10</v>
      </c>
      <c r="M15" s="735"/>
      <c r="N15" s="734">
        <v>278</v>
      </c>
      <c r="O15" s="735"/>
      <c r="P15" s="732">
        <v>222</v>
      </c>
      <c r="Q15" s="733"/>
      <c r="R15" s="741">
        <v>500</v>
      </c>
      <c r="S15" s="743"/>
      <c r="T15" s="734">
        <v>10</v>
      </c>
      <c r="U15" s="735"/>
      <c r="V15" s="734">
        <v>217</v>
      </c>
      <c r="W15" s="744"/>
      <c r="X15" s="735"/>
      <c r="Y15" s="732">
        <v>241</v>
      </c>
      <c r="Z15" s="733"/>
      <c r="AA15" s="741">
        <v>458</v>
      </c>
      <c r="AB15" s="743"/>
      <c r="AC15" s="734">
        <v>10</v>
      </c>
      <c r="AD15" s="735"/>
      <c r="AE15" s="734">
        <v>187</v>
      </c>
      <c r="AF15" s="735"/>
      <c r="AG15" s="739">
        <v>192</v>
      </c>
      <c r="AH15" s="740"/>
      <c r="AI15" s="741">
        <v>379</v>
      </c>
      <c r="AJ15" s="743"/>
      <c r="AK15" s="741">
        <v>30</v>
      </c>
      <c r="AL15" s="743"/>
      <c r="AM15" s="758">
        <v>682</v>
      </c>
      <c r="AN15" s="759"/>
      <c r="AO15" s="741">
        <v>655</v>
      </c>
      <c r="AP15" s="742"/>
      <c r="AQ15" s="742"/>
      <c r="AR15" s="743"/>
      <c r="AS15" s="741">
        <v>1337</v>
      </c>
      <c r="AT15" s="742"/>
      <c r="AU15" s="743"/>
      <c r="AV15" s="135">
        <v>0</v>
      </c>
      <c r="AW15" s="734">
        <v>0</v>
      </c>
      <c r="AX15" s="735"/>
      <c r="AY15" s="739">
        <v>0</v>
      </c>
      <c r="AZ15" s="740"/>
      <c r="BA15" s="136">
        <v>0</v>
      </c>
      <c r="BB15" s="734">
        <v>0</v>
      </c>
      <c r="BC15" s="735"/>
      <c r="BD15" s="734">
        <v>0</v>
      </c>
      <c r="BE15" s="735"/>
      <c r="BF15" s="734">
        <v>0</v>
      </c>
      <c r="BG15" s="744"/>
      <c r="BH15" s="735"/>
      <c r="BI15" s="741">
        <v>0</v>
      </c>
      <c r="BJ15" s="743"/>
      <c r="BK15" s="739">
        <v>0</v>
      </c>
      <c r="BL15" s="740"/>
      <c r="BM15" s="732">
        <v>0</v>
      </c>
      <c r="BN15" s="751"/>
      <c r="BO15" s="751"/>
      <c r="BP15" s="733"/>
      <c r="BQ15" s="135">
        <v>0</v>
      </c>
      <c r="BR15" s="741">
        <v>0</v>
      </c>
      <c r="BS15" s="743"/>
      <c r="BT15" s="741">
        <v>0</v>
      </c>
      <c r="BU15" s="743"/>
      <c r="BV15" s="741">
        <v>0</v>
      </c>
      <c r="BW15" s="742"/>
      <c r="BX15" s="743"/>
      <c r="BY15" s="741">
        <v>0</v>
      </c>
      <c r="BZ15" s="743"/>
      <c r="CA15" s="752">
        <v>0</v>
      </c>
      <c r="CB15" s="753"/>
      <c r="CC15" s="754"/>
      <c r="CD15" s="755">
        <v>30</v>
      </c>
      <c r="CE15" s="756"/>
      <c r="CF15" s="757"/>
      <c r="CG15" s="748">
        <v>682</v>
      </c>
      <c r="CH15" s="749"/>
      <c r="CI15" s="750"/>
      <c r="CJ15" s="745">
        <v>655</v>
      </c>
      <c r="CK15" s="746"/>
      <c r="CL15" s="747"/>
      <c r="CM15" s="748">
        <v>1337</v>
      </c>
      <c r="CN15" s="749"/>
      <c r="CO15" s="750"/>
      <c r="CP15" s="760">
        <v>7</v>
      </c>
      <c r="CQ15" s="761"/>
      <c r="CR15" s="762"/>
      <c r="CS15" s="734">
        <v>34</v>
      </c>
      <c r="CT15" s="744"/>
      <c r="CU15" s="735"/>
      <c r="CV15" s="741">
        <v>41</v>
      </c>
      <c r="CW15" s="742"/>
      <c r="CX15" s="96">
        <f t="shared" si="0"/>
        <v>150000</v>
      </c>
    </row>
    <row r="16" spans="1:102" ht="35.25">
      <c r="A16" s="134">
        <v>10</v>
      </c>
      <c r="B16" s="729" t="s">
        <v>47</v>
      </c>
      <c r="C16" s="730"/>
      <c r="D16" s="730"/>
      <c r="E16" s="730"/>
      <c r="F16" s="731"/>
      <c r="G16" s="729" t="s">
        <v>12</v>
      </c>
      <c r="H16" s="730"/>
      <c r="I16" s="731"/>
      <c r="J16" s="732">
        <v>11</v>
      </c>
      <c r="K16" s="733"/>
      <c r="L16" s="734">
        <v>0</v>
      </c>
      <c r="M16" s="735"/>
      <c r="N16" s="734">
        <v>0</v>
      </c>
      <c r="O16" s="735"/>
      <c r="P16" s="760">
        <v>0</v>
      </c>
      <c r="Q16" s="762"/>
      <c r="R16" s="741">
        <v>0</v>
      </c>
      <c r="S16" s="743"/>
      <c r="T16" s="734">
        <v>0</v>
      </c>
      <c r="U16" s="735"/>
      <c r="V16" s="734">
        <v>0</v>
      </c>
      <c r="W16" s="744"/>
      <c r="X16" s="735"/>
      <c r="Y16" s="760">
        <v>0</v>
      </c>
      <c r="Z16" s="762"/>
      <c r="AA16" s="741">
        <v>0</v>
      </c>
      <c r="AB16" s="743"/>
      <c r="AC16" s="734">
        <v>0</v>
      </c>
      <c r="AD16" s="735"/>
      <c r="AE16" s="734">
        <v>0</v>
      </c>
      <c r="AF16" s="735"/>
      <c r="AG16" s="739">
        <v>0</v>
      </c>
      <c r="AH16" s="740"/>
      <c r="AI16" s="741">
        <v>0</v>
      </c>
      <c r="AJ16" s="743"/>
      <c r="AK16" s="741">
        <v>0</v>
      </c>
      <c r="AL16" s="743"/>
      <c r="AM16" s="758">
        <v>0</v>
      </c>
      <c r="AN16" s="759"/>
      <c r="AO16" s="741">
        <v>0</v>
      </c>
      <c r="AP16" s="742"/>
      <c r="AQ16" s="742"/>
      <c r="AR16" s="743"/>
      <c r="AS16" s="741">
        <v>0</v>
      </c>
      <c r="AT16" s="742"/>
      <c r="AU16" s="743"/>
      <c r="AV16" s="135">
        <v>18</v>
      </c>
      <c r="AW16" s="734">
        <v>585</v>
      </c>
      <c r="AX16" s="735"/>
      <c r="AY16" s="739">
        <v>515</v>
      </c>
      <c r="AZ16" s="740"/>
      <c r="BA16" s="138">
        <v>1100</v>
      </c>
      <c r="BB16" s="734">
        <v>18</v>
      </c>
      <c r="BC16" s="735"/>
      <c r="BD16" s="734">
        <v>444</v>
      </c>
      <c r="BE16" s="735"/>
      <c r="BF16" s="734">
        <v>409</v>
      </c>
      <c r="BG16" s="744"/>
      <c r="BH16" s="735"/>
      <c r="BI16" s="741">
        <v>853</v>
      </c>
      <c r="BJ16" s="743"/>
      <c r="BK16" s="739">
        <v>12</v>
      </c>
      <c r="BL16" s="740"/>
      <c r="BM16" s="732">
        <v>278</v>
      </c>
      <c r="BN16" s="751"/>
      <c r="BO16" s="751"/>
      <c r="BP16" s="733"/>
      <c r="BQ16" s="135">
        <v>302</v>
      </c>
      <c r="BR16" s="741">
        <v>580</v>
      </c>
      <c r="BS16" s="743"/>
      <c r="BT16" s="741">
        <v>48</v>
      </c>
      <c r="BU16" s="743"/>
      <c r="BV16" s="741">
        <v>1307</v>
      </c>
      <c r="BW16" s="742"/>
      <c r="BX16" s="743"/>
      <c r="BY16" s="741">
        <v>1226</v>
      </c>
      <c r="BZ16" s="743"/>
      <c r="CA16" s="758">
        <v>2533</v>
      </c>
      <c r="CB16" s="771"/>
      <c r="CC16" s="759"/>
      <c r="CD16" s="755">
        <v>48</v>
      </c>
      <c r="CE16" s="756"/>
      <c r="CF16" s="757"/>
      <c r="CG16" s="748">
        <v>1307</v>
      </c>
      <c r="CH16" s="749"/>
      <c r="CI16" s="750"/>
      <c r="CJ16" s="745">
        <v>1226</v>
      </c>
      <c r="CK16" s="746"/>
      <c r="CL16" s="747"/>
      <c r="CM16" s="748">
        <v>2533</v>
      </c>
      <c r="CN16" s="749"/>
      <c r="CO16" s="750"/>
      <c r="CP16" s="732">
        <v>26</v>
      </c>
      <c r="CQ16" s="751"/>
      <c r="CR16" s="733"/>
      <c r="CS16" s="734">
        <v>25</v>
      </c>
      <c r="CT16" s="744"/>
      <c r="CU16" s="735"/>
      <c r="CV16" s="741">
        <v>51</v>
      </c>
      <c r="CW16" s="742"/>
      <c r="CX16" s="96">
        <f t="shared" si="0"/>
        <v>150000</v>
      </c>
    </row>
    <row r="17" spans="1:105" ht="35.25">
      <c r="A17" s="134">
        <v>11</v>
      </c>
      <c r="B17" s="726" t="s">
        <v>48</v>
      </c>
      <c r="C17" s="727"/>
      <c r="D17" s="727"/>
      <c r="E17" s="727"/>
      <c r="F17" s="728"/>
      <c r="G17" s="729" t="s">
        <v>37</v>
      </c>
      <c r="H17" s="730"/>
      <c r="I17" s="731"/>
      <c r="J17" s="732">
        <v>15</v>
      </c>
      <c r="K17" s="733"/>
      <c r="L17" s="734">
        <v>0</v>
      </c>
      <c r="M17" s="735"/>
      <c r="N17" s="734">
        <v>0</v>
      </c>
      <c r="O17" s="735"/>
      <c r="P17" s="760">
        <v>0</v>
      </c>
      <c r="Q17" s="762"/>
      <c r="R17" s="741">
        <v>0</v>
      </c>
      <c r="S17" s="743"/>
      <c r="T17" s="734">
        <v>0</v>
      </c>
      <c r="U17" s="735"/>
      <c r="V17" s="734">
        <v>0</v>
      </c>
      <c r="W17" s="744"/>
      <c r="X17" s="735"/>
      <c r="Y17" s="760">
        <v>0</v>
      </c>
      <c r="Z17" s="762"/>
      <c r="AA17" s="741">
        <v>0</v>
      </c>
      <c r="AB17" s="743"/>
      <c r="AC17" s="734">
        <v>0</v>
      </c>
      <c r="AD17" s="735"/>
      <c r="AE17" s="734">
        <v>0</v>
      </c>
      <c r="AF17" s="735"/>
      <c r="AG17" s="739">
        <v>0</v>
      </c>
      <c r="AH17" s="740"/>
      <c r="AI17" s="741">
        <v>0</v>
      </c>
      <c r="AJ17" s="743"/>
      <c r="AK17" s="741">
        <v>0</v>
      </c>
      <c r="AL17" s="743"/>
      <c r="AM17" s="758">
        <v>0</v>
      </c>
      <c r="AN17" s="759"/>
      <c r="AO17" s="741">
        <v>0</v>
      </c>
      <c r="AP17" s="742"/>
      <c r="AQ17" s="742"/>
      <c r="AR17" s="743"/>
      <c r="AS17" s="741">
        <v>0</v>
      </c>
      <c r="AT17" s="742"/>
      <c r="AU17" s="743"/>
      <c r="AV17" s="135">
        <v>4</v>
      </c>
      <c r="AW17" s="734">
        <v>94</v>
      </c>
      <c r="AX17" s="735"/>
      <c r="AY17" s="739">
        <v>93</v>
      </c>
      <c r="AZ17" s="740"/>
      <c r="BA17" s="138">
        <v>187</v>
      </c>
      <c r="BB17" s="734">
        <v>3</v>
      </c>
      <c r="BC17" s="735"/>
      <c r="BD17" s="734">
        <v>62</v>
      </c>
      <c r="BE17" s="735"/>
      <c r="BF17" s="734">
        <v>56</v>
      </c>
      <c r="BG17" s="744"/>
      <c r="BH17" s="735"/>
      <c r="BI17" s="741">
        <v>118</v>
      </c>
      <c r="BJ17" s="743"/>
      <c r="BK17" s="739">
        <v>3</v>
      </c>
      <c r="BL17" s="740"/>
      <c r="BM17" s="732">
        <v>59</v>
      </c>
      <c r="BN17" s="751"/>
      <c r="BO17" s="751"/>
      <c r="BP17" s="733"/>
      <c r="BQ17" s="135">
        <v>72</v>
      </c>
      <c r="BR17" s="741">
        <v>131</v>
      </c>
      <c r="BS17" s="743"/>
      <c r="BT17" s="741">
        <v>10</v>
      </c>
      <c r="BU17" s="743"/>
      <c r="BV17" s="741">
        <v>215</v>
      </c>
      <c r="BW17" s="742"/>
      <c r="BX17" s="743"/>
      <c r="BY17" s="741">
        <v>221</v>
      </c>
      <c r="BZ17" s="743"/>
      <c r="CA17" s="758">
        <v>436</v>
      </c>
      <c r="CB17" s="771"/>
      <c r="CC17" s="759"/>
      <c r="CD17" s="755">
        <v>10</v>
      </c>
      <c r="CE17" s="756"/>
      <c r="CF17" s="757"/>
      <c r="CG17" s="748">
        <v>215</v>
      </c>
      <c r="CH17" s="749"/>
      <c r="CI17" s="750"/>
      <c r="CJ17" s="745">
        <v>221</v>
      </c>
      <c r="CK17" s="746"/>
      <c r="CL17" s="747"/>
      <c r="CM17" s="748">
        <v>436</v>
      </c>
      <c r="CN17" s="749"/>
      <c r="CO17" s="750"/>
      <c r="CP17" s="760">
        <v>9</v>
      </c>
      <c r="CQ17" s="761"/>
      <c r="CR17" s="762"/>
      <c r="CS17" s="734">
        <v>15</v>
      </c>
      <c r="CT17" s="744"/>
      <c r="CU17" s="735"/>
      <c r="CV17" s="741">
        <v>24</v>
      </c>
      <c r="CW17" s="742"/>
      <c r="CX17" s="96">
        <f t="shared" si="0"/>
        <v>90000</v>
      </c>
    </row>
    <row r="18" spans="1:105" ht="35.25">
      <c r="A18" s="134">
        <v>12</v>
      </c>
      <c r="B18" s="726" t="s">
        <v>49</v>
      </c>
      <c r="C18" s="727"/>
      <c r="D18" s="727"/>
      <c r="E18" s="727"/>
      <c r="F18" s="728"/>
      <c r="G18" s="729" t="s">
        <v>12</v>
      </c>
      <c r="H18" s="730"/>
      <c r="I18" s="731"/>
      <c r="J18" s="732">
        <v>4</v>
      </c>
      <c r="K18" s="733"/>
      <c r="L18" s="734">
        <v>0</v>
      </c>
      <c r="M18" s="735"/>
      <c r="N18" s="734">
        <v>0</v>
      </c>
      <c r="O18" s="735"/>
      <c r="P18" s="760">
        <v>0</v>
      </c>
      <c r="Q18" s="762"/>
      <c r="R18" s="741">
        <v>0</v>
      </c>
      <c r="S18" s="743"/>
      <c r="T18" s="734">
        <v>0</v>
      </c>
      <c r="U18" s="735"/>
      <c r="V18" s="734">
        <v>0</v>
      </c>
      <c r="W18" s="744"/>
      <c r="X18" s="735"/>
      <c r="Y18" s="760">
        <v>0</v>
      </c>
      <c r="Z18" s="762"/>
      <c r="AA18" s="741">
        <v>0</v>
      </c>
      <c r="AB18" s="743"/>
      <c r="AC18" s="734">
        <v>0</v>
      </c>
      <c r="AD18" s="735"/>
      <c r="AE18" s="734">
        <v>0</v>
      </c>
      <c r="AF18" s="735"/>
      <c r="AG18" s="739">
        <v>0</v>
      </c>
      <c r="AH18" s="740"/>
      <c r="AI18" s="741">
        <v>0</v>
      </c>
      <c r="AJ18" s="743"/>
      <c r="AK18" s="741">
        <v>0</v>
      </c>
      <c r="AL18" s="743"/>
      <c r="AM18" s="758">
        <v>0</v>
      </c>
      <c r="AN18" s="759"/>
      <c r="AO18" s="741">
        <v>0</v>
      </c>
      <c r="AP18" s="742"/>
      <c r="AQ18" s="742"/>
      <c r="AR18" s="743"/>
      <c r="AS18" s="741">
        <v>0</v>
      </c>
      <c r="AT18" s="742"/>
      <c r="AU18" s="743"/>
      <c r="AV18" s="135">
        <v>5</v>
      </c>
      <c r="AW18" s="734">
        <v>164</v>
      </c>
      <c r="AX18" s="735"/>
      <c r="AY18" s="739">
        <v>225</v>
      </c>
      <c r="AZ18" s="740"/>
      <c r="BA18" s="138">
        <v>389</v>
      </c>
      <c r="BB18" s="734">
        <v>5</v>
      </c>
      <c r="BC18" s="735"/>
      <c r="BD18" s="734">
        <v>142</v>
      </c>
      <c r="BE18" s="735"/>
      <c r="BF18" s="734">
        <v>203</v>
      </c>
      <c r="BG18" s="744"/>
      <c r="BH18" s="735"/>
      <c r="BI18" s="741">
        <v>345</v>
      </c>
      <c r="BJ18" s="743"/>
      <c r="BK18" s="739">
        <v>3</v>
      </c>
      <c r="BL18" s="740"/>
      <c r="BM18" s="732">
        <v>104</v>
      </c>
      <c r="BN18" s="751"/>
      <c r="BO18" s="751"/>
      <c r="BP18" s="733"/>
      <c r="BQ18" s="135">
        <v>122</v>
      </c>
      <c r="BR18" s="741">
        <v>226</v>
      </c>
      <c r="BS18" s="743"/>
      <c r="BT18" s="741">
        <v>13</v>
      </c>
      <c r="BU18" s="743"/>
      <c r="BV18" s="741">
        <v>410</v>
      </c>
      <c r="BW18" s="742"/>
      <c r="BX18" s="743"/>
      <c r="BY18" s="741">
        <v>550</v>
      </c>
      <c r="BZ18" s="743"/>
      <c r="CA18" s="758">
        <v>960</v>
      </c>
      <c r="CB18" s="771"/>
      <c r="CC18" s="759"/>
      <c r="CD18" s="755">
        <v>13</v>
      </c>
      <c r="CE18" s="756"/>
      <c r="CF18" s="757"/>
      <c r="CG18" s="748">
        <v>410</v>
      </c>
      <c r="CH18" s="749"/>
      <c r="CI18" s="750"/>
      <c r="CJ18" s="745">
        <v>550</v>
      </c>
      <c r="CK18" s="746"/>
      <c r="CL18" s="747"/>
      <c r="CM18" s="748">
        <v>960</v>
      </c>
      <c r="CN18" s="749"/>
      <c r="CO18" s="750"/>
      <c r="CP18" s="732">
        <v>12</v>
      </c>
      <c r="CQ18" s="751"/>
      <c r="CR18" s="733"/>
      <c r="CS18" s="734">
        <v>19</v>
      </c>
      <c r="CT18" s="744"/>
      <c r="CU18" s="735"/>
      <c r="CV18" s="741">
        <v>31</v>
      </c>
      <c r="CW18" s="742"/>
      <c r="CX18" s="96">
        <f t="shared" si="0"/>
        <v>90000</v>
      </c>
    </row>
    <row r="19" spans="1:105" ht="35.25">
      <c r="A19" s="134">
        <v>13</v>
      </c>
      <c r="B19" s="726" t="s">
        <v>50</v>
      </c>
      <c r="C19" s="727"/>
      <c r="D19" s="727"/>
      <c r="E19" s="727"/>
      <c r="F19" s="728"/>
      <c r="G19" s="729" t="s">
        <v>40</v>
      </c>
      <c r="H19" s="730"/>
      <c r="I19" s="731"/>
      <c r="J19" s="732">
        <v>11</v>
      </c>
      <c r="K19" s="733"/>
      <c r="L19" s="734">
        <v>0</v>
      </c>
      <c r="M19" s="735"/>
      <c r="N19" s="734">
        <v>0</v>
      </c>
      <c r="O19" s="735"/>
      <c r="P19" s="760">
        <v>0</v>
      </c>
      <c r="Q19" s="762"/>
      <c r="R19" s="741">
        <v>0</v>
      </c>
      <c r="S19" s="743"/>
      <c r="T19" s="734">
        <v>0</v>
      </c>
      <c r="U19" s="735"/>
      <c r="V19" s="734">
        <v>0</v>
      </c>
      <c r="W19" s="744"/>
      <c r="X19" s="735"/>
      <c r="Y19" s="760">
        <v>0</v>
      </c>
      <c r="Z19" s="762"/>
      <c r="AA19" s="741">
        <v>0</v>
      </c>
      <c r="AB19" s="743"/>
      <c r="AC19" s="734">
        <v>0</v>
      </c>
      <c r="AD19" s="735"/>
      <c r="AE19" s="734">
        <v>0</v>
      </c>
      <c r="AF19" s="735"/>
      <c r="AG19" s="739">
        <v>0</v>
      </c>
      <c r="AH19" s="740"/>
      <c r="AI19" s="741">
        <v>0</v>
      </c>
      <c r="AJ19" s="743"/>
      <c r="AK19" s="741">
        <v>0</v>
      </c>
      <c r="AL19" s="743"/>
      <c r="AM19" s="758">
        <v>0</v>
      </c>
      <c r="AN19" s="759"/>
      <c r="AO19" s="741">
        <v>0</v>
      </c>
      <c r="AP19" s="742"/>
      <c r="AQ19" s="742"/>
      <c r="AR19" s="743"/>
      <c r="AS19" s="741">
        <v>0</v>
      </c>
      <c r="AT19" s="742"/>
      <c r="AU19" s="743"/>
      <c r="AV19" s="135">
        <v>10</v>
      </c>
      <c r="AW19" s="734">
        <v>179</v>
      </c>
      <c r="AX19" s="735"/>
      <c r="AY19" s="739">
        <v>185</v>
      </c>
      <c r="AZ19" s="740"/>
      <c r="BA19" s="138">
        <v>364</v>
      </c>
      <c r="BB19" s="734">
        <v>10</v>
      </c>
      <c r="BC19" s="735"/>
      <c r="BD19" s="734">
        <v>127</v>
      </c>
      <c r="BE19" s="735"/>
      <c r="BF19" s="734">
        <v>116</v>
      </c>
      <c r="BG19" s="744"/>
      <c r="BH19" s="735"/>
      <c r="BI19" s="741">
        <v>243</v>
      </c>
      <c r="BJ19" s="743"/>
      <c r="BK19" s="739">
        <v>9</v>
      </c>
      <c r="BL19" s="740"/>
      <c r="BM19" s="732">
        <v>150</v>
      </c>
      <c r="BN19" s="751"/>
      <c r="BO19" s="751"/>
      <c r="BP19" s="733"/>
      <c r="BQ19" s="135">
        <v>136</v>
      </c>
      <c r="BR19" s="741">
        <v>286</v>
      </c>
      <c r="BS19" s="743"/>
      <c r="BT19" s="741">
        <v>29</v>
      </c>
      <c r="BU19" s="743"/>
      <c r="BV19" s="741">
        <v>456</v>
      </c>
      <c r="BW19" s="742"/>
      <c r="BX19" s="743"/>
      <c r="BY19" s="741">
        <v>437</v>
      </c>
      <c r="BZ19" s="743"/>
      <c r="CA19" s="758">
        <v>893</v>
      </c>
      <c r="CB19" s="771"/>
      <c r="CC19" s="759"/>
      <c r="CD19" s="755">
        <v>29</v>
      </c>
      <c r="CE19" s="756"/>
      <c r="CF19" s="757"/>
      <c r="CG19" s="748">
        <v>456</v>
      </c>
      <c r="CH19" s="749"/>
      <c r="CI19" s="750"/>
      <c r="CJ19" s="745">
        <v>437</v>
      </c>
      <c r="CK19" s="746"/>
      <c r="CL19" s="747"/>
      <c r="CM19" s="748">
        <v>893</v>
      </c>
      <c r="CN19" s="749"/>
      <c r="CO19" s="750"/>
      <c r="CP19" s="732">
        <v>13</v>
      </c>
      <c r="CQ19" s="751"/>
      <c r="CR19" s="733"/>
      <c r="CS19" s="734">
        <v>35</v>
      </c>
      <c r="CT19" s="744"/>
      <c r="CU19" s="735"/>
      <c r="CV19" s="741">
        <v>48</v>
      </c>
      <c r="CW19" s="742"/>
      <c r="CX19" s="96">
        <f t="shared" si="0"/>
        <v>90000</v>
      </c>
    </row>
    <row r="20" spans="1:105" ht="35.25">
      <c r="A20" s="134">
        <v>14</v>
      </c>
      <c r="B20" s="729" t="s">
        <v>51</v>
      </c>
      <c r="C20" s="730"/>
      <c r="D20" s="730"/>
      <c r="E20" s="730"/>
      <c r="F20" s="731"/>
      <c r="G20" s="729" t="s">
        <v>12</v>
      </c>
      <c r="H20" s="730"/>
      <c r="I20" s="731"/>
      <c r="J20" s="732">
        <v>4</v>
      </c>
      <c r="K20" s="733"/>
      <c r="L20" s="734">
        <v>0</v>
      </c>
      <c r="M20" s="735"/>
      <c r="N20" s="734">
        <v>0</v>
      </c>
      <c r="O20" s="735"/>
      <c r="P20" s="760">
        <v>0</v>
      </c>
      <c r="Q20" s="762"/>
      <c r="R20" s="741">
        <v>0</v>
      </c>
      <c r="S20" s="743"/>
      <c r="T20" s="734">
        <v>0</v>
      </c>
      <c r="U20" s="735"/>
      <c r="V20" s="734">
        <v>0</v>
      </c>
      <c r="W20" s="744"/>
      <c r="X20" s="735"/>
      <c r="Y20" s="760">
        <v>0</v>
      </c>
      <c r="Z20" s="762"/>
      <c r="AA20" s="741">
        <v>0</v>
      </c>
      <c r="AB20" s="743"/>
      <c r="AC20" s="734">
        <v>0</v>
      </c>
      <c r="AD20" s="735"/>
      <c r="AE20" s="734">
        <v>0</v>
      </c>
      <c r="AF20" s="735"/>
      <c r="AG20" s="739">
        <v>0</v>
      </c>
      <c r="AH20" s="740"/>
      <c r="AI20" s="741">
        <v>0</v>
      </c>
      <c r="AJ20" s="743"/>
      <c r="AK20" s="741">
        <v>0</v>
      </c>
      <c r="AL20" s="743"/>
      <c r="AM20" s="758">
        <v>0</v>
      </c>
      <c r="AN20" s="759"/>
      <c r="AO20" s="741">
        <v>0</v>
      </c>
      <c r="AP20" s="742"/>
      <c r="AQ20" s="742"/>
      <c r="AR20" s="743"/>
      <c r="AS20" s="741">
        <v>0</v>
      </c>
      <c r="AT20" s="742"/>
      <c r="AU20" s="743"/>
      <c r="AV20" s="135">
        <v>6</v>
      </c>
      <c r="AW20" s="734">
        <v>163</v>
      </c>
      <c r="AX20" s="735"/>
      <c r="AY20" s="739">
        <v>232</v>
      </c>
      <c r="AZ20" s="740"/>
      <c r="BA20" s="138">
        <v>395</v>
      </c>
      <c r="BB20" s="734">
        <v>5</v>
      </c>
      <c r="BC20" s="735"/>
      <c r="BD20" s="734">
        <v>124</v>
      </c>
      <c r="BE20" s="735"/>
      <c r="BF20" s="734">
        <v>152</v>
      </c>
      <c r="BG20" s="744"/>
      <c r="BH20" s="735"/>
      <c r="BI20" s="741">
        <v>276</v>
      </c>
      <c r="BJ20" s="743"/>
      <c r="BK20" s="739">
        <v>4</v>
      </c>
      <c r="BL20" s="740"/>
      <c r="BM20" s="732">
        <v>79</v>
      </c>
      <c r="BN20" s="751"/>
      <c r="BO20" s="751"/>
      <c r="BP20" s="733"/>
      <c r="BQ20" s="135">
        <v>144</v>
      </c>
      <c r="BR20" s="741">
        <v>223</v>
      </c>
      <c r="BS20" s="743"/>
      <c r="BT20" s="741">
        <v>15</v>
      </c>
      <c r="BU20" s="743"/>
      <c r="BV20" s="741">
        <v>366</v>
      </c>
      <c r="BW20" s="742"/>
      <c r="BX20" s="743"/>
      <c r="BY20" s="741">
        <v>528</v>
      </c>
      <c r="BZ20" s="743"/>
      <c r="CA20" s="758">
        <v>894</v>
      </c>
      <c r="CB20" s="771"/>
      <c r="CC20" s="759"/>
      <c r="CD20" s="755">
        <v>15</v>
      </c>
      <c r="CE20" s="756"/>
      <c r="CF20" s="757"/>
      <c r="CG20" s="748">
        <v>366</v>
      </c>
      <c r="CH20" s="749"/>
      <c r="CI20" s="750"/>
      <c r="CJ20" s="745">
        <v>528</v>
      </c>
      <c r="CK20" s="746"/>
      <c r="CL20" s="747"/>
      <c r="CM20" s="748">
        <v>894</v>
      </c>
      <c r="CN20" s="749"/>
      <c r="CO20" s="750"/>
      <c r="CP20" s="732">
        <v>15</v>
      </c>
      <c r="CQ20" s="751"/>
      <c r="CR20" s="733"/>
      <c r="CS20" s="734">
        <v>24</v>
      </c>
      <c r="CT20" s="744"/>
      <c r="CU20" s="735"/>
      <c r="CV20" s="741">
        <v>39</v>
      </c>
      <c r="CW20" s="742"/>
      <c r="CX20" s="96">
        <f t="shared" si="0"/>
        <v>90000</v>
      </c>
    </row>
    <row r="21" spans="1:105" ht="35.25">
      <c r="A21" s="134">
        <v>15</v>
      </c>
      <c r="B21" s="729" t="s">
        <v>52</v>
      </c>
      <c r="C21" s="730"/>
      <c r="D21" s="730"/>
      <c r="E21" s="730"/>
      <c r="F21" s="731"/>
      <c r="G21" s="729" t="s">
        <v>44</v>
      </c>
      <c r="H21" s="730"/>
      <c r="I21" s="731"/>
      <c r="J21" s="732">
        <v>9</v>
      </c>
      <c r="K21" s="733"/>
      <c r="L21" s="734">
        <v>0</v>
      </c>
      <c r="M21" s="735"/>
      <c r="N21" s="734">
        <v>0</v>
      </c>
      <c r="O21" s="735"/>
      <c r="P21" s="760">
        <v>0</v>
      </c>
      <c r="Q21" s="762"/>
      <c r="R21" s="741">
        <v>0</v>
      </c>
      <c r="S21" s="743"/>
      <c r="T21" s="734">
        <v>0</v>
      </c>
      <c r="U21" s="735"/>
      <c r="V21" s="734">
        <v>0</v>
      </c>
      <c r="W21" s="744"/>
      <c r="X21" s="735"/>
      <c r="Y21" s="760">
        <v>0</v>
      </c>
      <c r="Z21" s="762"/>
      <c r="AA21" s="741">
        <v>0</v>
      </c>
      <c r="AB21" s="743"/>
      <c r="AC21" s="734">
        <v>0</v>
      </c>
      <c r="AD21" s="735"/>
      <c r="AE21" s="734">
        <v>0</v>
      </c>
      <c r="AF21" s="735"/>
      <c r="AG21" s="739">
        <v>0</v>
      </c>
      <c r="AH21" s="740"/>
      <c r="AI21" s="741">
        <v>0</v>
      </c>
      <c r="AJ21" s="743"/>
      <c r="AK21" s="741">
        <v>0</v>
      </c>
      <c r="AL21" s="743"/>
      <c r="AM21" s="758">
        <v>0</v>
      </c>
      <c r="AN21" s="759"/>
      <c r="AO21" s="741">
        <v>0</v>
      </c>
      <c r="AP21" s="742"/>
      <c r="AQ21" s="742"/>
      <c r="AR21" s="743"/>
      <c r="AS21" s="741">
        <v>0</v>
      </c>
      <c r="AT21" s="742"/>
      <c r="AU21" s="743"/>
      <c r="AV21" s="135">
        <v>7</v>
      </c>
      <c r="AW21" s="734">
        <v>176</v>
      </c>
      <c r="AX21" s="735"/>
      <c r="AY21" s="739">
        <v>200</v>
      </c>
      <c r="AZ21" s="740"/>
      <c r="BA21" s="138">
        <v>376</v>
      </c>
      <c r="BB21" s="734">
        <v>7</v>
      </c>
      <c r="BC21" s="735"/>
      <c r="BD21" s="734">
        <v>141</v>
      </c>
      <c r="BE21" s="735"/>
      <c r="BF21" s="734">
        <v>139</v>
      </c>
      <c r="BG21" s="744"/>
      <c r="BH21" s="735"/>
      <c r="BI21" s="741">
        <v>280</v>
      </c>
      <c r="BJ21" s="743"/>
      <c r="BK21" s="739">
        <v>5</v>
      </c>
      <c r="BL21" s="740"/>
      <c r="BM21" s="732">
        <v>87</v>
      </c>
      <c r="BN21" s="751"/>
      <c r="BO21" s="751"/>
      <c r="BP21" s="733"/>
      <c r="BQ21" s="135">
        <v>146</v>
      </c>
      <c r="BR21" s="741">
        <v>233</v>
      </c>
      <c r="BS21" s="743"/>
      <c r="BT21" s="741">
        <v>19</v>
      </c>
      <c r="BU21" s="743"/>
      <c r="BV21" s="741">
        <v>404</v>
      </c>
      <c r="BW21" s="742"/>
      <c r="BX21" s="743"/>
      <c r="BY21" s="741">
        <v>485</v>
      </c>
      <c r="BZ21" s="743"/>
      <c r="CA21" s="758">
        <v>889</v>
      </c>
      <c r="CB21" s="771"/>
      <c r="CC21" s="759"/>
      <c r="CD21" s="755">
        <v>19</v>
      </c>
      <c r="CE21" s="756"/>
      <c r="CF21" s="757"/>
      <c r="CG21" s="748">
        <v>404</v>
      </c>
      <c r="CH21" s="749"/>
      <c r="CI21" s="750"/>
      <c r="CJ21" s="745">
        <v>485</v>
      </c>
      <c r="CK21" s="746"/>
      <c r="CL21" s="747"/>
      <c r="CM21" s="748">
        <v>889</v>
      </c>
      <c r="CN21" s="749"/>
      <c r="CO21" s="750"/>
      <c r="CP21" s="732">
        <v>13</v>
      </c>
      <c r="CQ21" s="751"/>
      <c r="CR21" s="733"/>
      <c r="CS21" s="734">
        <v>23</v>
      </c>
      <c r="CT21" s="744"/>
      <c r="CU21" s="735"/>
      <c r="CV21" s="741">
        <v>36</v>
      </c>
      <c r="CW21" s="742"/>
      <c r="CX21" s="96">
        <f t="shared" si="0"/>
        <v>90000</v>
      </c>
    </row>
    <row r="22" spans="1:105" ht="35.25">
      <c r="A22" s="134">
        <v>16</v>
      </c>
      <c r="B22" s="726" t="s">
        <v>53</v>
      </c>
      <c r="C22" s="727"/>
      <c r="D22" s="727"/>
      <c r="E22" s="727"/>
      <c r="F22" s="728"/>
      <c r="G22" s="729" t="s">
        <v>44</v>
      </c>
      <c r="H22" s="730"/>
      <c r="I22" s="731"/>
      <c r="J22" s="732">
        <v>9</v>
      </c>
      <c r="K22" s="733"/>
      <c r="L22" s="734">
        <v>0</v>
      </c>
      <c r="M22" s="735"/>
      <c r="N22" s="734">
        <v>0</v>
      </c>
      <c r="O22" s="735"/>
      <c r="P22" s="760">
        <v>0</v>
      </c>
      <c r="Q22" s="762"/>
      <c r="R22" s="741">
        <v>0</v>
      </c>
      <c r="S22" s="743"/>
      <c r="T22" s="734">
        <v>0</v>
      </c>
      <c r="U22" s="735"/>
      <c r="V22" s="734">
        <v>0</v>
      </c>
      <c r="W22" s="744"/>
      <c r="X22" s="735"/>
      <c r="Y22" s="760">
        <v>0</v>
      </c>
      <c r="Z22" s="762"/>
      <c r="AA22" s="741">
        <v>0</v>
      </c>
      <c r="AB22" s="743"/>
      <c r="AC22" s="734">
        <v>0</v>
      </c>
      <c r="AD22" s="735"/>
      <c r="AE22" s="734">
        <v>0</v>
      </c>
      <c r="AF22" s="735"/>
      <c r="AG22" s="739">
        <v>0</v>
      </c>
      <c r="AH22" s="740"/>
      <c r="AI22" s="741">
        <v>0</v>
      </c>
      <c r="AJ22" s="743"/>
      <c r="AK22" s="741">
        <v>0</v>
      </c>
      <c r="AL22" s="743"/>
      <c r="AM22" s="758">
        <v>0</v>
      </c>
      <c r="AN22" s="759"/>
      <c r="AO22" s="741">
        <v>0</v>
      </c>
      <c r="AP22" s="742"/>
      <c r="AQ22" s="742"/>
      <c r="AR22" s="743"/>
      <c r="AS22" s="741">
        <v>0</v>
      </c>
      <c r="AT22" s="742"/>
      <c r="AU22" s="743"/>
      <c r="AV22" s="135">
        <v>8</v>
      </c>
      <c r="AW22" s="734">
        <v>277</v>
      </c>
      <c r="AX22" s="735"/>
      <c r="AY22" s="739">
        <v>289</v>
      </c>
      <c r="AZ22" s="740"/>
      <c r="BA22" s="138">
        <v>566</v>
      </c>
      <c r="BB22" s="734">
        <v>8</v>
      </c>
      <c r="BC22" s="735"/>
      <c r="BD22" s="734">
        <v>217</v>
      </c>
      <c r="BE22" s="735"/>
      <c r="BF22" s="734">
        <v>213</v>
      </c>
      <c r="BG22" s="744"/>
      <c r="BH22" s="735"/>
      <c r="BI22" s="741">
        <v>430</v>
      </c>
      <c r="BJ22" s="743"/>
      <c r="BK22" s="739">
        <v>4</v>
      </c>
      <c r="BL22" s="740"/>
      <c r="BM22" s="732">
        <v>107</v>
      </c>
      <c r="BN22" s="751"/>
      <c r="BO22" s="751"/>
      <c r="BP22" s="733"/>
      <c r="BQ22" s="135">
        <v>192</v>
      </c>
      <c r="BR22" s="741">
        <v>299</v>
      </c>
      <c r="BS22" s="743"/>
      <c r="BT22" s="741">
        <v>20</v>
      </c>
      <c r="BU22" s="743"/>
      <c r="BV22" s="741">
        <v>601</v>
      </c>
      <c r="BW22" s="742"/>
      <c r="BX22" s="743"/>
      <c r="BY22" s="741">
        <v>694</v>
      </c>
      <c r="BZ22" s="743"/>
      <c r="CA22" s="758">
        <v>1295</v>
      </c>
      <c r="CB22" s="771"/>
      <c r="CC22" s="759"/>
      <c r="CD22" s="755">
        <v>20</v>
      </c>
      <c r="CE22" s="756"/>
      <c r="CF22" s="757"/>
      <c r="CG22" s="748">
        <v>601</v>
      </c>
      <c r="CH22" s="749"/>
      <c r="CI22" s="750"/>
      <c r="CJ22" s="745">
        <v>694</v>
      </c>
      <c r="CK22" s="746"/>
      <c r="CL22" s="747"/>
      <c r="CM22" s="748">
        <v>1295</v>
      </c>
      <c r="CN22" s="749"/>
      <c r="CO22" s="750"/>
      <c r="CP22" s="732">
        <v>17</v>
      </c>
      <c r="CQ22" s="751"/>
      <c r="CR22" s="733"/>
      <c r="CS22" s="734">
        <v>30</v>
      </c>
      <c r="CT22" s="744"/>
      <c r="CU22" s="735"/>
      <c r="CV22" s="741">
        <v>47</v>
      </c>
      <c r="CW22" s="742"/>
      <c r="CX22" s="96">
        <f t="shared" si="0"/>
        <v>150000</v>
      </c>
    </row>
    <row r="23" spans="1:105" ht="35.25">
      <c r="A23" s="134">
        <v>17</v>
      </c>
      <c r="B23" s="729" t="s">
        <v>54</v>
      </c>
      <c r="C23" s="730"/>
      <c r="D23" s="730"/>
      <c r="E23" s="730"/>
      <c r="F23" s="731"/>
      <c r="G23" s="729" t="s">
        <v>12</v>
      </c>
      <c r="H23" s="730"/>
      <c r="I23" s="731"/>
      <c r="J23" s="732">
        <v>12</v>
      </c>
      <c r="K23" s="733"/>
      <c r="L23" s="734">
        <v>0</v>
      </c>
      <c r="M23" s="735"/>
      <c r="N23" s="734">
        <v>0</v>
      </c>
      <c r="O23" s="735"/>
      <c r="P23" s="760">
        <v>0</v>
      </c>
      <c r="Q23" s="762"/>
      <c r="R23" s="741">
        <v>0</v>
      </c>
      <c r="S23" s="743"/>
      <c r="T23" s="734">
        <v>0</v>
      </c>
      <c r="U23" s="735"/>
      <c r="V23" s="734">
        <v>0</v>
      </c>
      <c r="W23" s="744"/>
      <c r="X23" s="735"/>
      <c r="Y23" s="760">
        <v>0</v>
      </c>
      <c r="Z23" s="762"/>
      <c r="AA23" s="741">
        <v>0</v>
      </c>
      <c r="AB23" s="743"/>
      <c r="AC23" s="734">
        <v>0</v>
      </c>
      <c r="AD23" s="735"/>
      <c r="AE23" s="734">
        <v>0</v>
      </c>
      <c r="AF23" s="735"/>
      <c r="AG23" s="739">
        <v>0</v>
      </c>
      <c r="AH23" s="740"/>
      <c r="AI23" s="741">
        <v>0</v>
      </c>
      <c r="AJ23" s="743"/>
      <c r="AK23" s="741">
        <v>0</v>
      </c>
      <c r="AL23" s="743"/>
      <c r="AM23" s="758">
        <v>0</v>
      </c>
      <c r="AN23" s="759"/>
      <c r="AO23" s="741">
        <v>0</v>
      </c>
      <c r="AP23" s="742"/>
      <c r="AQ23" s="742"/>
      <c r="AR23" s="743"/>
      <c r="AS23" s="741">
        <v>0</v>
      </c>
      <c r="AT23" s="742"/>
      <c r="AU23" s="743"/>
      <c r="AV23" s="135">
        <v>6</v>
      </c>
      <c r="AW23" s="734">
        <v>190</v>
      </c>
      <c r="AX23" s="735"/>
      <c r="AY23" s="739">
        <v>210</v>
      </c>
      <c r="AZ23" s="740"/>
      <c r="BA23" s="138">
        <v>400</v>
      </c>
      <c r="BB23" s="734">
        <v>7</v>
      </c>
      <c r="BC23" s="735"/>
      <c r="BD23" s="734">
        <v>169</v>
      </c>
      <c r="BE23" s="735"/>
      <c r="BF23" s="734">
        <v>210</v>
      </c>
      <c r="BG23" s="744"/>
      <c r="BH23" s="735"/>
      <c r="BI23" s="741">
        <v>379</v>
      </c>
      <c r="BJ23" s="743"/>
      <c r="BK23" s="739">
        <v>6</v>
      </c>
      <c r="BL23" s="740"/>
      <c r="BM23" s="732">
        <v>94</v>
      </c>
      <c r="BN23" s="751"/>
      <c r="BO23" s="751"/>
      <c r="BP23" s="733"/>
      <c r="BQ23" s="135">
        <v>104</v>
      </c>
      <c r="BR23" s="741">
        <v>198</v>
      </c>
      <c r="BS23" s="743"/>
      <c r="BT23" s="741">
        <v>19</v>
      </c>
      <c r="BU23" s="743"/>
      <c r="BV23" s="741">
        <v>453</v>
      </c>
      <c r="BW23" s="742"/>
      <c r="BX23" s="743"/>
      <c r="BY23" s="741">
        <v>524</v>
      </c>
      <c r="BZ23" s="743"/>
      <c r="CA23" s="758">
        <v>977</v>
      </c>
      <c r="CB23" s="771"/>
      <c r="CC23" s="759"/>
      <c r="CD23" s="755">
        <v>19</v>
      </c>
      <c r="CE23" s="756"/>
      <c r="CF23" s="757"/>
      <c r="CG23" s="748">
        <v>453</v>
      </c>
      <c r="CH23" s="749"/>
      <c r="CI23" s="750"/>
      <c r="CJ23" s="745">
        <v>524</v>
      </c>
      <c r="CK23" s="746"/>
      <c r="CL23" s="747"/>
      <c r="CM23" s="748">
        <v>977</v>
      </c>
      <c r="CN23" s="749"/>
      <c r="CO23" s="750"/>
      <c r="CP23" s="732">
        <v>20</v>
      </c>
      <c r="CQ23" s="751"/>
      <c r="CR23" s="733"/>
      <c r="CS23" s="734">
        <v>29</v>
      </c>
      <c r="CT23" s="744"/>
      <c r="CU23" s="735"/>
      <c r="CV23" s="741">
        <v>49</v>
      </c>
      <c r="CW23" s="742"/>
      <c r="CX23" s="96">
        <f t="shared" si="0"/>
        <v>90000</v>
      </c>
    </row>
    <row r="24" spans="1:105" ht="35.25">
      <c r="A24" s="134">
        <v>18</v>
      </c>
      <c r="B24" s="729" t="s">
        <v>55</v>
      </c>
      <c r="C24" s="730"/>
      <c r="D24" s="730"/>
      <c r="E24" s="730"/>
      <c r="F24" s="731"/>
      <c r="G24" s="729" t="s">
        <v>12</v>
      </c>
      <c r="H24" s="730"/>
      <c r="I24" s="731"/>
      <c r="J24" s="732">
        <v>9</v>
      </c>
      <c r="K24" s="733"/>
      <c r="L24" s="734">
        <v>0</v>
      </c>
      <c r="M24" s="735"/>
      <c r="N24" s="734">
        <v>0</v>
      </c>
      <c r="O24" s="735"/>
      <c r="P24" s="760">
        <v>0</v>
      </c>
      <c r="Q24" s="762"/>
      <c r="R24" s="741">
        <v>0</v>
      </c>
      <c r="S24" s="743"/>
      <c r="T24" s="734">
        <v>0</v>
      </c>
      <c r="U24" s="735"/>
      <c r="V24" s="734">
        <v>0</v>
      </c>
      <c r="W24" s="744"/>
      <c r="X24" s="735"/>
      <c r="Y24" s="760">
        <v>0</v>
      </c>
      <c r="Z24" s="762"/>
      <c r="AA24" s="741">
        <v>0</v>
      </c>
      <c r="AB24" s="743"/>
      <c r="AC24" s="734">
        <v>0</v>
      </c>
      <c r="AD24" s="735"/>
      <c r="AE24" s="734">
        <v>0</v>
      </c>
      <c r="AF24" s="735"/>
      <c r="AG24" s="739">
        <v>0</v>
      </c>
      <c r="AH24" s="740"/>
      <c r="AI24" s="741">
        <v>0</v>
      </c>
      <c r="AJ24" s="743"/>
      <c r="AK24" s="741">
        <v>0</v>
      </c>
      <c r="AL24" s="743"/>
      <c r="AM24" s="758">
        <v>0</v>
      </c>
      <c r="AN24" s="759"/>
      <c r="AO24" s="741">
        <v>0</v>
      </c>
      <c r="AP24" s="742"/>
      <c r="AQ24" s="742"/>
      <c r="AR24" s="743"/>
      <c r="AS24" s="741">
        <v>0</v>
      </c>
      <c r="AT24" s="742"/>
      <c r="AU24" s="743"/>
      <c r="AV24" s="135">
        <v>11</v>
      </c>
      <c r="AW24" s="734">
        <v>228</v>
      </c>
      <c r="AX24" s="735"/>
      <c r="AY24" s="739">
        <v>202</v>
      </c>
      <c r="AZ24" s="740"/>
      <c r="BA24" s="138">
        <v>430</v>
      </c>
      <c r="BB24" s="734">
        <v>9</v>
      </c>
      <c r="BC24" s="735"/>
      <c r="BD24" s="734">
        <v>134</v>
      </c>
      <c r="BE24" s="735"/>
      <c r="BF24" s="734">
        <v>150</v>
      </c>
      <c r="BG24" s="744"/>
      <c r="BH24" s="735"/>
      <c r="BI24" s="741">
        <v>284</v>
      </c>
      <c r="BJ24" s="743"/>
      <c r="BK24" s="739">
        <v>3</v>
      </c>
      <c r="BL24" s="740"/>
      <c r="BM24" s="732">
        <v>29</v>
      </c>
      <c r="BN24" s="751"/>
      <c r="BO24" s="751"/>
      <c r="BP24" s="733"/>
      <c r="BQ24" s="135">
        <v>49</v>
      </c>
      <c r="BR24" s="741">
        <v>78</v>
      </c>
      <c r="BS24" s="743"/>
      <c r="BT24" s="741">
        <v>23</v>
      </c>
      <c r="BU24" s="743"/>
      <c r="BV24" s="741">
        <v>391</v>
      </c>
      <c r="BW24" s="742"/>
      <c r="BX24" s="743"/>
      <c r="BY24" s="741">
        <v>401</v>
      </c>
      <c r="BZ24" s="743"/>
      <c r="CA24" s="758">
        <v>792</v>
      </c>
      <c r="CB24" s="771"/>
      <c r="CC24" s="759"/>
      <c r="CD24" s="755">
        <v>23</v>
      </c>
      <c r="CE24" s="756"/>
      <c r="CF24" s="757"/>
      <c r="CG24" s="748">
        <v>391</v>
      </c>
      <c r="CH24" s="749"/>
      <c r="CI24" s="750"/>
      <c r="CJ24" s="745">
        <v>401</v>
      </c>
      <c r="CK24" s="746"/>
      <c r="CL24" s="747"/>
      <c r="CM24" s="748">
        <v>792</v>
      </c>
      <c r="CN24" s="749"/>
      <c r="CO24" s="750"/>
      <c r="CP24" s="732">
        <v>15</v>
      </c>
      <c r="CQ24" s="751"/>
      <c r="CR24" s="733"/>
      <c r="CS24" s="734">
        <v>20</v>
      </c>
      <c r="CT24" s="744"/>
      <c r="CU24" s="735"/>
      <c r="CV24" s="741">
        <v>35</v>
      </c>
      <c r="CW24" s="742"/>
      <c r="CX24" s="96">
        <f t="shared" si="0"/>
        <v>90000</v>
      </c>
      <c r="DA24" t="b">
        <f>C37=COUNTIF(B7:F32,"GOVERNMENT SCIENCE")</f>
        <v>1</v>
      </c>
    </row>
    <row r="25" spans="1:105" ht="35.25">
      <c r="A25" s="134">
        <v>19</v>
      </c>
      <c r="B25" s="729" t="s">
        <v>56</v>
      </c>
      <c r="C25" s="730"/>
      <c r="D25" s="730"/>
      <c r="E25" s="730"/>
      <c r="F25" s="731"/>
      <c r="G25" s="729" t="s">
        <v>37</v>
      </c>
      <c r="H25" s="730"/>
      <c r="I25" s="731"/>
      <c r="J25" s="732">
        <v>15</v>
      </c>
      <c r="K25" s="733"/>
      <c r="L25" s="734">
        <v>2</v>
      </c>
      <c r="M25" s="735"/>
      <c r="N25" s="734">
        <v>26</v>
      </c>
      <c r="O25" s="735"/>
      <c r="P25" s="732">
        <v>22</v>
      </c>
      <c r="Q25" s="733"/>
      <c r="R25" s="741">
        <v>48</v>
      </c>
      <c r="S25" s="743"/>
      <c r="T25" s="734">
        <v>2</v>
      </c>
      <c r="U25" s="735"/>
      <c r="V25" s="734">
        <v>24</v>
      </c>
      <c r="W25" s="744"/>
      <c r="X25" s="735"/>
      <c r="Y25" s="732">
        <v>27</v>
      </c>
      <c r="Z25" s="733"/>
      <c r="AA25" s="741">
        <v>51</v>
      </c>
      <c r="AB25" s="743"/>
      <c r="AC25" s="734">
        <v>2</v>
      </c>
      <c r="AD25" s="735"/>
      <c r="AE25" s="734">
        <v>19</v>
      </c>
      <c r="AF25" s="735"/>
      <c r="AG25" s="739">
        <v>19</v>
      </c>
      <c r="AH25" s="740"/>
      <c r="AI25" s="741">
        <v>38</v>
      </c>
      <c r="AJ25" s="743"/>
      <c r="AK25" s="741">
        <v>6</v>
      </c>
      <c r="AL25" s="743"/>
      <c r="AM25" s="758">
        <v>69</v>
      </c>
      <c r="AN25" s="759"/>
      <c r="AO25" s="741">
        <v>68</v>
      </c>
      <c r="AP25" s="742"/>
      <c r="AQ25" s="742"/>
      <c r="AR25" s="743"/>
      <c r="AS25" s="741">
        <v>137</v>
      </c>
      <c r="AT25" s="742"/>
      <c r="AU25" s="743"/>
      <c r="AV25" s="135">
        <v>1</v>
      </c>
      <c r="AW25" s="734">
        <v>21</v>
      </c>
      <c r="AX25" s="735"/>
      <c r="AY25" s="739">
        <v>22</v>
      </c>
      <c r="AZ25" s="740"/>
      <c r="BA25" s="138">
        <v>43</v>
      </c>
      <c r="BB25" s="734">
        <v>1</v>
      </c>
      <c r="BC25" s="735"/>
      <c r="BD25" s="734">
        <v>18</v>
      </c>
      <c r="BE25" s="735"/>
      <c r="BF25" s="734">
        <v>13</v>
      </c>
      <c r="BG25" s="744"/>
      <c r="BH25" s="735"/>
      <c r="BI25" s="741">
        <v>31</v>
      </c>
      <c r="BJ25" s="743"/>
      <c r="BK25" s="739">
        <v>1</v>
      </c>
      <c r="BL25" s="740"/>
      <c r="BM25" s="732">
        <v>13</v>
      </c>
      <c r="BN25" s="751"/>
      <c r="BO25" s="751"/>
      <c r="BP25" s="733"/>
      <c r="BQ25" s="135">
        <v>13</v>
      </c>
      <c r="BR25" s="741">
        <v>26</v>
      </c>
      <c r="BS25" s="743"/>
      <c r="BT25" s="741">
        <v>3</v>
      </c>
      <c r="BU25" s="743"/>
      <c r="BV25" s="741">
        <v>52</v>
      </c>
      <c r="BW25" s="742"/>
      <c r="BX25" s="743"/>
      <c r="BY25" s="741">
        <v>48</v>
      </c>
      <c r="BZ25" s="743"/>
      <c r="CA25" s="758">
        <v>100</v>
      </c>
      <c r="CB25" s="771"/>
      <c r="CC25" s="759"/>
      <c r="CD25" s="772">
        <v>9</v>
      </c>
      <c r="CE25" s="773"/>
      <c r="CF25" s="774"/>
      <c r="CG25" s="748">
        <v>121</v>
      </c>
      <c r="CH25" s="749"/>
      <c r="CI25" s="750"/>
      <c r="CJ25" s="745">
        <v>116</v>
      </c>
      <c r="CK25" s="746"/>
      <c r="CL25" s="747"/>
      <c r="CM25" s="748">
        <v>237</v>
      </c>
      <c r="CN25" s="749"/>
      <c r="CO25" s="750"/>
      <c r="CP25" s="732">
        <v>15</v>
      </c>
      <c r="CQ25" s="751"/>
      <c r="CR25" s="733"/>
      <c r="CS25" s="734">
        <v>10</v>
      </c>
      <c r="CT25" s="744"/>
      <c r="CU25" s="735"/>
      <c r="CV25" s="741">
        <v>25</v>
      </c>
      <c r="CW25" s="742"/>
      <c r="CX25" s="96">
        <f t="shared" si="0"/>
        <v>90000</v>
      </c>
    </row>
    <row r="26" spans="1:105" ht="35.25">
      <c r="A26" s="134">
        <v>20</v>
      </c>
      <c r="B26" s="729" t="s">
        <v>57</v>
      </c>
      <c r="C26" s="730"/>
      <c r="D26" s="730"/>
      <c r="E26" s="730"/>
      <c r="F26" s="731"/>
      <c r="G26" s="729" t="s">
        <v>37</v>
      </c>
      <c r="H26" s="730"/>
      <c r="I26" s="731"/>
      <c r="J26" s="732">
        <v>16</v>
      </c>
      <c r="K26" s="733"/>
      <c r="L26" s="734">
        <v>1</v>
      </c>
      <c r="M26" s="735"/>
      <c r="N26" s="734">
        <v>18</v>
      </c>
      <c r="O26" s="735"/>
      <c r="P26" s="732">
        <v>15</v>
      </c>
      <c r="Q26" s="733"/>
      <c r="R26" s="741">
        <v>33</v>
      </c>
      <c r="S26" s="743"/>
      <c r="T26" s="734">
        <v>1</v>
      </c>
      <c r="U26" s="735"/>
      <c r="V26" s="734">
        <v>18</v>
      </c>
      <c r="W26" s="744"/>
      <c r="X26" s="735"/>
      <c r="Y26" s="732">
        <v>22</v>
      </c>
      <c r="Z26" s="733"/>
      <c r="AA26" s="741">
        <v>40</v>
      </c>
      <c r="AB26" s="743"/>
      <c r="AC26" s="734">
        <v>1</v>
      </c>
      <c r="AD26" s="735"/>
      <c r="AE26" s="734">
        <v>24</v>
      </c>
      <c r="AF26" s="735"/>
      <c r="AG26" s="739">
        <v>12</v>
      </c>
      <c r="AH26" s="740"/>
      <c r="AI26" s="741">
        <v>36</v>
      </c>
      <c r="AJ26" s="743"/>
      <c r="AK26" s="741">
        <v>3</v>
      </c>
      <c r="AL26" s="743"/>
      <c r="AM26" s="758">
        <v>60</v>
      </c>
      <c r="AN26" s="759"/>
      <c r="AO26" s="741">
        <v>49</v>
      </c>
      <c r="AP26" s="742"/>
      <c r="AQ26" s="742"/>
      <c r="AR26" s="743"/>
      <c r="AS26" s="741">
        <v>109</v>
      </c>
      <c r="AT26" s="742"/>
      <c r="AU26" s="743"/>
      <c r="AV26" s="135">
        <v>1</v>
      </c>
      <c r="AW26" s="734">
        <v>17</v>
      </c>
      <c r="AX26" s="735"/>
      <c r="AY26" s="739">
        <v>13</v>
      </c>
      <c r="AZ26" s="740"/>
      <c r="BA26" s="138">
        <v>30</v>
      </c>
      <c r="BB26" s="734">
        <v>1</v>
      </c>
      <c r="BC26" s="735"/>
      <c r="BD26" s="734">
        <v>18</v>
      </c>
      <c r="BE26" s="735"/>
      <c r="BF26" s="734">
        <v>14</v>
      </c>
      <c r="BG26" s="744"/>
      <c r="BH26" s="735"/>
      <c r="BI26" s="741">
        <v>32</v>
      </c>
      <c r="BJ26" s="743"/>
      <c r="BK26" s="739">
        <v>1</v>
      </c>
      <c r="BL26" s="740"/>
      <c r="BM26" s="732">
        <v>17</v>
      </c>
      <c r="BN26" s="751"/>
      <c r="BO26" s="751"/>
      <c r="BP26" s="733"/>
      <c r="BQ26" s="135">
        <v>8</v>
      </c>
      <c r="BR26" s="741">
        <v>25</v>
      </c>
      <c r="BS26" s="743"/>
      <c r="BT26" s="741">
        <v>3</v>
      </c>
      <c r="BU26" s="743"/>
      <c r="BV26" s="741">
        <v>52</v>
      </c>
      <c r="BW26" s="742"/>
      <c r="BX26" s="743"/>
      <c r="BY26" s="741">
        <v>35</v>
      </c>
      <c r="BZ26" s="743"/>
      <c r="CA26" s="758">
        <v>87</v>
      </c>
      <c r="CB26" s="771"/>
      <c r="CC26" s="759"/>
      <c r="CD26" s="772">
        <v>6</v>
      </c>
      <c r="CE26" s="773"/>
      <c r="CF26" s="774"/>
      <c r="CG26" s="748">
        <v>112</v>
      </c>
      <c r="CH26" s="749"/>
      <c r="CI26" s="750"/>
      <c r="CJ26" s="745">
        <v>84</v>
      </c>
      <c r="CK26" s="746"/>
      <c r="CL26" s="747"/>
      <c r="CM26" s="748">
        <v>196</v>
      </c>
      <c r="CN26" s="749"/>
      <c r="CO26" s="750"/>
      <c r="CP26" s="760">
        <v>8</v>
      </c>
      <c r="CQ26" s="761"/>
      <c r="CR26" s="762"/>
      <c r="CS26" s="734">
        <v>7</v>
      </c>
      <c r="CT26" s="744"/>
      <c r="CU26" s="735"/>
      <c r="CV26" s="741">
        <v>15</v>
      </c>
      <c r="CW26" s="742"/>
      <c r="CX26" s="96">
        <f t="shared" si="0"/>
        <v>90000</v>
      </c>
    </row>
    <row r="27" spans="1:105" ht="35.25">
      <c r="A27" s="134">
        <v>21</v>
      </c>
      <c r="B27" s="729" t="s">
        <v>58</v>
      </c>
      <c r="C27" s="730"/>
      <c r="D27" s="730"/>
      <c r="E27" s="730"/>
      <c r="F27" s="731"/>
      <c r="G27" s="729" t="s">
        <v>37</v>
      </c>
      <c r="H27" s="730"/>
      <c r="I27" s="731"/>
      <c r="J27" s="732">
        <v>10</v>
      </c>
      <c r="K27" s="733"/>
      <c r="L27" s="734">
        <v>1</v>
      </c>
      <c r="M27" s="735"/>
      <c r="N27" s="734">
        <v>35</v>
      </c>
      <c r="O27" s="735"/>
      <c r="P27" s="732">
        <v>22</v>
      </c>
      <c r="Q27" s="733"/>
      <c r="R27" s="741">
        <v>57</v>
      </c>
      <c r="S27" s="743"/>
      <c r="T27" s="734">
        <v>2</v>
      </c>
      <c r="U27" s="735"/>
      <c r="V27" s="734">
        <v>46</v>
      </c>
      <c r="W27" s="744"/>
      <c r="X27" s="735"/>
      <c r="Y27" s="732">
        <v>19</v>
      </c>
      <c r="Z27" s="733"/>
      <c r="AA27" s="741">
        <v>65</v>
      </c>
      <c r="AB27" s="743"/>
      <c r="AC27" s="734">
        <v>2</v>
      </c>
      <c r="AD27" s="735"/>
      <c r="AE27" s="734">
        <v>36</v>
      </c>
      <c r="AF27" s="735"/>
      <c r="AG27" s="739">
        <v>25</v>
      </c>
      <c r="AH27" s="740"/>
      <c r="AI27" s="741">
        <v>61</v>
      </c>
      <c r="AJ27" s="743"/>
      <c r="AK27" s="741">
        <v>5</v>
      </c>
      <c r="AL27" s="743"/>
      <c r="AM27" s="758">
        <v>117</v>
      </c>
      <c r="AN27" s="759"/>
      <c r="AO27" s="741">
        <v>66</v>
      </c>
      <c r="AP27" s="742"/>
      <c r="AQ27" s="742"/>
      <c r="AR27" s="743"/>
      <c r="AS27" s="741">
        <v>183</v>
      </c>
      <c r="AT27" s="742"/>
      <c r="AU27" s="743"/>
      <c r="AV27" s="135">
        <v>2</v>
      </c>
      <c r="AW27" s="734">
        <v>26</v>
      </c>
      <c r="AX27" s="735"/>
      <c r="AY27" s="739">
        <v>16</v>
      </c>
      <c r="AZ27" s="740"/>
      <c r="BA27" s="138">
        <v>42</v>
      </c>
      <c r="BB27" s="734">
        <v>1</v>
      </c>
      <c r="BC27" s="735"/>
      <c r="BD27" s="734">
        <v>24</v>
      </c>
      <c r="BE27" s="735"/>
      <c r="BF27" s="734">
        <v>10</v>
      </c>
      <c r="BG27" s="744"/>
      <c r="BH27" s="735"/>
      <c r="BI27" s="741">
        <v>34</v>
      </c>
      <c r="BJ27" s="743"/>
      <c r="BK27" s="739">
        <v>1</v>
      </c>
      <c r="BL27" s="740"/>
      <c r="BM27" s="732">
        <v>24</v>
      </c>
      <c r="BN27" s="751"/>
      <c r="BO27" s="751"/>
      <c r="BP27" s="733"/>
      <c r="BQ27" s="135">
        <v>7</v>
      </c>
      <c r="BR27" s="741">
        <v>31</v>
      </c>
      <c r="BS27" s="743"/>
      <c r="BT27" s="741">
        <v>4</v>
      </c>
      <c r="BU27" s="743"/>
      <c r="BV27" s="741">
        <v>74</v>
      </c>
      <c r="BW27" s="742"/>
      <c r="BX27" s="743"/>
      <c r="BY27" s="741">
        <v>33</v>
      </c>
      <c r="BZ27" s="743"/>
      <c r="CA27" s="758">
        <v>107</v>
      </c>
      <c r="CB27" s="771"/>
      <c r="CC27" s="759"/>
      <c r="CD27" s="772">
        <v>9</v>
      </c>
      <c r="CE27" s="773"/>
      <c r="CF27" s="774"/>
      <c r="CG27" s="748">
        <v>191</v>
      </c>
      <c r="CH27" s="749"/>
      <c r="CI27" s="750"/>
      <c r="CJ27" s="745">
        <v>99</v>
      </c>
      <c r="CK27" s="746"/>
      <c r="CL27" s="747"/>
      <c r="CM27" s="748">
        <v>290</v>
      </c>
      <c r="CN27" s="749"/>
      <c r="CO27" s="750"/>
      <c r="CP27" s="760">
        <v>6</v>
      </c>
      <c r="CQ27" s="761"/>
      <c r="CR27" s="762"/>
      <c r="CS27" s="734">
        <v>2</v>
      </c>
      <c r="CT27" s="744"/>
      <c r="CU27" s="735"/>
      <c r="CV27" s="741">
        <v>8</v>
      </c>
      <c r="CW27" s="742"/>
      <c r="CX27" s="96">
        <f t="shared" si="0"/>
        <v>90000</v>
      </c>
    </row>
    <row r="28" spans="1:105" ht="35.25">
      <c r="A28" s="134">
        <v>22</v>
      </c>
      <c r="B28" s="729" t="s">
        <v>59</v>
      </c>
      <c r="C28" s="730"/>
      <c r="D28" s="730"/>
      <c r="E28" s="730"/>
      <c r="F28" s="731"/>
      <c r="G28" s="729" t="s">
        <v>12</v>
      </c>
      <c r="H28" s="730"/>
      <c r="I28" s="731"/>
      <c r="J28" s="732">
        <v>2</v>
      </c>
      <c r="K28" s="733"/>
      <c r="L28" s="734">
        <v>4</v>
      </c>
      <c r="M28" s="735"/>
      <c r="N28" s="734">
        <v>69</v>
      </c>
      <c r="O28" s="735"/>
      <c r="P28" s="732">
        <v>69</v>
      </c>
      <c r="Q28" s="733"/>
      <c r="R28" s="741">
        <v>138</v>
      </c>
      <c r="S28" s="743"/>
      <c r="T28" s="734">
        <v>4</v>
      </c>
      <c r="U28" s="735"/>
      <c r="V28" s="734">
        <v>118</v>
      </c>
      <c r="W28" s="744"/>
      <c r="X28" s="735"/>
      <c r="Y28" s="732">
        <v>112</v>
      </c>
      <c r="Z28" s="733"/>
      <c r="AA28" s="741">
        <v>230</v>
      </c>
      <c r="AB28" s="743"/>
      <c r="AC28" s="734">
        <v>4</v>
      </c>
      <c r="AD28" s="735"/>
      <c r="AE28" s="734">
        <v>63</v>
      </c>
      <c r="AF28" s="735"/>
      <c r="AG28" s="739">
        <v>88</v>
      </c>
      <c r="AH28" s="740"/>
      <c r="AI28" s="741">
        <v>151</v>
      </c>
      <c r="AJ28" s="743"/>
      <c r="AK28" s="741">
        <v>12</v>
      </c>
      <c r="AL28" s="743"/>
      <c r="AM28" s="758">
        <v>250</v>
      </c>
      <c r="AN28" s="759"/>
      <c r="AO28" s="741">
        <v>269</v>
      </c>
      <c r="AP28" s="742"/>
      <c r="AQ28" s="742"/>
      <c r="AR28" s="743"/>
      <c r="AS28" s="741">
        <v>519</v>
      </c>
      <c r="AT28" s="742"/>
      <c r="AU28" s="743"/>
      <c r="AV28" s="135">
        <v>3</v>
      </c>
      <c r="AW28" s="734">
        <v>100</v>
      </c>
      <c r="AX28" s="735"/>
      <c r="AY28" s="739">
        <v>82</v>
      </c>
      <c r="AZ28" s="740"/>
      <c r="BA28" s="138">
        <v>182</v>
      </c>
      <c r="BB28" s="734">
        <v>3</v>
      </c>
      <c r="BC28" s="735"/>
      <c r="BD28" s="734">
        <v>55</v>
      </c>
      <c r="BE28" s="735"/>
      <c r="BF28" s="734">
        <v>66</v>
      </c>
      <c r="BG28" s="744"/>
      <c r="BH28" s="735"/>
      <c r="BI28" s="741">
        <v>121</v>
      </c>
      <c r="BJ28" s="743"/>
      <c r="BK28" s="739">
        <v>3</v>
      </c>
      <c r="BL28" s="740"/>
      <c r="BM28" s="732">
        <v>21</v>
      </c>
      <c r="BN28" s="751"/>
      <c r="BO28" s="751"/>
      <c r="BP28" s="733"/>
      <c r="BQ28" s="135">
        <v>30</v>
      </c>
      <c r="BR28" s="741">
        <v>51</v>
      </c>
      <c r="BS28" s="743"/>
      <c r="BT28" s="741">
        <v>9</v>
      </c>
      <c r="BU28" s="743"/>
      <c r="BV28" s="741">
        <v>176</v>
      </c>
      <c r="BW28" s="742"/>
      <c r="BX28" s="743"/>
      <c r="BY28" s="741">
        <v>178</v>
      </c>
      <c r="BZ28" s="743"/>
      <c r="CA28" s="758">
        <v>354</v>
      </c>
      <c r="CB28" s="771"/>
      <c r="CC28" s="759"/>
      <c r="CD28" s="755">
        <v>21</v>
      </c>
      <c r="CE28" s="756"/>
      <c r="CF28" s="757"/>
      <c r="CG28" s="748">
        <v>426</v>
      </c>
      <c r="CH28" s="749"/>
      <c r="CI28" s="750"/>
      <c r="CJ28" s="745">
        <v>447</v>
      </c>
      <c r="CK28" s="746"/>
      <c r="CL28" s="747"/>
      <c r="CM28" s="748">
        <v>873</v>
      </c>
      <c r="CN28" s="749"/>
      <c r="CO28" s="750"/>
      <c r="CP28" s="732">
        <v>19</v>
      </c>
      <c r="CQ28" s="751"/>
      <c r="CR28" s="733"/>
      <c r="CS28" s="734">
        <v>23</v>
      </c>
      <c r="CT28" s="744"/>
      <c r="CU28" s="735"/>
      <c r="CV28" s="741">
        <v>42</v>
      </c>
      <c r="CW28" s="742"/>
      <c r="CX28" s="96">
        <f t="shared" si="0"/>
        <v>90000</v>
      </c>
    </row>
    <row r="29" spans="1:105" ht="35.25">
      <c r="A29" s="134">
        <v>23</v>
      </c>
      <c r="B29" s="729" t="s">
        <v>60</v>
      </c>
      <c r="C29" s="730"/>
      <c r="D29" s="730"/>
      <c r="E29" s="730"/>
      <c r="F29" s="731"/>
      <c r="G29" s="729" t="s">
        <v>12</v>
      </c>
      <c r="H29" s="730"/>
      <c r="I29" s="731"/>
      <c r="J29" s="732">
        <v>14</v>
      </c>
      <c r="K29" s="733"/>
      <c r="L29" s="734">
        <v>2</v>
      </c>
      <c r="M29" s="735"/>
      <c r="N29" s="734">
        <v>47</v>
      </c>
      <c r="O29" s="735"/>
      <c r="P29" s="732">
        <v>29</v>
      </c>
      <c r="Q29" s="733"/>
      <c r="R29" s="741">
        <v>76</v>
      </c>
      <c r="S29" s="743"/>
      <c r="T29" s="734">
        <v>2</v>
      </c>
      <c r="U29" s="735"/>
      <c r="V29" s="734">
        <v>43</v>
      </c>
      <c r="W29" s="744"/>
      <c r="X29" s="735"/>
      <c r="Y29" s="732">
        <v>28</v>
      </c>
      <c r="Z29" s="733"/>
      <c r="AA29" s="741">
        <v>71</v>
      </c>
      <c r="AB29" s="743"/>
      <c r="AC29" s="734">
        <v>1</v>
      </c>
      <c r="AD29" s="735"/>
      <c r="AE29" s="734">
        <v>15</v>
      </c>
      <c r="AF29" s="735"/>
      <c r="AG29" s="739">
        <v>13</v>
      </c>
      <c r="AH29" s="740"/>
      <c r="AI29" s="741">
        <v>28</v>
      </c>
      <c r="AJ29" s="743"/>
      <c r="AK29" s="741">
        <v>5</v>
      </c>
      <c r="AL29" s="743"/>
      <c r="AM29" s="758">
        <v>105</v>
      </c>
      <c r="AN29" s="759"/>
      <c r="AO29" s="741">
        <v>70</v>
      </c>
      <c r="AP29" s="742"/>
      <c r="AQ29" s="742"/>
      <c r="AR29" s="743"/>
      <c r="AS29" s="741">
        <v>175</v>
      </c>
      <c r="AT29" s="742"/>
      <c r="AU29" s="743"/>
      <c r="AV29" s="135">
        <v>1</v>
      </c>
      <c r="AW29" s="734">
        <v>18</v>
      </c>
      <c r="AX29" s="735"/>
      <c r="AY29" s="739">
        <v>19</v>
      </c>
      <c r="AZ29" s="740"/>
      <c r="BA29" s="138">
        <v>37</v>
      </c>
      <c r="BB29" s="734">
        <v>2</v>
      </c>
      <c r="BC29" s="735"/>
      <c r="BD29" s="734">
        <v>29</v>
      </c>
      <c r="BE29" s="735"/>
      <c r="BF29" s="734">
        <v>19</v>
      </c>
      <c r="BG29" s="744"/>
      <c r="BH29" s="735"/>
      <c r="BI29" s="741">
        <v>48</v>
      </c>
      <c r="BJ29" s="743"/>
      <c r="BK29" s="739">
        <v>1</v>
      </c>
      <c r="BL29" s="740"/>
      <c r="BM29" s="732">
        <v>20</v>
      </c>
      <c r="BN29" s="751"/>
      <c r="BO29" s="751"/>
      <c r="BP29" s="733"/>
      <c r="BQ29" s="135">
        <v>14</v>
      </c>
      <c r="BR29" s="741">
        <v>34</v>
      </c>
      <c r="BS29" s="743"/>
      <c r="BT29" s="741">
        <v>4</v>
      </c>
      <c r="BU29" s="743"/>
      <c r="BV29" s="741">
        <v>67</v>
      </c>
      <c r="BW29" s="742"/>
      <c r="BX29" s="743"/>
      <c r="BY29" s="741">
        <v>52</v>
      </c>
      <c r="BZ29" s="743"/>
      <c r="CA29" s="758">
        <v>119</v>
      </c>
      <c r="CB29" s="771"/>
      <c r="CC29" s="759"/>
      <c r="CD29" s="772">
        <v>9</v>
      </c>
      <c r="CE29" s="773"/>
      <c r="CF29" s="774"/>
      <c r="CG29" s="748">
        <v>172</v>
      </c>
      <c r="CH29" s="749"/>
      <c r="CI29" s="750"/>
      <c r="CJ29" s="745">
        <v>122</v>
      </c>
      <c r="CK29" s="746"/>
      <c r="CL29" s="747"/>
      <c r="CM29" s="748">
        <v>294</v>
      </c>
      <c r="CN29" s="749"/>
      <c r="CO29" s="750"/>
      <c r="CP29" s="760">
        <v>6</v>
      </c>
      <c r="CQ29" s="761"/>
      <c r="CR29" s="762"/>
      <c r="CS29" s="734">
        <v>6</v>
      </c>
      <c r="CT29" s="744"/>
      <c r="CU29" s="735"/>
      <c r="CV29" s="741">
        <v>12</v>
      </c>
      <c r="CW29" s="742"/>
      <c r="CX29" s="96">
        <f t="shared" si="0"/>
        <v>90000</v>
      </c>
    </row>
    <row r="30" spans="1:105" ht="35.25">
      <c r="A30" s="134">
        <v>24</v>
      </c>
      <c r="B30" s="729" t="s">
        <v>61</v>
      </c>
      <c r="C30" s="730"/>
      <c r="D30" s="730"/>
      <c r="E30" s="730"/>
      <c r="F30" s="731"/>
      <c r="G30" s="729" t="s">
        <v>12</v>
      </c>
      <c r="H30" s="730"/>
      <c r="I30" s="731"/>
      <c r="J30" s="732">
        <v>5</v>
      </c>
      <c r="K30" s="733"/>
      <c r="L30" s="734">
        <v>3</v>
      </c>
      <c r="M30" s="735"/>
      <c r="N30" s="734">
        <v>106</v>
      </c>
      <c r="O30" s="735"/>
      <c r="P30" s="732">
        <v>91</v>
      </c>
      <c r="Q30" s="733"/>
      <c r="R30" s="741">
        <v>197</v>
      </c>
      <c r="S30" s="743"/>
      <c r="T30" s="734">
        <v>3</v>
      </c>
      <c r="U30" s="735"/>
      <c r="V30" s="734">
        <v>76</v>
      </c>
      <c r="W30" s="744"/>
      <c r="X30" s="735"/>
      <c r="Y30" s="732">
        <v>87</v>
      </c>
      <c r="Z30" s="733"/>
      <c r="AA30" s="741">
        <v>163</v>
      </c>
      <c r="AB30" s="743"/>
      <c r="AC30" s="734">
        <v>3</v>
      </c>
      <c r="AD30" s="735"/>
      <c r="AE30" s="734">
        <v>58</v>
      </c>
      <c r="AF30" s="735"/>
      <c r="AG30" s="739">
        <v>59</v>
      </c>
      <c r="AH30" s="740"/>
      <c r="AI30" s="741">
        <v>117</v>
      </c>
      <c r="AJ30" s="743"/>
      <c r="AK30" s="741">
        <v>9</v>
      </c>
      <c r="AL30" s="743"/>
      <c r="AM30" s="758">
        <v>240</v>
      </c>
      <c r="AN30" s="759"/>
      <c r="AO30" s="741">
        <v>237</v>
      </c>
      <c r="AP30" s="742"/>
      <c r="AQ30" s="742"/>
      <c r="AR30" s="743"/>
      <c r="AS30" s="741">
        <v>477</v>
      </c>
      <c r="AT30" s="742"/>
      <c r="AU30" s="743"/>
      <c r="AV30" s="135">
        <v>2</v>
      </c>
      <c r="AW30" s="734">
        <v>59</v>
      </c>
      <c r="AX30" s="735"/>
      <c r="AY30" s="739">
        <v>58</v>
      </c>
      <c r="AZ30" s="740"/>
      <c r="BA30" s="138">
        <v>117</v>
      </c>
      <c r="BB30" s="734">
        <v>2</v>
      </c>
      <c r="BC30" s="735"/>
      <c r="BD30" s="734">
        <v>28</v>
      </c>
      <c r="BE30" s="735"/>
      <c r="BF30" s="734">
        <v>25</v>
      </c>
      <c r="BG30" s="744"/>
      <c r="BH30" s="735"/>
      <c r="BI30" s="741">
        <v>53</v>
      </c>
      <c r="BJ30" s="743"/>
      <c r="BK30" s="739">
        <v>2</v>
      </c>
      <c r="BL30" s="740"/>
      <c r="BM30" s="732">
        <v>26</v>
      </c>
      <c r="BN30" s="751"/>
      <c r="BO30" s="751"/>
      <c r="BP30" s="733"/>
      <c r="BQ30" s="135">
        <v>30</v>
      </c>
      <c r="BR30" s="741">
        <v>56</v>
      </c>
      <c r="BS30" s="743"/>
      <c r="BT30" s="741">
        <v>6</v>
      </c>
      <c r="BU30" s="743"/>
      <c r="BV30" s="741">
        <v>113</v>
      </c>
      <c r="BW30" s="742"/>
      <c r="BX30" s="743"/>
      <c r="BY30" s="741">
        <v>113</v>
      </c>
      <c r="BZ30" s="743"/>
      <c r="CA30" s="758">
        <v>226</v>
      </c>
      <c r="CB30" s="771"/>
      <c r="CC30" s="759"/>
      <c r="CD30" s="755">
        <v>15</v>
      </c>
      <c r="CE30" s="756"/>
      <c r="CF30" s="757"/>
      <c r="CG30" s="748">
        <v>353</v>
      </c>
      <c r="CH30" s="749"/>
      <c r="CI30" s="750"/>
      <c r="CJ30" s="745">
        <v>350</v>
      </c>
      <c r="CK30" s="746"/>
      <c r="CL30" s="747"/>
      <c r="CM30" s="748">
        <v>703</v>
      </c>
      <c r="CN30" s="749"/>
      <c r="CO30" s="750"/>
      <c r="CP30" s="732">
        <v>21</v>
      </c>
      <c r="CQ30" s="751"/>
      <c r="CR30" s="733"/>
      <c r="CS30" s="734">
        <v>11</v>
      </c>
      <c r="CT30" s="744"/>
      <c r="CU30" s="735"/>
      <c r="CV30" s="741">
        <v>32</v>
      </c>
      <c r="CW30" s="742"/>
      <c r="CX30" s="96">
        <f t="shared" si="0"/>
        <v>90000</v>
      </c>
    </row>
    <row r="31" spans="1:105" ht="35.25">
      <c r="A31" s="134">
        <v>25</v>
      </c>
      <c r="B31" s="726" t="s">
        <v>62</v>
      </c>
      <c r="C31" s="727"/>
      <c r="D31" s="727"/>
      <c r="E31" s="727"/>
      <c r="F31" s="728"/>
      <c r="G31" s="729" t="s">
        <v>37</v>
      </c>
      <c r="H31" s="730"/>
      <c r="I31" s="731"/>
      <c r="J31" s="732">
        <v>13</v>
      </c>
      <c r="K31" s="733"/>
      <c r="L31" s="734">
        <v>2</v>
      </c>
      <c r="M31" s="735"/>
      <c r="N31" s="734">
        <v>42</v>
      </c>
      <c r="O31" s="735"/>
      <c r="P31" s="732">
        <v>38</v>
      </c>
      <c r="Q31" s="733"/>
      <c r="R31" s="741">
        <v>80</v>
      </c>
      <c r="S31" s="743"/>
      <c r="T31" s="734">
        <v>2</v>
      </c>
      <c r="U31" s="735"/>
      <c r="V31" s="734">
        <v>51</v>
      </c>
      <c r="W31" s="744"/>
      <c r="X31" s="735"/>
      <c r="Y31" s="732">
        <v>37</v>
      </c>
      <c r="Z31" s="733"/>
      <c r="AA31" s="741">
        <v>88</v>
      </c>
      <c r="AB31" s="743"/>
      <c r="AC31" s="734">
        <v>2</v>
      </c>
      <c r="AD31" s="735"/>
      <c r="AE31" s="734">
        <v>22</v>
      </c>
      <c r="AF31" s="735"/>
      <c r="AG31" s="739">
        <v>24</v>
      </c>
      <c r="AH31" s="740"/>
      <c r="AI31" s="741">
        <v>46</v>
      </c>
      <c r="AJ31" s="743"/>
      <c r="AK31" s="741">
        <v>6</v>
      </c>
      <c r="AL31" s="743"/>
      <c r="AM31" s="758">
        <v>115</v>
      </c>
      <c r="AN31" s="759"/>
      <c r="AO31" s="741">
        <v>99</v>
      </c>
      <c r="AP31" s="742"/>
      <c r="AQ31" s="742"/>
      <c r="AR31" s="743"/>
      <c r="AS31" s="741">
        <v>214</v>
      </c>
      <c r="AT31" s="742"/>
      <c r="AU31" s="743"/>
      <c r="AV31" s="135">
        <v>2</v>
      </c>
      <c r="AW31" s="734">
        <v>22</v>
      </c>
      <c r="AX31" s="735"/>
      <c r="AY31" s="739">
        <v>27</v>
      </c>
      <c r="AZ31" s="740"/>
      <c r="BA31" s="138">
        <v>49</v>
      </c>
      <c r="BB31" s="734">
        <v>2</v>
      </c>
      <c r="BC31" s="735"/>
      <c r="BD31" s="734">
        <v>21</v>
      </c>
      <c r="BE31" s="735"/>
      <c r="BF31" s="734">
        <v>14</v>
      </c>
      <c r="BG31" s="744"/>
      <c r="BH31" s="735"/>
      <c r="BI31" s="741">
        <v>35</v>
      </c>
      <c r="BJ31" s="743"/>
      <c r="BK31" s="739">
        <v>1</v>
      </c>
      <c r="BL31" s="740"/>
      <c r="BM31" s="732">
        <v>12</v>
      </c>
      <c r="BN31" s="751"/>
      <c r="BO31" s="751"/>
      <c r="BP31" s="733"/>
      <c r="BQ31" s="135">
        <v>15</v>
      </c>
      <c r="BR31" s="741">
        <v>27</v>
      </c>
      <c r="BS31" s="743"/>
      <c r="BT31" s="741">
        <v>5</v>
      </c>
      <c r="BU31" s="743"/>
      <c r="BV31" s="741">
        <v>55</v>
      </c>
      <c r="BW31" s="742"/>
      <c r="BX31" s="743"/>
      <c r="BY31" s="741">
        <v>56</v>
      </c>
      <c r="BZ31" s="743"/>
      <c r="CA31" s="758">
        <v>111</v>
      </c>
      <c r="CB31" s="771"/>
      <c r="CC31" s="759"/>
      <c r="CD31" s="755">
        <v>11</v>
      </c>
      <c r="CE31" s="756"/>
      <c r="CF31" s="757"/>
      <c r="CG31" s="748">
        <v>170</v>
      </c>
      <c r="CH31" s="749"/>
      <c r="CI31" s="750"/>
      <c r="CJ31" s="745">
        <v>155</v>
      </c>
      <c r="CK31" s="746"/>
      <c r="CL31" s="747"/>
      <c r="CM31" s="748">
        <v>325</v>
      </c>
      <c r="CN31" s="749"/>
      <c r="CO31" s="750"/>
      <c r="CP31" s="732">
        <v>11</v>
      </c>
      <c r="CQ31" s="751"/>
      <c r="CR31" s="733"/>
      <c r="CS31" s="734">
        <v>11</v>
      </c>
      <c r="CT31" s="744"/>
      <c r="CU31" s="735"/>
      <c r="CV31" s="741">
        <v>22</v>
      </c>
      <c r="CW31" s="742"/>
      <c r="CX31" s="96">
        <f t="shared" si="0"/>
        <v>90000</v>
      </c>
    </row>
    <row r="32" spans="1:105" ht="35.25">
      <c r="A32" s="134">
        <v>26</v>
      </c>
      <c r="B32" s="729" t="s">
        <v>63</v>
      </c>
      <c r="C32" s="730"/>
      <c r="D32" s="730"/>
      <c r="E32" s="730"/>
      <c r="F32" s="731"/>
      <c r="G32" s="729" t="s">
        <v>12</v>
      </c>
      <c r="H32" s="730"/>
      <c r="I32" s="731"/>
      <c r="J32" s="732">
        <v>11</v>
      </c>
      <c r="K32" s="733"/>
      <c r="L32" s="734">
        <v>7</v>
      </c>
      <c r="M32" s="735"/>
      <c r="N32" s="734">
        <v>219</v>
      </c>
      <c r="O32" s="735"/>
      <c r="P32" s="732">
        <v>134</v>
      </c>
      <c r="Q32" s="733"/>
      <c r="R32" s="741">
        <v>353</v>
      </c>
      <c r="S32" s="743"/>
      <c r="T32" s="734">
        <v>6</v>
      </c>
      <c r="U32" s="735"/>
      <c r="V32" s="734">
        <v>171</v>
      </c>
      <c r="W32" s="744"/>
      <c r="X32" s="735"/>
      <c r="Y32" s="732">
        <v>186</v>
      </c>
      <c r="Z32" s="733"/>
      <c r="AA32" s="741">
        <v>357</v>
      </c>
      <c r="AB32" s="743"/>
      <c r="AC32" s="734">
        <v>6</v>
      </c>
      <c r="AD32" s="735"/>
      <c r="AE32" s="734">
        <v>159</v>
      </c>
      <c r="AF32" s="735"/>
      <c r="AG32" s="739">
        <v>160</v>
      </c>
      <c r="AH32" s="740"/>
      <c r="AI32" s="741">
        <v>319</v>
      </c>
      <c r="AJ32" s="743"/>
      <c r="AK32" s="741">
        <v>19</v>
      </c>
      <c r="AL32" s="743"/>
      <c r="AM32" s="758">
        <v>549</v>
      </c>
      <c r="AN32" s="759"/>
      <c r="AO32" s="741">
        <v>480</v>
      </c>
      <c r="AP32" s="742"/>
      <c r="AQ32" s="742"/>
      <c r="AR32" s="743"/>
      <c r="AS32" s="741">
        <v>1029</v>
      </c>
      <c r="AT32" s="742"/>
      <c r="AU32" s="743"/>
      <c r="AV32" s="135">
        <v>5</v>
      </c>
      <c r="AW32" s="734">
        <v>118</v>
      </c>
      <c r="AX32" s="735"/>
      <c r="AY32" s="739">
        <v>124</v>
      </c>
      <c r="AZ32" s="740"/>
      <c r="BA32" s="138">
        <v>242</v>
      </c>
      <c r="BB32" s="734">
        <v>4</v>
      </c>
      <c r="BC32" s="735"/>
      <c r="BD32" s="734">
        <v>95</v>
      </c>
      <c r="BE32" s="735"/>
      <c r="BF32" s="734">
        <v>131</v>
      </c>
      <c r="BG32" s="744"/>
      <c r="BH32" s="735"/>
      <c r="BI32" s="741">
        <v>226</v>
      </c>
      <c r="BJ32" s="743"/>
      <c r="BK32" s="739">
        <v>4</v>
      </c>
      <c r="BL32" s="740"/>
      <c r="BM32" s="732">
        <v>55</v>
      </c>
      <c r="BN32" s="751"/>
      <c r="BO32" s="751"/>
      <c r="BP32" s="733"/>
      <c r="BQ32" s="135">
        <v>78</v>
      </c>
      <c r="BR32" s="741">
        <v>133</v>
      </c>
      <c r="BS32" s="743"/>
      <c r="BT32" s="741">
        <v>13</v>
      </c>
      <c r="BU32" s="743"/>
      <c r="BV32" s="741">
        <v>268</v>
      </c>
      <c r="BW32" s="742"/>
      <c r="BX32" s="743"/>
      <c r="BY32" s="741">
        <v>333</v>
      </c>
      <c r="BZ32" s="743"/>
      <c r="CA32" s="758">
        <v>601</v>
      </c>
      <c r="CB32" s="771"/>
      <c r="CC32" s="759"/>
      <c r="CD32" s="755">
        <v>32</v>
      </c>
      <c r="CE32" s="756"/>
      <c r="CF32" s="757"/>
      <c r="CG32" s="789">
        <v>817</v>
      </c>
      <c r="CH32" s="790"/>
      <c r="CI32" s="791"/>
      <c r="CJ32" s="792">
        <v>813</v>
      </c>
      <c r="CK32" s="793"/>
      <c r="CL32" s="794"/>
      <c r="CM32" s="789">
        <v>1630</v>
      </c>
      <c r="CN32" s="790"/>
      <c r="CO32" s="750"/>
      <c r="CP32" s="732">
        <v>17</v>
      </c>
      <c r="CQ32" s="751"/>
      <c r="CR32" s="733"/>
      <c r="CS32" s="734">
        <v>28</v>
      </c>
      <c r="CT32" s="744"/>
      <c r="CU32" s="735"/>
      <c r="CV32" s="741">
        <v>45</v>
      </c>
      <c r="CW32" s="742"/>
      <c r="CX32" s="96">
        <f t="shared" si="0"/>
        <v>150000</v>
      </c>
    </row>
    <row r="33" spans="1:109" ht="31.5" customHeight="1">
      <c r="A33" s="139"/>
      <c r="B33" s="775" t="s">
        <v>421</v>
      </c>
      <c r="C33" s="776"/>
      <c r="D33" s="776"/>
      <c r="E33" s="776"/>
      <c r="F33" s="777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778">
        <f>SUM(CG7:CI32)</f>
        <v>13711</v>
      </c>
      <c r="CH33" s="779"/>
      <c r="CI33" s="780"/>
      <c r="CJ33" s="781">
        <f>SUM(CJ7:CL32)</f>
        <v>13990</v>
      </c>
      <c r="CK33" s="782"/>
      <c r="CL33" s="783"/>
      <c r="CM33" s="784">
        <f>SUM(CM7:CO32)</f>
        <v>27701</v>
      </c>
      <c r="CN33" s="785"/>
      <c r="CO33" s="139"/>
      <c r="CP33" s="139"/>
      <c r="CQ33" s="139"/>
      <c r="CR33" s="139"/>
      <c r="CS33" s="139"/>
      <c r="CT33" s="139"/>
      <c r="CU33" s="139"/>
      <c r="CV33" s="139"/>
      <c r="CW33" s="139"/>
      <c r="CX33" s="96">
        <f>SUM(CX7:CX32)</f>
        <v>3000000</v>
      </c>
    </row>
    <row r="34" spans="1:109" ht="35.25">
      <c r="A34" s="139"/>
      <c r="B34" s="139"/>
      <c r="C34" s="139"/>
      <c r="D34" s="139"/>
      <c r="E34" s="139"/>
      <c r="F34" s="786" t="s">
        <v>428</v>
      </c>
      <c r="G34" s="786"/>
      <c r="H34" s="786"/>
      <c r="I34" s="786"/>
      <c r="J34" s="786"/>
      <c r="K34" s="786"/>
      <c r="L34" s="786"/>
      <c r="M34" s="786"/>
      <c r="N34" s="786"/>
      <c r="O34" s="786"/>
      <c r="P34" s="786"/>
      <c r="Q34" s="786"/>
      <c r="R34" s="786"/>
      <c r="S34" s="786"/>
      <c r="T34" s="786"/>
      <c r="U34" s="786"/>
      <c r="V34" s="786"/>
      <c r="W34" s="786"/>
      <c r="X34" s="786"/>
      <c r="Y34" s="786"/>
      <c r="Z34" s="786"/>
      <c r="AA34" s="786"/>
      <c r="AB34" s="786"/>
      <c r="AC34" s="786"/>
      <c r="AD34" s="786"/>
      <c r="AE34" s="786"/>
      <c r="AF34" s="786"/>
      <c r="AG34" s="786"/>
      <c r="AH34" s="786"/>
      <c r="AI34" s="786"/>
      <c r="AJ34" s="786"/>
      <c r="AK34" s="786"/>
      <c r="AL34" s="786"/>
      <c r="AM34" s="786"/>
      <c r="AN34" s="786"/>
      <c r="AO34" s="786"/>
      <c r="AP34" s="786"/>
      <c r="AQ34" s="786"/>
      <c r="AR34" s="786"/>
      <c r="AS34" s="786"/>
      <c r="AT34" s="786"/>
      <c r="AU34" s="786"/>
      <c r="AV34" s="786"/>
      <c r="AW34" s="786"/>
      <c r="AX34" s="786"/>
      <c r="AY34" s="786"/>
      <c r="AZ34" s="786"/>
      <c r="BA34" s="786"/>
      <c r="BB34" s="786"/>
      <c r="BC34" s="786"/>
      <c r="BD34" s="786"/>
      <c r="BE34" s="786"/>
      <c r="BF34" s="786"/>
      <c r="BG34" s="786"/>
      <c r="BH34" s="786"/>
      <c r="BI34" s="786"/>
      <c r="BJ34" s="786"/>
      <c r="BK34" s="786"/>
      <c r="BL34" s="786"/>
      <c r="BM34" s="786"/>
      <c r="BN34" s="786"/>
      <c r="BO34" s="786"/>
      <c r="BP34" s="786"/>
      <c r="BQ34" s="786"/>
      <c r="BR34" s="786"/>
      <c r="BS34" s="786"/>
      <c r="BT34" s="786"/>
      <c r="BU34" s="786"/>
      <c r="BV34" s="786"/>
      <c r="BW34" s="786"/>
      <c r="BX34" s="786"/>
      <c r="BY34" s="786"/>
      <c r="BZ34" s="786"/>
      <c r="CA34" s="786"/>
      <c r="CB34" s="786"/>
      <c r="CC34" s="786"/>
      <c r="CD34" s="786"/>
      <c r="CE34" s="786"/>
      <c r="CF34" s="786"/>
      <c r="CG34" s="786"/>
      <c r="CH34" s="786"/>
      <c r="CI34" s="786"/>
      <c r="CJ34" s="786"/>
      <c r="CK34" s="786"/>
      <c r="CL34" s="786"/>
      <c r="CM34" s="786"/>
      <c r="CN34" s="786"/>
      <c r="CO34" s="786"/>
      <c r="CP34" s="786"/>
      <c r="CQ34" s="786"/>
      <c r="CR34" s="786"/>
      <c r="CS34" s="139"/>
      <c r="CT34" s="139"/>
      <c r="CU34" s="139"/>
      <c r="CV34" s="139"/>
      <c r="CW34" s="139"/>
      <c r="CX34" s="96">
        <f>CM33*20</f>
        <v>554020</v>
      </c>
      <c r="CY34" s="31"/>
      <c r="CZ34" s="31"/>
      <c r="DA34" s="31"/>
      <c r="DB34" s="31"/>
      <c r="DC34" s="31"/>
      <c r="DD34" s="31"/>
      <c r="DE34" s="2">
        <f>CP33*20</f>
        <v>0</v>
      </c>
    </row>
    <row r="35" spans="1:109" ht="34.5">
      <c r="A35" s="93"/>
      <c r="B35" s="93"/>
      <c r="C35" s="93"/>
      <c r="D35" s="93"/>
      <c r="E35" s="93"/>
      <c r="F35" s="787" t="s">
        <v>430</v>
      </c>
      <c r="G35" s="787"/>
      <c r="H35" s="787"/>
      <c r="I35" s="787"/>
      <c r="J35" s="787"/>
      <c r="K35" s="787"/>
      <c r="L35" s="787"/>
      <c r="M35" s="787"/>
      <c r="N35" s="787"/>
      <c r="O35" s="787"/>
      <c r="P35" s="787"/>
      <c r="Q35" s="787"/>
      <c r="R35" s="787"/>
      <c r="S35" s="787"/>
      <c r="T35" s="787"/>
      <c r="U35" s="787"/>
      <c r="V35" s="787"/>
      <c r="W35" s="787"/>
      <c r="X35" s="787"/>
      <c r="Y35" s="787"/>
      <c r="Z35" s="787"/>
      <c r="AA35" s="787"/>
      <c r="AB35" s="787"/>
      <c r="AC35" s="787"/>
      <c r="AD35" s="787"/>
      <c r="AE35" s="787"/>
      <c r="AF35" s="787"/>
      <c r="AG35" s="787"/>
      <c r="AH35" s="787"/>
      <c r="AI35" s="787"/>
      <c r="AJ35" s="787"/>
      <c r="AK35" s="787"/>
      <c r="AL35" s="787"/>
      <c r="AM35" s="787"/>
      <c r="AN35" s="787"/>
      <c r="AO35" s="787"/>
      <c r="AP35" s="787"/>
      <c r="AQ35" s="787"/>
      <c r="AR35" s="787"/>
      <c r="AS35" s="787"/>
      <c r="AT35" s="787"/>
      <c r="AU35" s="787"/>
      <c r="AV35" s="787"/>
      <c r="AW35" s="787"/>
      <c r="AX35" s="787"/>
      <c r="AY35" s="787"/>
      <c r="AZ35" s="787"/>
      <c r="BA35" s="787"/>
      <c r="BB35" s="787"/>
      <c r="BC35" s="787"/>
      <c r="BD35" s="787"/>
      <c r="BE35" s="787"/>
      <c r="BF35" s="787"/>
      <c r="BG35" s="787"/>
      <c r="BH35" s="787"/>
      <c r="BI35" s="787"/>
      <c r="BJ35" s="787"/>
      <c r="BK35" s="787"/>
      <c r="BL35" s="787"/>
      <c r="BM35" s="787"/>
      <c r="BN35" s="787"/>
      <c r="BO35" s="787"/>
      <c r="BP35" s="787"/>
      <c r="BQ35" s="787"/>
      <c r="BR35" s="787"/>
      <c r="BS35" s="787"/>
      <c r="BT35" s="787"/>
      <c r="BU35" s="787"/>
      <c r="BV35" s="787"/>
      <c r="BW35" s="787"/>
      <c r="BX35" s="787"/>
      <c r="BY35" s="787"/>
      <c r="BZ35" s="787"/>
      <c r="CA35" s="787"/>
      <c r="CB35" s="787"/>
      <c r="CC35" s="787"/>
      <c r="CD35" s="787"/>
      <c r="CE35" s="787"/>
      <c r="CF35" s="787"/>
      <c r="CG35" s="787"/>
      <c r="CH35" s="787"/>
      <c r="CI35" s="787"/>
      <c r="CJ35" s="787"/>
      <c r="CK35" s="787"/>
      <c r="CL35" s="787"/>
      <c r="CM35" s="787"/>
      <c r="CN35" s="787"/>
      <c r="CO35" s="787"/>
      <c r="CP35" s="787"/>
      <c r="CQ35" s="787"/>
      <c r="CR35" s="787"/>
      <c r="CS35" s="787"/>
      <c r="CT35" s="787"/>
      <c r="CU35" s="787"/>
      <c r="CV35" s="787"/>
      <c r="CW35" s="787"/>
      <c r="CX35" s="96">
        <f>CX33+CX34</f>
        <v>3554020</v>
      </c>
      <c r="CY35" s="31"/>
      <c r="CZ35" s="31"/>
      <c r="DA35" s="31"/>
      <c r="DB35" s="31"/>
      <c r="DC35" s="31"/>
      <c r="DD35" s="31"/>
      <c r="DE35" s="2">
        <f>DE33+DE34</f>
        <v>0</v>
      </c>
    </row>
    <row r="36" spans="1:109" ht="53.25" customHeight="1">
      <c r="F36" s="41" t="s">
        <v>538</v>
      </c>
      <c r="CG36" s="93" t="e">
        <f>'ABEOKUTA SOUTH NEW'!C49</f>
        <v>#REF!</v>
      </c>
      <c r="CH36" s="93">
        <f>COUNTIF(CL6:CM32, "&gt;1000")</f>
        <v>11</v>
      </c>
      <c r="CI36" s="51">
        <f t="shared" ref="CI36" si="1">COUNTIF(CN6:CO53, "&lt;1000")</f>
        <v>0</v>
      </c>
    </row>
    <row r="37" spans="1:109">
      <c r="B37">
        <f>COUNTA(B7:F32)-COUNTIF(B7:F32,"GOVERNMENT SCIENCE")</f>
        <v>26</v>
      </c>
      <c r="C37">
        <f>COUNTIF(B7:F32,"GOVERNMENT SCIENCE")</f>
        <v>0</v>
      </c>
    </row>
  </sheetData>
  <mergeCells count="1074">
    <mergeCell ref="B33:F33"/>
    <mergeCell ref="CG33:CI33"/>
    <mergeCell ref="CJ33:CL33"/>
    <mergeCell ref="CM33:CN33"/>
    <mergeCell ref="F34:CR34"/>
    <mergeCell ref="F35:CW35"/>
    <mergeCell ref="CS32:CU32"/>
    <mergeCell ref="CV32:CW32"/>
    <mergeCell ref="A1:CX1"/>
    <mergeCell ref="A2:CX2"/>
    <mergeCell ref="A3:CX3"/>
    <mergeCell ref="A4:CX4"/>
    <mergeCell ref="CA32:CC32"/>
    <mergeCell ref="CD32:CF32"/>
    <mergeCell ref="CG32:CI32"/>
    <mergeCell ref="CJ32:CL32"/>
    <mergeCell ref="CM32:CO32"/>
    <mergeCell ref="CP32:CR32"/>
    <mergeCell ref="BK32:BL32"/>
    <mergeCell ref="BM32:BP32"/>
    <mergeCell ref="BR32:BS32"/>
    <mergeCell ref="BT32:BU32"/>
    <mergeCell ref="BV32:BX32"/>
    <mergeCell ref="BY32:BZ32"/>
    <mergeCell ref="AW32:AX32"/>
    <mergeCell ref="AY32:AZ32"/>
    <mergeCell ref="BB32:BC32"/>
    <mergeCell ref="BD32:BE32"/>
    <mergeCell ref="BF32:BH32"/>
    <mergeCell ref="BI32:BJ32"/>
    <mergeCell ref="AG32:AH32"/>
    <mergeCell ref="AI32:AJ32"/>
    <mergeCell ref="AK32:AL32"/>
    <mergeCell ref="AM32:AN32"/>
    <mergeCell ref="AO32:AR32"/>
    <mergeCell ref="AS32:AU32"/>
    <mergeCell ref="T32:U32"/>
    <mergeCell ref="V32:X32"/>
    <mergeCell ref="Y32:Z32"/>
    <mergeCell ref="AA32:AB32"/>
    <mergeCell ref="AC32:AD32"/>
    <mergeCell ref="AE32:AF32"/>
    <mergeCell ref="CP31:CR31"/>
    <mergeCell ref="CS31:CU31"/>
    <mergeCell ref="CV31:CW31"/>
    <mergeCell ref="B32:F32"/>
    <mergeCell ref="G32:I32"/>
    <mergeCell ref="J32:K32"/>
    <mergeCell ref="L32:M32"/>
    <mergeCell ref="N32:O32"/>
    <mergeCell ref="P32:Q32"/>
    <mergeCell ref="R32:S32"/>
    <mergeCell ref="BY31:BZ31"/>
    <mergeCell ref="CA31:CC31"/>
    <mergeCell ref="CD31:CF31"/>
    <mergeCell ref="CG31:CI31"/>
    <mergeCell ref="CJ31:CL31"/>
    <mergeCell ref="CM31:CO31"/>
    <mergeCell ref="BI31:BJ31"/>
    <mergeCell ref="BK31:BL31"/>
    <mergeCell ref="BM31:BP31"/>
    <mergeCell ref="BR31:BS31"/>
    <mergeCell ref="BT31:BU31"/>
    <mergeCell ref="BV31:BX31"/>
    <mergeCell ref="AS31:AU31"/>
    <mergeCell ref="AW31:AX31"/>
    <mergeCell ref="AY31:AZ31"/>
    <mergeCell ref="BB31:BC31"/>
    <mergeCell ref="BD31:BE31"/>
    <mergeCell ref="BF31:BH31"/>
    <mergeCell ref="AE31:AF31"/>
    <mergeCell ref="AG31:AH31"/>
    <mergeCell ref="AI31:AJ31"/>
    <mergeCell ref="AK31:AL31"/>
    <mergeCell ref="AM31:AN31"/>
    <mergeCell ref="AO31:AR31"/>
    <mergeCell ref="R31:S31"/>
    <mergeCell ref="T31:U31"/>
    <mergeCell ref="V31:X31"/>
    <mergeCell ref="Y31:Z31"/>
    <mergeCell ref="AA31:AB31"/>
    <mergeCell ref="AC31:AD31"/>
    <mergeCell ref="B31:F31"/>
    <mergeCell ref="G31:I31"/>
    <mergeCell ref="J31:K31"/>
    <mergeCell ref="L31:M31"/>
    <mergeCell ref="N31:O31"/>
    <mergeCell ref="P31:Q31"/>
    <mergeCell ref="CG30:CI30"/>
    <mergeCell ref="CJ30:CL30"/>
    <mergeCell ref="CM30:CO30"/>
    <mergeCell ref="CP30:CR30"/>
    <mergeCell ref="CS30:CU30"/>
    <mergeCell ref="CV30:CW30"/>
    <mergeCell ref="BR30:BS30"/>
    <mergeCell ref="BT30:BU30"/>
    <mergeCell ref="BV30:BX30"/>
    <mergeCell ref="BY30:BZ30"/>
    <mergeCell ref="CA30:CC30"/>
    <mergeCell ref="CD30:CF30"/>
    <mergeCell ref="BB30:BC30"/>
    <mergeCell ref="BD30:BE30"/>
    <mergeCell ref="BF30:BH30"/>
    <mergeCell ref="BI30:BJ30"/>
    <mergeCell ref="BK30:BL30"/>
    <mergeCell ref="BM30:BP30"/>
    <mergeCell ref="AK30:AL30"/>
    <mergeCell ref="AM30:AN30"/>
    <mergeCell ref="AO30:AR30"/>
    <mergeCell ref="AS30:AU30"/>
    <mergeCell ref="AW30:AX30"/>
    <mergeCell ref="AY30:AZ30"/>
    <mergeCell ref="Y30:Z30"/>
    <mergeCell ref="AA30:AB30"/>
    <mergeCell ref="AC30:AD30"/>
    <mergeCell ref="AE30:AF30"/>
    <mergeCell ref="AG30:AH30"/>
    <mergeCell ref="AI30:AJ30"/>
    <mergeCell ref="CV29:CW29"/>
    <mergeCell ref="B30:F30"/>
    <mergeCell ref="G30:I30"/>
    <mergeCell ref="J30:K30"/>
    <mergeCell ref="L30:M30"/>
    <mergeCell ref="N30:O30"/>
    <mergeCell ref="P30:Q30"/>
    <mergeCell ref="R30:S30"/>
    <mergeCell ref="T30:U30"/>
    <mergeCell ref="V30:X30"/>
    <mergeCell ref="CD29:CF29"/>
    <mergeCell ref="CG29:CI29"/>
    <mergeCell ref="CJ29:CL29"/>
    <mergeCell ref="CM29:CO29"/>
    <mergeCell ref="CP29:CR29"/>
    <mergeCell ref="CS29:CU29"/>
    <mergeCell ref="BM29:BP29"/>
    <mergeCell ref="BR29:BS29"/>
    <mergeCell ref="BT29:BU29"/>
    <mergeCell ref="BV29:BX29"/>
    <mergeCell ref="BY29:BZ29"/>
    <mergeCell ref="CA29:CC29"/>
    <mergeCell ref="AY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R29"/>
    <mergeCell ref="AS29:AU29"/>
    <mergeCell ref="AW29:AX29"/>
    <mergeCell ref="V29:X29"/>
    <mergeCell ref="Y29:Z29"/>
    <mergeCell ref="AA29:AB29"/>
    <mergeCell ref="AC29:AD29"/>
    <mergeCell ref="AE29:AF29"/>
    <mergeCell ref="AG29:AH29"/>
    <mergeCell ref="CS28:CU28"/>
    <mergeCell ref="CV28:CW28"/>
    <mergeCell ref="B29:F29"/>
    <mergeCell ref="G29:I29"/>
    <mergeCell ref="J29:K29"/>
    <mergeCell ref="L29:M29"/>
    <mergeCell ref="N29:O29"/>
    <mergeCell ref="P29:Q29"/>
    <mergeCell ref="R29:S29"/>
    <mergeCell ref="T29:U29"/>
    <mergeCell ref="CA28:CC28"/>
    <mergeCell ref="CD28:CF28"/>
    <mergeCell ref="CG28:CI28"/>
    <mergeCell ref="CJ28:CL28"/>
    <mergeCell ref="CM28:CO28"/>
    <mergeCell ref="CP28:CR28"/>
    <mergeCell ref="BK28:BL28"/>
    <mergeCell ref="BM28:BP28"/>
    <mergeCell ref="BR28:BS28"/>
    <mergeCell ref="BT28:BU28"/>
    <mergeCell ref="BV28:BX28"/>
    <mergeCell ref="BY28:BZ28"/>
    <mergeCell ref="AW28:AX28"/>
    <mergeCell ref="AY28:AZ28"/>
    <mergeCell ref="BB28:BC28"/>
    <mergeCell ref="BD28:BE28"/>
    <mergeCell ref="BF28:BH28"/>
    <mergeCell ref="BI28:BJ28"/>
    <mergeCell ref="AG28:AH28"/>
    <mergeCell ref="AI28:AJ28"/>
    <mergeCell ref="AK28:AL28"/>
    <mergeCell ref="AM28:AN28"/>
    <mergeCell ref="AO28:AR28"/>
    <mergeCell ref="AS28:AU28"/>
    <mergeCell ref="T28:U28"/>
    <mergeCell ref="V28:X28"/>
    <mergeCell ref="Y28:Z28"/>
    <mergeCell ref="AA28:AB28"/>
    <mergeCell ref="AC28:AD28"/>
    <mergeCell ref="AE28:AF28"/>
    <mergeCell ref="CP27:CR27"/>
    <mergeCell ref="CS27:CU27"/>
    <mergeCell ref="CV27:CW27"/>
    <mergeCell ref="B28:F28"/>
    <mergeCell ref="G28:I28"/>
    <mergeCell ref="J28:K28"/>
    <mergeCell ref="L28:M28"/>
    <mergeCell ref="N28:O28"/>
    <mergeCell ref="P28:Q28"/>
    <mergeCell ref="R28:S28"/>
    <mergeCell ref="BY27:BZ27"/>
    <mergeCell ref="CA27:CC27"/>
    <mergeCell ref="CD27:CF27"/>
    <mergeCell ref="CG27:CI27"/>
    <mergeCell ref="CJ27:CL27"/>
    <mergeCell ref="CM27:CO27"/>
    <mergeCell ref="BI27:BJ27"/>
    <mergeCell ref="BK27:BL27"/>
    <mergeCell ref="BM27:BP27"/>
    <mergeCell ref="BR27:BS27"/>
    <mergeCell ref="BT27:BU27"/>
    <mergeCell ref="BV27:BX27"/>
    <mergeCell ref="AS27:AU27"/>
    <mergeCell ref="AW27:AX27"/>
    <mergeCell ref="AY27:AZ27"/>
    <mergeCell ref="BB27:BC27"/>
    <mergeCell ref="BD27:BE27"/>
    <mergeCell ref="BF27:BH27"/>
    <mergeCell ref="AE27:AF27"/>
    <mergeCell ref="AG27:AH27"/>
    <mergeCell ref="AI27:AJ27"/>
    <mergeCell ref="AK27:AL27"/>
    <mergeCell ref="AM27:AN27"/>
    <mergeCell ref="AO27:AR27"/>
    <mergeCell ref="R27:S27"/>
    <mergeCell ref="T27:U27"/>
    <mergeCell ref="V27:X27"/>
    <mergeCell ref="Y27:Z27"/>
    <mergeCell ref="AA27:AB27"/>
    <mergeCell ref="AC27:AD27"/>
    <mergeCell ref="B27:F27"/>
    <mergeCell ref="G27:I27"/>
    <mergeCell ref="J27:K27"/>
    <mergeCell ref="L27:M27"/>
    <mergeCell ref="N27:O27"/>
    <mergeCell ref="P27:Q27"/>
    <mergeCell ref="CG26:CI26"/>
    <mergeCell ref="CJ26:CL26"/>
    <mergeCell ref="CM26:CO26"/>
    <mergeCell ref="Y26:Z26"/>
    <mergeCell ref="AA26:AB26"/>
    <mergeCell ref="AC26:AD26"/>
    <mergeCell ref="AE26:AF26"/>
    <mergeCell ref="AG26:AH26"/>
    <mergeCell ref="AI26:AJ26"/>
    <mergeCell ref="CP26:CR26"/>
    <mergeCell ref="CS26:CU26"/>
    <mergeCell ref="CV26:CW26"/>
    <mergeCell ref="BR26:BS26"/>
    <mergeCell ref="BT26:BU26"/>
    <mergeCell ref="BV26:BX26"/>
    <mergeCell ref="BY26:BZ26"/>
    <mergeCell ref="CA26:CC26"/>
    <mergeCell ref="CD26:CF26"/>
    <mergeCell ref="BB26:BC26"/>
    <mergeCell ref="BD26:BE26"/>
    <mergeCell ref="BF26:BH26"/>
    <mergeCell ref="BI26:BJ26"/>
    <mergeCell ref="BK26:BL26"/>
    <mergeCell ref="BM26:BP26"/>
    <mergeCell ref="AK26:AL26"/>
    <mergeCell ref="AM26:AN26"/>
    <mergeCell ref="AO26:AR26"/>
    <mergeCell ref="AS26:AU26"/>
    <mergeCell ref="AW26:AX26"/>
    <mergeCell ref="AY26:AZ26"/>
    <mergeCell ref="CV25:CW25"/>
    <mergeCell ref="B26:F26"/>
    <mergeCell ref="G26:I26"/>
    <mergeCell ref="J26:K26"/>
    <mergeCell ref="L26:M26"/>
    <mergeCell ref="N26:O26"/>
    <mergeCell ref="P26:Q26"/>
    <mergeCell ref="R26:S26"/>
    <mergeCell ref="T26:U26"/>
    <mergeCell ref="V26:X26"/>
    <mergeCell ref="CD25:CF25"/>
    <mergeCell ref="CG25:CI25"/>
    <mergeCell ref="CJ25:CL25"/>
    <mergeCell ref="CM25:CO25"/>
    <mergeCell ref="CP25:CR25"/>
    <mergeCell ref="CS25:CU25"/>
    <mergeCell ref="BM25:BP25"/>
    <mergeCell ref="BR25:BS25"/>
    <mergeCell ref="BT25:BU25"/>
    <mergeCell ref="BV25:BX25"/>
    <mergeCell ref="BY25:BZ25"/>
    <mergeCell ref="CA25:CC25"/>
    <mergeCell ref="AY25:AZ25"/>
    <mergeCell ref="BB25:BC25"/>
    <mergeCell ref="BD25:BE25"/>
    <mergeCell ref="BF25:BH25"/>
    <mergeCell ref="BI25:BJ25"/>
    <mergeCell ref="BK25:BL25"/>
    <mergeCell ref="AI25:AJ25"/>
    <mergeCell ref="AK25:AL25"/>
    <mergeCell ref="AM25:AN25"/>
    <mergeCell ref="AO25:AR25"/>
    <mergeCell ref="AS25:AU25"/>
    <mergeCell ref="AW25:AX25"/>
    <mergeCell ref="V25:X25"/>
    <mergeCell ref="Y25:Z25"/>
    <mergeCell ref="AA25:AB25"/>
    <mergeCell ref="AC25:AD25"/>
    <mergeCell ref="AE25:AF25"/>
    <mergeCell ref="AG25:AH25"/>
    <mergeCell ref="CS24:CU24"/>
    <mergeCell ref="CV24:CW24"/>
    <mergeCell ref="B25:F25"/>
    <mergeCell ref="G25:I25"/>
    <mergeCell ref="J25:K25"/>
    <mergeCell ref="L25:M25"/>
    <mergeCell ref="N25:O25"/>
    <mergeCell ref="P25:Q25"/>
    <mergeCell ref="R25:S25"/>
    <mergeCell ref="T25:U25"/>
    <mergeCell ref="CA24:CC24"/>
    <mergeCell ref="CD24:CF24"/>
    <mergeCell ref="CG24:CI24"/>
    <mergeCell ref="CJ24:CL24"/>
    <mergeCell ref="CM24:CO24"/>
    <mergeCell ref="CP24:CR24"/>
    <mergeCell ref="BK24:BL24"/>
    <mergeCell ref="BM24:BP24"/>
    <mergeCell ref="BR24:BS24"/>
    <mergeCell ref="BT24:BU24"/>
    <mergeCell ref="BV24:BX24"/>
    <mergeCell ref="BY24:BZ24"/>
    <mergeCell ref="AW24:AX24"/>
    <mergeCell ref="AY24:AZ24"/>
    <mergeCell ref="BD24:BE24"/>
    <mergeCell ref="BF24:BH24"/>
    <mergeCell ref="BI24:BJ24"/>
    <mergeCell ref="AG24:AH24"/>
    <mergeCell ref="AI24:AJ24"/>
    <mergeCell ref="AK24:AL24"/>
    <mergeCell ref="AM24:AN24"/>
    <mergeCell ref="AO24:AR24"/>
    <mergeCell ref="AS24:AU24"/>
    <mergeCell ref="T24:U24"/>
    <mergeCell ref="V24:X24"/>
    <mergeCell ref="Y24:Z24"/>
    <mergeCell ref="AA24:AB24"/>
    <mergeCell ref="AC24:AD24"/>
    <mergeCell ref="AE24:AF24"/>
    <mergeCell ref="CP23:CR23"/>
    <mergeCell ref="AO23:AR23"/>
    <mergeCell ref="CV23:CW23"/>
    <mergeCell ref="B24:F24"/>
    <mergeCell ref="G24:I24"/>
    <mergeCell ref="J24:K24"/>
    <mergeCell ref="L24:M24"/>
    <mergeCell ref="N24:O24"/>
    <mergeCell ref="P24:Q24"/>
    <mergeCell ref="R24:S24"/>
    <mergeCell ref="BY23:BZ23"/>
    <mergeCell ref="CA23:CC23"/>
    <mergeCell ref="CD23:CF23"/>
    <mergeCell ref="CG23:CI23"/>
    <mergeCell ref="CJ23:CL23"/>
    <mergeCell ref="CM23:CO23"/>
    <mergeCell ref="BI23:BJ23"/>
    <mergeCell ref="BK23:BL23"/>
    <mergeCell ref="BM23:BP23"/>
    <mergeCell ref="BR23:BS23"/>
    <mergeCell ref="BT23:BU23"/>
    <mergeCell ref="BV23:BX23"/>
    <mergeCell ref="AS23:AU23"/>
    <mergeCell ref="AW23:AX23"/>
    <mergeCell ref="AY23:AZ23"/>
    <mergeCell ref="BB23:BC23"/>
    <mergeCell ref="BD23:BE23"/>
    <mergeCell ref="BF23:BH23"/>
    <mergeCell ref="AE23:AF23"/>
    <mergeCell ref="AG23:AH23"/>
    <mergeCell ref="AI23:AJ23"/>
    <mergeCell ref="AK23:AL23"/>
    <mergeCell ref="AM23:AN23"/>
    <mergeCell ref="BB24:BC24"/>
    <mergeCell ref="R23:S23"/>
    <mergeCell ref="T23:U23"/>
    <mergeCell ref="V23:X23"/>
    <mergeCell ref="Y23:Z23"/>
    <mergeCell ref="AA23:AB23"/>
    <mergeCell ref="AC23:AD23"/>
    <mergeCell ref="B23:F23"/>
    <mergeCell ref="G23:I23"/>
    <mergeCell ref="J23:K23"/>
    <mergeCell ref="L23:M23"/>
    <mergeCell ref="N23:O23"/>
    <mergeCell ref="P23:Q23"/>
    <mergeCell ref="CG22:CI22"/>
    <mergeCell ref="CJ22:CL22"/>
    <mergeCell ref="CM22:CO22"/>
    <mergeCell ref="CP22:CR22"/>
    <mergeCell ref="CS22:CU22"/>
    <mergeCell ref="Y22:Z22"/>
    <mergeCell ref="AA22:AB22"/>
    <mergeCell ref="AC22:AD22"/>
    <mergeCell ref="AE22:AF22"/>
    <mergeCell ref="AG22:AH22"/>
    <mergeCell ref="AI22:AJ22"/>
    <mergeCell ref="CS23:CU23"/>
    <mergeCell ref="CV22:CW22"/>
    <mergeCell ref="BR22:BS22"/>
    <mergeCell ref="BT22:BU22"/>
    <mergeCell ref="BV22:BX22"/>
    <mergeCell ref="BY22:BZ22"/>
    <mergeCell ref="CA22:CC22"/>
    <mergeCell ref="CD22:CF22"/>
    <mergeCell ref="BB22:BC22"/>
    <mergeCell ref="BD22:BE22"/>
    <mergeCell ref="BF22:BH22"/>
    <mergeCell ref="BI22:BJ22"/>
    <mergeCell ref="BK22:BL22"/>
    <mergeCell ref="BM22:BP22"/>
    <mergeCell ref="AK22:AL22"/>
    <mergeCell ref="AM22:AN22"/>
    <mergeCell ref="AO22:AR22"/>
    <mergeCell ref="AS22:AU22"/>
    <mergeCell ref="AW22:AX22"/>
    <mergeCell ref="AY22:AZ22"/>
    <mergeCell ref="CV21:CW21"/>
    <mergeCell ref="B22:F22"/>
    <mergeCell ref="G22:I22"/>
    <mergeCell ref="J22:K22"/>
    <mergeCell ref="L22:M22"/>
    <mergeCell ref="N22:O22"/>
    <mergeCell ref="P22:Q22"/>
    <mergeCell ref="R22:S22"/>
    <mergeCell ref="T22:U22"/>
    <mergeCell ref="V22:X22"/>
    <mergeCell ref="CD21:CF21"/>
    <mergeCell ref="CG21:CI21"/>
    <mergeCell ref="CJ21:CL21"/>
    <mergeCell ref="CM21:CO21"/>
    <mergeCell ref="CP21:CR21"/>
    <mergeCell ref="CS21:CU21"/>
    <mergeCell ref="BM21:BP21"/>
    <mergeCell ref="BR21:BS21"/>
    <mergeCell ref="BT21:BU21"/>
    <mergeCell ref="BV21:BX21"/>
    <mergeCell ref="BY21:BZ21"/>
    <mergeCell ref="CA21:CC21"/>
    <mergeCell ref="AY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AO21:AR21"/>
    <mergeCell ref="AS21:AU21"/>
    <mergeCell ref="AW21:AX21"/>
    <mergeCell ref="V21:X21"/>
    <mergeCell ref="Y21:Z21"/>
    <mergeCell ref="AA21:AB21"/>
    <mergeCell ref="AC21:AD21"/>
    <mergeCell ref="AE21:AF21"/>
    <mergeCell ref="AG21:AH21"/>
    <mergeCell ref="CS20:CU20"/>
    <mergeCell ref="CV20:CW20"/>
    <mergeCell ref="B21:F21"/>
    <mergeCell ref="G21:I21"/>
    <mergeCell ref="J21:K21"/>
    <mergeCell ref="L21:M21"/>
    <mergeCell ref="N21:O21"/>
    <mergeCell ref="P21:Q21"/>
    <mergeCell ref="R21:S21"/>
    <mergeCell ref="T21:U21"/>
    <mergeCell ref="CA20:CC20"/>
    <mergeCell ref="CD20:CF20"/>
    <mergeCell ref="CG20:CI20"/>
    <mergeCell ref="CJ20:CL20"/>
    <mergeCell ref="CM20:CO20"/>
    <mergeCell ref="CP20:CR20"/>
    <mergeCell ref="BK20:BL20"/>
    <mergeCell ref="BM20:BP20"/>
    <mergeCell ref="BR20:BS20"/>
    <mergeCell ref="BT20:BU20"/>
    <mergeCell ref="BV20:BX20"/>
    <mergeCell ref="BY20:BZ20"/>
    <mergeCell ref="AW20:AX20"/>
    <mergeCell ref="AY20:AZ20"/>
    <mergeCell ref="BD20:BE20"/>
    <mergeCell ref="BF20:BH20"/>
    <mergeCell ref="BI20:BJ20"/>
    <mergeCell ref="AG20:AH20"/>
    <mergeCell ref="AI20:AJ20"/>
    <mergeCell ref="AK20:AL20"/>
    <mergeCell ref="AM20:AN20"/>
    <mergeCell ref="AO20:AR20"/>
    <mergeCell ref="AS20:AU20"/>
    <mergeCell ref="T20:U20"/>
    <mergeCell ref="V20:X20"/>
    <mergeCell ref="Y20:Z20"/>
    <mergeCell ref="AA20:AB20"/>
    <mergeCell ref="AC20:AD20"/>
    <mergeCell ref="AE20:AF20"/>
    <mergeCell ref="CP19:CR19"/>
    <mergeCell ref="AO19:AR19"/>
    <mergeCell ref="CV19:CW19"/>
    <mergeCell ref="B20:F20"/>
    <mergeCell ref="G20:I20"/>
    <mergeCell ref="J20:K20"/>
    <mergeCell ref="L20:M20"/>
    <mergeCell ref="N20:O20"/>
    <mergeCell ref="P20:Q20"/>
    <mergeCell ref="R20:S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AM19:AN19"/>
    <mergeCell ref="BB20:BC20"/>
    <mergeCell ref="R19:S19"/>
    <mergeCell ref="T19:U19"/>
    <mergeCell ref="V19:X19"/>
    <mergeCell ref="Y19:Z19"/>
    <mergeCell ref="AA19:AB19"/>
    <mergeCell ref="AC19:AD19"/>
    <mergeCell ref="B19:F19"/>
    <mergeCell ref="G19:I19"/>
    <mergeCell ref="J19:K19"/>
    <mergeCell ref="L19:M19"/>
    <mergeCell ref="N19:O19"/>
    <mergeCell ref="P19:Q19"/>
    <mergeCell ref="CG18:CI18"/>
    <mergeCell ref="CJ18:CL18"/>
    <mergeCell ref="CM18:CO18"/>
    <mergeCell ref="CP18:CR18"/>
    <mergeCell ref="CS18:CU18"/>
    <mergeCell ref="Y18:Z18"/>
    <mergeCell ref="AA18:AB18"/>
    <mergeCell ref="AC18:AD18"/>
    <mergeCell ref="AE18:AF18"/>
    <mergeCell ref="AG18:AH18"/>
    <mergeCell ref="AI18:AJ18"/>
    <mergeCell ref="CS19:CU19"/>
    <mergeCell ref="CV18:CW18"/>
    <mergeCell ref="BR18:BS18"/>
    <mergeCell ref="BT18:BU18"/>
    <mergeCell ref="BV18:BX18"/>
    <mergeCell ref="BY18:BZ18"/>
    <mergeCell ref="CA18:CC18"/>
    <mergeCell ref="CD18:CF18"/>
    <mergeCell ref="BB18:BC18"/>
    <mergeCell ref="BD18:BE18"/>
    <mergeCell ref="BF18:BH18"/>
    <mergeCell ref="BI18:BJ18"/>
    <mergeCell ref="BK18:BL18"/>
    <mergeCell ref="BM18:BP18"/>
    <mergeCell ref="AK18:AL18"/>
    <mergeCell ref="AM18:AN18"/>
    <mergeCell ref="AO18:AR18"/>
    <mergeCell ref="AS18:AU18"/>
    <mergeCell ref="AW18:AX18"/>
    <mergeCell ref="AY18:AZ18"/>
    <mergeCell ref="CV17:CW17"/>
    <mergeCell ref="B18:F18"/>
    <mergeCell ref="G18:I18"/>
    <mergeCell ref="J18:K18"/>
    <mergeCell ref="L18:M18"/>
    <mergeCell ref="N18:O18"/>
    <mergeCell ref="P18:Q18"/>
    <mergeCell ref="R18:S18"/>
    <mergeCell ref="T18:U18"/>
    <mergeCell ref="V18:X18"/>
    <mergeCell ref="CD17:CF17"/>
    <mergeCell ref="CG17:CI17"/>
    <mergeCell ref="CJ17:CL17"/>
    <mergeCell ref="CM17:CO17"/>
    <mergeCell ref="CP17:CR17"/>
    <mergeCell ref="CS17:CU17"/>
    <mergeCell ref="BM17:BP17"/>
    <mergeCell ref="BR17:BS17"/>
    <mergeCell ref="BT17:BU17"/>
    <mergeCell ref="BV17:BX17"/>
    <mergeCell ref="BY17:BZ17"/>
    <mergeCell ref="CA17:CC17"/>
    <mergeCell ref="AY17:AZ17"/>
    <mergeCell ref="BB17:BC17"/>
    <mergeCell ref="BD17:BE17"/>
    <mergeCell ref="BF17:BH17"/>
    <mergeCell ref="BI17:BJ17"/>
    <mergeCell ref="BK17:BL17"/>
    <mergeCell ref="AI17:AJ17"/>
    <mergeCell ref="AK17:AL17"/>
    <mergeCell ref="AM17:AN17"/>
    <mergeCell ref="AO17:AR17"/>
    <mergeCell ref="AS17:AU17"/>
    <mergeCell ref="AW17:AX17"/>
    <mergeCell ref="V17:X17"/>
    <mergeCell ref="Y17:Z17"/>
    <mergeCell ref="AA17:AB17"/>
    <mergeCell ref="AC17:AD17"/>
    <mergeCell ref="AE17:AF17"/>
    <mergeCell ref="AG17:AH17"/>
    <mergeCell ref="CS16:CU16"/>
    <mergeCell ref="CV16:CW16"/>
    <mergeCell ref="B17:F17"/>
    <mergeCell ref="G17:I17"/>
    <mergeCell ref="J17:K17"/>
    <mergeCell ref="L17:M17"/>
    <mergeCell ref="N17:O17"/>
    <mergeCell ref="P17:Q17"/>
    <mergeCell ref="R17:S17"/>
    <mergeCell ref="T17:U17"/>
    <mergeCell ref="CA16:CC16"/>
    <mergeCell ref="CD16:CF16"/>
    <mergeCell ref="CG16:CI16"/>
    <mergeCell ref="CJ16:CL16"/>
    <mergeCell ref="CM16:CO16"/>
    <mergeCell ref="CP16:CR16"/>
    <mergeCell ref="BK16:BL16"/>
    <mergeCell ref="BM16:BP16"/>
    <mergeCell ref="BR16:BS16"/>
    <mergeCell ref="BT16:BU16"/>
    <mergeCell ref="BV16:BX16"/>
    <mergeCell ref="BY16:BZ16"/>
    <mergeCell ref="AW16:AX16"/>
    <mergeCell ref="AY16:AZ16"/>
    <mergeCell ref="BD16:BE16"/>
    <mergeCell ref="BF16:BH16"/>
    <mergeCell ref="BI16:BJ16"/>
    <mergeCell ref="AG16:AH16"/>
    <mergeCell ref="AI16:AJ16"/>
    <mergeCell ref="AK16:AL16"/>
    <mergeCell ref="AM16:AN16"/>
    <mergeCell ref="AO16:AR16"/>
    <mergeCell ref="AS16:AU16"/>
    <mergeCell ref="T16:U16"/>
    <mergeCell ref="V16:X16"/>
    <mergeCell ref="Y16:Z16"/>
    <mergeCell ref="AA16:AB16"/>
    <mergeCell ref="AC16:AD16"/>
    <mergeCell ref="AE16:AF16"/>
    <mergeCell ref="CP15:CR15"/>
    <mergeCell ref="AO15:AR15"/>
    <mergeCell ref="CV15:CW15"/>
    <mergeCell ref="B16:F16"/>
    <mergeCell ref="G16:I16"/>
    <mergeCell ref="J16:K16"/>
    <mergeCell ref="L16:M16"/>
    <mergeCell ref="N16:O16"/>
    <mergeCell ref="P16:Q16"/>
    <mergeCell ref="R16:S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BB16:BC16"/>
    <mergeCell ref="R15:S15"/>
    <mergeCell ref="T15:U15"/>
    <mergeCell ref="V15:X15"/>
    <mergeCell ref="Y15:Z15"/>
    <mergeCell ref="AA15:AB15"/>
    <mergeCell ref="AC15:AD15"/>
    <mergeCell ref="B15:F15"/>
    <mergeCell ref="G15:I15"/>
    <mergeCell ref="J15:K15"/>
    <mergeCell ref="L15:M15"/>
    <mergeCell ref="N15:O15"/>
    <mergeCell ref="P15:Q15"/>
    <mergeCell ref="CG14:CI14"/>
    <mergeCell ref="CJ14:CL14"/>
    <mergeCell ref="CM14:CO14"/>
    <mergeCell ref="CP14:CR14"/>
    <mergeCell ref="CS14:CU14"/>
    <mergeCell ref="Y14:Z14"/>
    <mergeCell ref="AA14:AB14"/>
    <mergeCell ref="AC14:AD14"/>
    <mergeCell ref="AE14:AF14"/>
    <mergeCell ref="AG14:AH14"/>
    <mergeCell ref="AI14:AJ14"/>
    <mergeCell ref="CS15:CU15"/>
    <mergeCell ref="CV14:CW14"/>
    <mergeCell ref="BR14:BS14"/>
    <mergeCell ref="BT14:BU14"/>
    <mergeCell ref="BV14:BX14"/>
    <mergeCell ref="BY14:BZ14"/>
    <mergeCell ref="CA14:CC14"/>
    <mergeCell ref="CD14:CF14"/>
    <mergeCell ref="BB14:BC14"/>
    <mergeCell ref="BD14:BE14"/>
    <mergeCell ref="BF14:BH14"/>
    <mergeCell ref="BI14:BJ14"/>
    <mergeCell ref="BK14:BL14"/>
    <mergeCell ref="BM14:BP14"/>
    <mergeCell ref="AK14:AL14"/>
    <mergeCell ref="AM14:AN14"/>
    <mergeCell ref="AO14:AR14"/>
    <mergeCell ref="AS14:AU14"/>
    <mergeCell ref="AW14:AX14"/>
    <mergeCell ref="AY14:AZ14"/>
    <mergeCell ref="CV13:CW13"/>
    <mergeCell ref="B14:F14"/>
    <mergeCell ref="G14:I14"/>
    <mergeCell ref="J14:K14"/>
    <mergeCell ref="L14:M14"/>
    <mergeCell ref="N14:O14"/>
    <mergeCell ref="P14:Q14"/>
    <mergeCell ref="R14:S14"/>
    <mergeCell ref="T14:U14"/>
    <mergeCell ref="V14:X14"/>
    <mergeCell ref="CD13:CF13"/>
    <mergeCell ref="CG13:CI13"/>
    <mergeCell ref="CJ13:CL13"/>
    <mergeCell ref="CM13:CO13"/>
    <mergeCell ref="CP13:CR13"/>
    <mergeCell ref="CS13:CU13"/>
    <mergeCell ref="BM13:BP13"/>
    <mergeCell ref="BR13:BS13"/>
    <mergeCell ref="BT13:BU13"/>
    <mergeCell ref="BV13:BX13"/>
    <mergeCell ref="BY13:BZ13"/>
    <mergeCell ref="CA13:CC13"/>
    <mergeCell ref="AY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AO13:AR13"/>
    <mergeCell ref="AS13:AU13"/>
    <mergeCell ref="AW13:AX13"/>
    <mergeCell ref="V13:X13"/>
    <mergeCell ref="Y13:Z13"/>
    <mergeCell ref="AA13:AB13"/>
    <mergeCell ref="AC13:AD13"/>
    <mergeCell ref="AE13:AF13"/>
    <mergeCell ref="AG13:AH13"/>
    <mergeCell ref="CS12:CU12"/>
    <mergeCell ref="CV12:CW12"/>
    <mergeCell ref="B13:F13"/>
    <mergeCell ref="G13:I13"/>
    <mergeCell ref="J13:K13"/>
    <mergeCell ref="L13:M13"/>
    <mergeCell ref="N13:O13"/>
    <mergeCell ref="P13:Q13"/>
    <mergeCell ref="R13:S13"/>
    <mergeCell ref="T13:U13"/>
    <mergeCell ref="CA12:CC12"/>
    <mergeCell ref="CD12:CF12"/>
    <mergeCell ref="CG12:CI12"/>
    <mergeCell ref="CJ12:CL12"/>
    <mergeCell ref="CM12:CO12"/>
    <mergeCell ref="CP12:CR12"/>
    <mergeCell ref="BK12:BL12"/>
    <mergeCell ref="BM12:BP12"/>
    <mergeCell ref="BR12:BS12"/>
    <mergeCell ref="BT12:BU12"/>
    <mergeCell ref="BV12:BX12"/>
    <mergeCell ref="BY12:BZ12"/>
    <mergeCell ref="AW12:AX12"/>
    <mergeCell ref="AY12:AZ12"/>
    <mergeCell ref="BD12:BE12"/>
    <mergeCell ref="BF12:BH12"/>
    <mergeCell ref="BI12:BJ12"/>
    <mergeCell ref="AG12:AH12"/>
    <mergeCell ref="AI12:AJ12"/>
    <mergeCell ref="AK12:AL12"/>
    <mergeCell ref="AM12:AN12"/>
    <mergeCell ref="AO12:AR12"/>
    <mergeCell ref="AS12:AU12"/>
    <mergeCell ref="T12:U12"/>
    <mergeCell ref="V12:X12"/>
    <mergeCell ref="Y12:Z12"/>
    <mergeCell ref="AA12:AB12"/>
    <mergeCell ref="AC12:AD12"/>
    <mergeCell ref="AE12:AF12"/>
    <mergeCell ref="CP11:CR11"/>
    <mergeCell ref="AO11:AR11"/>
    <mergeCell ref="CV11:CW11"/>
    <mergeCell ref="B12:F12"/>
    <mergeCell ref="G12:I12"/>
    <mergeCell ref="J12:K12"/>
    <mergeCell ref="L12:M12"/>
    <mergeCell ref="N12:O12"/>
    <mergeCell ref="P12:Q12"/>
    <mergeCell ref="R12:S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BB12:BC12"/>
    <mergeCell ref="R11:S11"/>
    <mergeCell ref="T11:U11"/>
    <mergeCell ref="V11:X11"/>
    <mergeCell ref="Y11:Z11"/>
    <mergeCell ref="AA11:AB11"/>
    <mergeCell ref="AC11:AD11"/>
    <mergeCell ref="B11:F11"/>
    <mergeCell ref="G11:I11"/>
    <mergeCell ref="J11:K11"/>
    <mergeCell ref="L11:M11"/>
    <mergeCell ref="N11:O11"/>
    <mergeCell ref="P11:Q11"/>
    <mergeCell ref="CG10:CI10"/>
    <mergeCell ref="CJ10:CL10"/>
    <mergeCell ref="CM10:CO10"/>
    <mergeCell ref="CP10:CR10"/>
    <mergeCell ref="CS10:CU10"/>
    <mergeCell ref="Y10:Z10"/>
    <mergeCell ref="AA10:AB10"/>
    <mergeCell ref="AC10:AD10"/>
    <mergeCell ref="AE10:AF10"/>
    <mergeCell ref="AG10:AH10"/>
    <mergeCell ref="AI10:AJ10"/>
    <mergeCell ref="CS11:CU11"/>
    <mergeCell ref="CV10:CW10"/>
    <mergeCell ref="BR10:BS10"/>
    <mergeCell ref="BT10:BU10"/>
    <mergeCell ref="BV10:BX10"/>
    <mergeCell ref="BY10:BZ10"/>
    <mergeCell ref="CA10:CC10"/>
    <mergeCell ref="CD10:CF10"/>
    <mergeCell ref="BB10:BC10"/>
    <mergeCell ref="BD10:BE10"/>
    <mergeCell ref="BF10:BH10"/>
    <mergeCell ref="BI10:BJ10"/>
    <mergeCell ref="BK10:BL10"/>
    <mergeCell ref="BM10:BP10"/>
    <mergeCell ref="AK10:AL10"/>
    <mergeCell ref="AM10:AN10"/>
    <mergeCell ref="AO10:AR10"/>
    <mergeCell ref="AS10:AU10"/>
    <mergeCell ref="AW10:AX10"/>
    <mergeCell ref="AY10:AZ10"/>
    <mergeCell ref="CV9:CW9"/>
    <mergeCell ref="B10:F10"/>
    <mergeCell ref="G10:I10"/>
    <mergeCell ref="J10:K10"/>
    <mergeCell ref="L10:M10"/>
    <mergeCell ref="N10:O10"/>
    <mergeCell ref="P10:Q10"/>
    <mergeCell ref="R10:S10"/>
    <mergeCell ref="T10:U10"/>
    <mergeCell ref="V10:X10"/>
    <mergeCell ref="CD9:CF9"/>
    <mergeCell ref="CG9:CI9"/>
    <mergeCell ref="CJ9:CL9"/>
    <mergeCell ref="CM9:CO9"/>
    <mergeCell ref="CP9:CR9"/>
    <mergeCell ref="CS9:CU9"/>
    <mergeCell ref="BM9:BP9"/>
    <mergeCell ref="BR9:BS9"/>
    <mergeCell ref="BT9:BU9"/>
    <mergeCell ref="BV9:BX9"/>
    <mergeCell ref="AY9:AZ9"/>
    <mergeCell ref="BB9:BC9"/>
    <mergeCell ref="BD9:BE9"/>
    <mergeCell ref="BF9:BH9"/>
    <mergeCell ref="BI9:BJ9"/>
    <mergeCell ref="BK9:BL9"/>
    <mergeCell ref="AI9:AJ9"/>
    <mergeCell ref="AK9:AL9"/>
    <mergeCell ref="AM9:AN9"/>
    <mergeCell ref="AO9:AR9"/>
    <mergeCell ref="AS9:AU9"/>
    <mergeCell ref="AW9:AX9"/>
    <mergeCell ref="V9:X9"/>
    <mergeCell ref="Y9:Z9"/>
    <mergeCell ref="AA9:AB9"/>
    <mergeCell ref="AC9:AD9"/>
    <mergeCell ref="AE9:AF9"/>
    <mergeCell ref="AG9:AH9"/>
    <mergeCell ref="B9:F9"/>
    <mergeCell ref="G9:I9"/>
    <mergeCell ref="J9:K9"/>
    <mergeCell ref="L9:M9"/>
    <mergeCell ref="N9:O9"/>
    <mergeCell ref="P9:Q9"/>
    <mergeCell ref="R9:S9"/>
    <mergeCell ref="T9:U9"/>
    <mergeCell ref="CA8:CC8"/>
    <mergeCell ref="CD8:CF8"/>
    <mergeCell ref="CG8:CI8"/>
    <mergeCell ref="BY9:BZ9"/>
    <mergeCell ref="CA9:CC9"/>
    <mergeCell ref="CP8:CR8"/>
    <mergeCell ref="BK8:BL8"/>
    <mergeCell ref="BM8:BP8"/>
    <mergeCell ref="BR8:BS8"/>
    <mergeCell ref="BT8:BU8"/>
    <mergeCell ref="BV8:BX8"/>
    <mergeCell ref="BY8:BZ8"/>
    <mergeCell ref="AW8:AX8"/>
    <mergeCell ref="AY8:AZ8"/>
    <mergeCell ref="BB8:BC8"/>
    <mergeCell ref="BD8:BE8"/>
    <mergeCell ref="BF8:BH8"/>
    <mergeCell ref="BI8:BJ8"/>
    <mergeCell ref="AG8:AH8"/>
    <mergeCell ref="AI8:AJ8"/>
    <mergeCell ref="AK8:AL8"/>
    <mergeCell ref="AM8:AN8"/>
    <mergeCell ref="CP7:CR7"/>
    <mergeCell ref="CS7:CU7"/>
    <mergeCell ref="CV7:CW7"/>
    <mergeCell ref="B8:F8"/>
    <mergeCell ref="G8:I8"/>
    <mergeCell ref="J8:K8"/>
    <mergeCell ref="L8:M8"/>
    <mergeCell ref="N8:O8"/>
    <mergeCell ref="P8:Q8"/>
    <mergeCell ref="R8:S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CS8:CU8"/>
    <mergeCell ref="CV8:CW8"/>
    <mergeCell ref="BF7:BH7"/>
    <mergeCell ref="AE7:AF7"/>
    <mergeCell ref="AG7:AH7"/>
    <mergeCell ref="AI7:AJ7"/>
    <mergeCell ref="AK7:AL7"/>
    <mergeCell ref="AM7:AN7"/>
    <mergeCell ref="AO7:AR7"/>
    <mergeCell ref="R7:S7"/>
    <mergeCell ref="T7:U7"/>
    <mergeCell ref="V7:X7"/>
    <mergeCell ref="Y7:Z7"/>
    <mergeCell ref="AA7:AB7"/>
    <mergeCell ref="AC7:AD7"/>
    <mergeCell ref="CM6:CO6"/>
    <mergeCell ref="AM6:AN6"/>
    <mergeCell ref="AO8:AR8"/>
    <mergeCell ref="AS8:AU8"/>
    <mergeCell ref="T8:U8"/>
    <mergeCell ref="V8:X8"/>
    <mergeCell ref="Y8:Z8"/>
    <mergeCell ref="AA8:AB8"/>
    <mergeCell ref="AC8:AD8"/>
    <mergeCell ref="AE8:AF8"/>
    <mergeCell ref="CJ8:CL8"/>
    <mergeCell ref="CM8:CO8"/>
    <mergeCell ref="B7:F7"/>
    <mergeCell ref="G7:I7"/>
    <mergeCell ref="J7:K7"/>
    <mergeCell ref="L7:M7"/>
    <mergeCell ref="N7:O7"/>
    <mergeCell ref="P7:Q7"/>
    <mergeCell ref="BV6:BX6"/>
    <mergeCell ref="BY6:BZ6"/>
    <mergeCell ref="CA6:CC6"/>
    <mergeCell ref="CD6:CF6"/>
    <mergeCell ref="CG6:CI6"/>
    <mergeCell ref="CJ6:CL6"/>
    <mergeCell ref="BF6:BH6"/>
    <mergeCell ref="BI6:BJ6"/>
    <mergeCell ref="BK6:BL6"/>
    <mergeCell ref="BM6:BP6"/>
    <mergeCell ref="BR6:BS6"/>
    <mergeCell ref="BT6:BU6"/>
    <mergeCell ref="AO6:AR6"/>
    <mergeCell ref="AS6:AU6"/>
    <mergeCell ref="AW6:AX6"/>
    <mergeCell ref="AY6:AZ6"/>
    <mergeCell ref="BB6:BC6"/>
    <mergeCell ref="BD6:BE6"/>
    <mergeCell ref="AC6:AD6"/>
    <mergeCell ref="AE6:AF6"/>
    <mergeCell ref="AG6:AH6"/>
    <mergeCell ref="AI6:AJ6"/>
    <mergeCell ref="AK6:AL6"/>
    <mergeCell ref="AY7:AZ7"/>
    <mergeCell ref="BB7:BC7"/>
    <mergeCell ref="BD7:BE7"/>
    <mergeCell ref="CD5:CO5"/>
    <mergeCell ref="CP5:CW5"/>
    <mergeCell ref="L6:M6"/>
    <mergeCell ref="N6:O6"/>
    <mergeCell ref="P6:Q6"/>
    <mergeCell ref="R6:S6"/>
    <mergeCell ref="T6:U6"/>
    <mergeCell ref="V6:X6"/>
    <mergeCell ref="Y6:Z6"/>
    <mergeCell ref="AA6:AB6"/>
    <mergeCell ref="AC5:AJ5"/>
    <mergeCell ref="AK5:AU5"/>
    <mergeCell ref="AV5:BA5"/>
    <mergeCell ref="BB5:BJ5"/>
    <mergeCell ref="BK5:BS5"/>
    <mergeCell ref="BT5:CC5"/>
    <mergeCell ref="A5:A6"/>
    <mergeCell ref="B5:F6"/>
    <mergeCell ref="G5:I6"/>
    <mergeCell ref="J5:K6"/>
    <mergeCell ref="L5:S5"/>
    <mergeCell ref="T5:AB5"/>
    <mergeCell ref="CP6:CR6"/>
    <mergeCell ref="CS6:CU6"/>
    <mergeCell ref="CV6:CW6"/>
  </mergeCells>
  <pageMargins left="0.7" right="0.7" top="0.75" bottom="0.75" header="0.3" footer="0.3"/>
  <pageSetup paperSize="9" scale="3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1"/>
  <sheetViews>
    <sheetView zoomScale="60" zoomScaleNormal="60" workbookViewId="0">
      <selection activeCell="A3" sqref="A3:XFD3"/>
    </sheetView>
  </sheetViews>
  <sheetFormatPr defaultColWidth="10.5" defaultRowHeight="15"/>
  <cols>
    <col min="1" max="1" width="8.1640625" style="427" customWidth="1"/>
    <col min="2" max="2" width="156.1640625" style="668" customWidth="1"/>
    <col min="3" max="3" width="31.83203125" style="415" hidden="1" customWidth="1"/>
    <col min="4" max="4" width="25.1640625" style="415" hidden="1" customWidth="1"/>
    <col min="5" max="12" width="5" style="415" customWidth="1"/>
    <col min="13" max="16384" width="10.5" style="415"/>
  </cols>
  <sheetData>
    <row r="1" spans="1:98" ht="33">
      <c r="A1" s="796" t="s">
        <v>409</v>
      </c>
      <c r="B1" s="797"/>
      <c r="C1" s="797"/>
      <c r="D1" s="797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  <c r="R1" s="404"/>
      <c r="S1" s="404"/>
      <c r="T1" s="404"/>
      <c r="U1" s="404"/>
      <c r="V1" s="404"/>
      <c r="W1" s="404"/>
      <c r="X1" s="404"/>
      <c r="Y1" s="404"/>
      <c r="Z1" s="404"/>
      <c r="AA1" s="404"/>
      <c r="AB1" s="404"/>
      <c r="AC1" s="404"/>
      <c r="AD1" s="404"/>
      <c r="AE1" s="404"/>
      <c r="AF1" s="404"/>
      <c r="AG1" s="404"/>
      <c r="AH1" s="404"/>
      <c r="AI1" s="404"/>
      <c r="AJ1" s="404"/>
      <c r="AK1" s="404"/>
      <c r="AL1" s="404"/>
      <c r="AM1" s="404"/>
      <c r="AN1" s="404"/>
      <c r="AO1" s="404"/>
      <c r="AP1" s="404"/>
      <c r="AQ1" s="404"/>
      <c r="AR1" s="404"/>
      <c r="AS1" s="404"/>
      <c r="AT1" s="404"/>
      <c r="AU1" s="404"/>
      <c r="AV1" s="404"/>
      <c r="AW1" s="404"/>
      <c r="AX1" s="404"/>
      <c r="AY1" s="404"/>
      <c r="AZ1" s="404"/>
      <c r="BA1" s="404"/>
      <c r="BB1" s="404"/>
      <c r="BC1" s="404"/>
      <c r="BD1" s="404"/>
      <c r="BE1" s="404"/>
      <c r="BF1" s="404"/>
      <c r="BG1" s="404"/>
      <c r="BH1" s="404"/>
      <c r="BI1" s="404"/>
      <c r="BJ1" s="404"/>
      <c r="BK1" s="404"/>
      <c r="BL1" s="404"/>
      <c r="BM1" s="404"/>
      <c r="BN1" s="404"/>
      <c r="BO1" s="404"/>
      <c r="BP1" s="404"/>
      <c r="BQ1" s="404"/>
      <c r="BR1" s="404"/>
      <c r="BS1" s="404"/>
      <c r="BT1" s="404"/>
      <c r="BU1" s="404"/>
      <c r="BV1" s="404"/>
      <c r="BW1" s="404"/>
      <c r="BX1" s="404"/>
      <c r="BY1" s="404"/>
      <c r="BZ1" s="404"/>
      <c r="CA1" s="404"/>
      <c r="CB1" s="404"/>
      <c r="CC1" s="404"/>
      <c r="CD1" s="404"/>
      <c r="CE1" s="404"/>
      <c r="CF1" s="404"/>
      <c r="CG1" s="404"/>
      <c r="CH1" s="404"/>
      <c r="CI1" s="404"/>
      <c r="CJ1" s="404"/>
      <c r="CK1" s="404"/>
      <c r="CL1" s="404"/>
      <c r="CM1" s="404"/>
      <c r="CN1" s="404"/>
      <c r="CO1" s="404"/>
      <c r="CP1" s="404"/>
      <c r="CQ1" s="404"/>
      <c r="CR1" s="404"/>
      <c r="CS1" s="404"/>
      <c r="CT1" s="404"/>
    </row>
    <row r="2" spans="1:98" ht="33" customHeight="1">
      <c r="A2" s="798" t="s">
        <v>522</v>
      </c>
      <c r="B2" s="799"/>
      <c r="C2" s="799"/>
      <c r="D2" s="799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/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/>
      <c r="CH2" s="404"/>
      <c r="CI2" s="404"/>
      <c r="CJ2" s="404"/>
      <c r="CK2" s="404"/>
      <c r="CL2" s="404"/>
      <c r="CM2" s="404"/>
      <c r="CN2" s="404"/>
      <c r="CO2" s="404"/>
      <c r="CP2" s="404"/>
      <c r="CQ2" s="404"/>
      <c r="CR2" s="404"/>
      <c r="CS2" s="404"/>
      <c r="CT2" s="404"/>
    </row>
    <row r="3" spans="1:98" ht="33">
      <c r="A3" s="800" t="s">
        <v>24</v>
      </c>
      <c r="B3" s="801"/>
      <c r="C3" s="801"/>
      <c r="D3" s="801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4"/>
      <c r="AL3" s="404"/>
      <c r="AM3" s="404"/>
      <c r="AN3" s="404"/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  <c r="AZ3" s="404"/>
      <c r="BA3" s="404"/>
      <c r="BB3" s="404"/>
      <c r="BC3" s="404"/>
      <c r="BD3" s="404"/>
      <c r="BE3" s="404"/>
      <c r="BF3" s="404"/>
      <c r="BG3" s="404"/>
      <c r="BH3" s="404"/>
      <c r="BI3" s="404"/>
      <c r="BJ3" s="404"/>
      <c r="BK3" s="404"/>
      <c r="BL3" s="404"/>
      <c r="BM3" s="404"/>
      <c r="BN3" s="404"/>
      <c r="BO3" s="404"/>
      <c r="BP3" s="404"/>
      <c r="BQ3" s="404"/>
      <c r="BR3" s="404"/>
      <c r="BS3" s="404"/>
      <c r="BT3" s="404"/>
      <c r="BU3" s="404"/>
      <c r="BV3" s="404"/>
      <c r="BW3" s="404"/>
      <c r="BX3" s="404"/>
      <c r="BY3" s="404"/>
      <c r="BZ3" s="404"/>
      <c r="CA3" s="404"/>
      <c r="CB3" s="404"/>
      <c r="CC3" s="404"/>
      <c r="CD3" s="404"/>
      <c r="CE3" s="404"/>
      <c r="CF3" s="404"/>
      <c r="CG3" s="404"/>
      <c r="CH3" s="404"/>
      <c r="CI3" s="404"/>
      <c r="CJ3" s="404"/>
      <c r="CK3" s="404"/>
      <c r="CL3" s="404"/>
      <c r="CM3" s="404"/>
      <c r="CN3" s="404"/>
      <c r="CO3" s="404"/>
      <c r="CP3" s="404"/>
      <c r="CQ3" s="404"/>
      <c r="CR3" s="404"/>
      <c r="CS3" s="404"/>
      <c r="CT3" s="404"/>
    </row>
    <row r="4" spans="1:98" s="444" customFormat="1" ht="80.25" customHeight="1">
      <c r="A4" s="440" t="s">
        <v>0</v>
      </c>
      <c r="B4" s="664" t="s">
        <v>551</v>
      </c>
      <c r="C4" s="656" t="s">
        <v>716</v>
      </c>
      <c r="D4" s="403" t="s">
        <v>715</v>
      </c>
      <c r="E4" s="443"/>
      <c r="F4" s="443"/>
    </row>
    <row r="5" spans="1:98" s="438" customFormat="1" ht="33" customHeight="1">
      <c r="A5" s="440"/>
      <c r="B5" s="664" t="s">
        <v>714</v>
      </c>
      <c r="C5" s="650"/>
      <c r="D5" s="407"/>
      <c r="E5" s="439"/>
      <c r="F5" s="439"/>
    </row>
    <row r="6" spans="1:98" ht="23.25">
      <c r="A6" s="420">
        <v>1</v>
      </c>
      <c r="B6" s="665" t="s">
        <v>713</v>
      </c>
      <c r="C6" s="659" t="s">
        <v>712</v>
      </c>
      <c r="D6" s="436" t="s">
        <v>711</v>
      </c>
      <c r="E6" s="428"/>
      <c r="F6" s="428"/>
    </row>
    <row r="7" spans="1:98" ht="23.25">
      <c r="A7" s="420">
        <v>2</v>
      </c>
      <c r="B7" s="665" t="s">
        <v>710</v>
      </c>
      <c r="C7" s="659" t="s">
        <v>709</v>
      </c>
      <c r="D7" s="436" t="s">
        <v>708</v>
      </c>
      <c r="E7" s="428"/>
      <c r="F7" s="428"/>
    </row>
    <row r="8" spans="1:98" ht="23.25">
      <c r="A8" s="420">
        <v>3</v>
      </c>
      <c r="B8" s="665" t="s">
        <v>707</v>
      </c>
      <c r="C8" s="659" t="s">
        <v>706</v>
      </c>
      <c r="D8" s="436" t="s">
        <v>705</v>
      </c>
      <c r="E8" s="428"/>
      <c r="F8" s="428"/>
    </row>
    <row r="9" spans="1:98" ht="23.25">
      <c r="A9" s="420">
        <v>4</v>
      </c>
      <c r="B9" s="665" t="s">
        <v>704</v>
      </c>
      <c r="C9" s="659" t="s">
        <v>703</v>
      </c>
      <c r="D9" s="436" t="s">
        <v>702</v>
      </c>
      <c r="E9" s="428"/>
      <c r="F9" s="428"/>
    </row>
    <row r="10" spans="1:98" ht="23.25">
      <c r="A10" s="420">
        <v>5</v>
      </c>
      <c r="B10" s="665" t="s">
        <v>671</v>
      </c>
      <c r="C10" s="659" t="s">
        <v>701</v>
      </c>
      <c r="D10" s="436" t="s">
        <v>700</v>
      </c>
      <c r="E10" s="428"/>
      <c r="F10" s="428"/>
    </row>
    <row r="11" spans="1:98" ht="23.25">
      <c r="A11" s="420">
        <v>6</v>
      </c>
      <c r="B11" s="665" t="s">
        <v>668</v>
      </c>
      <c r="C11" s="659" t="s">
        <v>699</v>
      </c>
      <c r="D11" s="436" t="s">
        <v>698</v>
      </c>
      <c r="E11" s="428"/>
      <c r="F11" s="428"/>
    </row>
    <row r="12" spans="1:98" ht="23.25">
      <c r="A12" s="420">
        <v>7</v>
      </c>
      <c r="B12" s="665" t="s">
        <v>697</v>
      </c>
      <c r="C12" s="659" t="s">
        <v>696</v>
      </c>
      <c r="D12" s="436" t="s">
        <v>695</v>
      </c>
      <c r="E12" s="428"/>
      <c r="F12" s="428"/>
    </row>
    <row r="13" spans="1:98" ht="23.25">
      <c r="A13" s="420">
        <v>8</v>
      </c>
      <c r="B13" s="665" t="s">
        <v>662</v>
      </c>
      <c r="C13" s="659" t="s">
        <v>694</v>
      </c>
      <c r="D13" s="436" t="s">
        <v>693</v>
      </c>
      <c r="E13" s="428"/>
      <c r="F13" s="428"/>
    </row>
    <row r="14" spans="1:98" ht="23.25">
      <c r="A14" s="420">
        <v>9</v>
      </c>
      <c r="B14" s="665" t="s">
        <v>692</v>
      </c>
      <c r="C14" s="659" t="s">
        <v>691</v>
      </c>
      <c r="D14" s="436" t="s">
        <v>690</v>
      </c>
      <c r="E14" s="428"/>
      <c r="F14" s="428"/>
    </row>
    <row r="15" spans="1:98" ht="23.25">
      <c r="A15" s="420">
        <v>10</v>
      </c>
      <c r="B15" s="665" t="s">
        <v>689</v>
      </c>
      <c r="C15" s="659" t="s">
        <v>688</v>
      </c>
      <c r="D15" s="436" t="s">
        <v>687</v>
      </c>
      <c r="E15" s="428"/>
      <c r="F15" s="428"/>
    </row>
    <row r="16" spans="1:98" ht="23.25">
      <c r="A16" s="420">
        <v>11</v>
      </c>
      <c r="B16" s="665" t="s">
        <v>653</v>
      </c>
      <c r="C16" s="659" t="s">
        <v>686</v>
      </c>
      <c r="D16" s="436" t="s">
        <v>685</v>
      </c>
      <c r="E16" s="428"/>
      <c r="F16" s="428"/>
    </row>
    <row r="17" spans="1:6" ht="31.5">
      <c r="A17" s="420"/>
      <c r="B17" s="441" t="s">
        <v>421</v>
      </c>
      <c r="C17" s="660"/>
      <c r="D17" s="435"/>
      <c r="E17" s="437"/>
      <c r="F17" s="437"/>
    </row>
    <row r="18" spans="1:6" ht="15.75">
      <c r="A18" s="420"/>
      <c r="B18" s="433" t="s">
        <v>684</v>
      </c>
      <c r="C18" s="661"/>
      <c r="D18" s="430"/>
      <c r="E18" s="432"/>
      <c r="F18" s="432"/>
    </row>
    <row r="19" spans="1:6" ht="23.25">
      <c r="A19" s="420">
        <v>12</v>
      </c>
      <c r="B19" s="665" t="s">
        <v>683</v>
      </c>
      <c r="C19" s="659" t="s">
        <v>682</v>
      </c>
      <c r="D19" s="436" t="s">
        <v>681</v>
      </c>
      <c r="E19" s="428"/>
      <c r="F19" s="428"/>
    </row>
    <row r="20" spans="1:6" ht="23.25">
      <c r="A20" s="420">
        <v>13</v>
      </c>
      <c r="B20" s="665" t="s">
        <v>680</v>
      </c>
      <c r="C20" s="659" t="s">
        <v>679</v>
      </c>
      <c r="D20" s="436" t="s">
        <v>678</v>
      </c>
      <c r="E20" s="428"/>
      <c r="F20" s="428"/>
    </row>
    <row r="21" spans="1:6" ht="23.25">
      <c r="A21" s="420">
        <v>14</v>
      </c>
      <c r="B21" s="665" t="s">
        <v>677</v>
      </c>
      <c r="C21" s="659" t="s">
        <v>676</v>
      </c>
      <c r="D21" s="436" t="s">
        <v>675</v>
      </c>
      <c r="E21" s="428"/>
      <c r="F21" s="428"/>
    </row>
    <row r="22" spans="1:6" ht="23.25">
      <c r="A22" s="420">
        <v>15</v>
      </c>
      <c r="B22" s="665" t="s">
        <v>674</v>
      </c>
      <c r="C22" s="659" t="s">
        <v>673</v>
      </c>
      <c r="D22" s="436" t="s">
        <v>672</v>
      </c>
      <c r="E22" s="428"/>
      <c r="F22" s="428"/>
    </row>
    <row r="23" spans="1:6" ht="23.25">
      <c r="A23" s="420">
        <v>16</v>
      </c>
      <c r="B23" s="665" t="s">
        <v>671</v>
      </c>
      <c r="C23" s="659" t="s">
        <v>670</v>
      </c>
      <c r="D23" s="436" t="s">
        <v>669</v>
      </c>
      <c r="E23" s="428"/>
      <c r="F23" s="428"/>
    </row>
    <row r="24" spans="1:6" ht="23.25">
      <c r="A24" s="420">
        <v>17</v>
      </c>
      <c r="B24" s="665" t="s">
        <v>668</v>
      </c>
      <c r="C24" s="659" t="s">
        <v>667</v>
      </c>
      <c r="D24" s="436" t="s">
        <v>666</v>
      </c>
      <c r="E24" s="428"/>
      <c r="F24" s="428"/>
    </row>
    <row r="25" spans="1:6" ht="23.25">
      <c r="A25" s="420">
        <v>18</v>
      </c>
      <c r="B25" s="665" t="s">
        <v>665</v>
      </c>
      <c r="C25" s="659" t="s">
        <v>664</v>
      </c>
      <c r="D25" s="436" t="s">
        <v>663</v>
      </c>
      <c r="E25" s="428"/>
      <c r="F25" s="428"/>
    </row>
    <row r="26" spans="1:6" ht="23.25">
      <c r="A26" s="420">
        <v>19</v>
      </c>
      <c r="B26" s="665" t="s">
        <v>662</v>
      </c>
      <c r="C26" s="659" t="s">
        <v>661</v>
      </c>
      <c r="D26" s="436" t="s">
        <v>660</v>
      </c>
      <c r="E26" s="428"/>
      <c r="F26" s="428"/>
    </row>
    <row r="27" spans="1:6" ht="23.25">
      <c r="A27" s="420">
        <v>20</v>
      </c>
      <c r="B27" s="665" t="s">
        <v>659</v>
      </c>
      <c r="C27" s="659" t="s">
        <v>658</v>
      </c>
      <c r="D27" s="436" t="s">
        <v>657</v>
      </c>
      <c r="E27" s="428"/>
      <c r="F27" s="428"/>
    </row>
    <row r="28" spans="1:6" ht="23.25">
      <c r="A28" s="420">
        <v>21</v>
      </c>
      <c r="B28" s="665" t="s">
        <v>656</v>
      </c>
      <c r="C28" s="659" t="s">
        <v>655</v>
      </c>
      <c r="D28" s="436" t="s">
        <v>654</v>
      </c>
      <c r="E28" s="428"/>
      <c r="F28" s="428"/>
    </row>
    <row r="29" spans="1:6" ht="23.25">
      <c r="A29" s="420">
        <v>22</v>
      </c>
      <c r="B29" s="665" t="s">
        <v>653</v>
      </c>
      <c r="C29" s="659" t="s">
        <v>652</v>
      </c>
      <c r="D29" s="436" t="s">
        <v>651</v>
      </c>
      <c r="E29" s="428"/>
      <c r="F29" s="428"/>
    </row>
    <row r="30" spans="1:6" ht="23.25">
      <c r="A30" s="420"/>
      <c r="B30" s="666" t="s">
        <v>421</v>
      </c>
      <c r="C30" s="660"/>
      <c r="D30" s="435"/>
      <c r="E30" s="434"/>
      <c r="F30" s="434"/>
    </row>
    <row r="31" spans="1:6" ht="23.25">
      <c r="A31" s="420"/>
      <c r="B31" s="665" t="s">
        <v>650</v>
      </c>
      <c r="C31" s="661"/>
      <c r="D31" s="430"/>
      <c r="E31" s="432"/>
      <c r="F31" s="432"/>
    </row>
    <row r="32" spans="1:6" ht="23.25">
      <c r="A32" s="420">
        <v>23</v>
      </c>
      <c r="B32" s="665" t="s">
        <v>649</v>
      </c>
      <c r="C32" s="662" t="s">
        <v>648</v>
      </c>
      <c r="D32" s="431" t="s">
        <v>647</v>
      </c>
      <c r="E32" s="428"/>
      <c r="F32" s="428"/>
    </row>
    <row r="33" spans="1:6" ht="23.25">
      <c r="A33" s="420">
        <v>24</v>
      </c>
      <c r="B33" s="665" t="s">
        <v>646</v>
      </c>
      <c r="C33" s="662" t="s">
        <v>645</v>
      </c>
      <c r="D33" s="431" t="s">
        <v>644</v>
      </c>
      <c r="E33" s="428"/>
      <c r="F33" s="428"/>
    </row>
    <row r="34" spans="1:6" ht="23.25">
      <c r="A34" s="420">
        <v>25</v>
      </c>
      <c r="B34" s="665" t="s">
        <v>643</v>
      </c>
      <c r="C34" s="662" t="s">
        <v>642</v>
      </c>
      <c r="D34" s="431" t="s">
        <v>641</v>
      </c>
      <c r="E34" s="428"/>
      <c r="F34" s="428"/>
    </row>
    <row r="35" spans="1:6" ht="23.25">
      <c r="A35" s="420">
        <v>26</v>
      </c>
      <c r="B35" s="665" t="s">
        <v>640</v>
      </c>
      <c r="C35" s="662" t="s">
        <v>639</v>
      </c>
      <c r="D35" s="431" t="s">
        <v>638</v>
      </c>
      <c r="E35" s="428"/>
      <c r="F35" s="428"/>
    </row>
    <row r="36" spans="1:6" ht="23.25">
      <c r="A36" s="420">
        <v>27</v>
      </c>
      <c r="B36" s="665" t="s">
        <v>637</v>
      </c>
      <c r="C36" s="662" t="s">
        <v>636</v>
      </c>
      <c r="D36" s="431" t="s">
        <v>635</v>
      </c>
      <c r="E36" s="428"/>
      <c r="F36" s="428"/>
    </row>
    <row r="37" spans="1:6" ht="23.25">
      <c r="A37" s="420">
        <v>28</v>
      </c>
      <c r="B37" s="665" t="s">
        <v>634</v>
      </c>
      <c r="C37" s="662" t="s">
        <v>633</v>
      </c>
      <c r="D37" s="431" t="s">
        <v>632</v>
      </c>
      <c r="E37" s="428"/>
      <c r="F37" s="428"/>
    </row>
    <row r="38" spans="1:6" ht="23.25">
      <c r="A38" s="420"/>
      <c r="B38" s="666" t="s">
        <v>421</v>
      </c>
      <c r="C38" s="663"/>
      <c r="D38" s="416"/>
      <c r="E38" s="428"/>
      <c r="F38" s="428"/>
    </row>
    <row r="39" spans="1:6" ht="26.25">
      <c r="A39" s="420"/>
      <c r="B39" s="442"/>
      <c r="C39" s="663"/>
      <c r="D39" s="429"/>
      <c r="E39" s="428"/>
      <c r="F39" s="428"/>
    </row>
    <row r="40" spans="1:6" ht="54" customHeight="1">
      <c r="A40" s="795"/>
      <c r="B40" s="795"/>
      <c r="C40" s="795"/>
      <c r="D40" s="795"/>
    </row>
    <row r="41" spans="1:6" ht="17.25">
      <c r="B41" s="667">
        <f>COUNTA(A6:A37)</f>
        <v>28</v>
      </c>
    </row>
  </sheetData>
  <mergeCells count="4">
    <mergeCell ref="A40:D40"/>
    <mergeCell ref="A1:D1"/>
    <mergeCell ref="A2:D2"/>
    <mergeCell ref="A3:D3"/>
  </mergeCells>
  <pageMargins left="0.69930555555555596" right="0.69930555555555596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5"/>
  <sheetViews>
    <sheetView view="pageBreakPreview" topLeftCell="A13" zoomScale="70" zoomScaleSheetLayoutView="70" workbookViewId="0">
      <selection activeCell="DA7" sqref="DA7"/>
    </sheetView>
  </sheetViews>
  <sheetFormatPr defaultRowHeight="18.75"/>
  <cols>
    <col min="1" max="4" width="9.33203125" style="13"/>
    <col min="5" max="5" width="89.1640625" style="13" customWidth="1"/>
    <col min="6" max="84" width="0" style="13" hidden="1" customWidth="1"/>
    <col min="85" max="85" width="24.1640625" style="13" hidden="1" customWidth="1"/>
    <col min="86" max="92" width="9.33203125" style="13"/>
    <col min="93" max="93" width="8.6640625" style="13" customWidth="1"/>
    <col min="94" max="104" width="0" style="13" hidden="1" customWidth="1"/>
    <col min="105" max="105" width="57.6640625" style="13" customWidth="1"/>
    <col min="106" max="16384" width="9.33203125" style="13"/>
  </cols>
  <sheetData>
    <row r="1" spans="1:106" s="72" customFormat="1" ht="33">
      <c r="A1" s="802" t="s">
        <v>409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802"/>
      <c r="AL1" s="802"/>
      <c r="AM1" s="802"/>
      <c r="AN1" s="802"/>
      <c r="AO1" s="802"/>
      <c r="AP1" s="802"/>
      <c r="AQ1" s="802"/>
      <c r="AR1" s="802"/>
      <c r="AS1" s="802"/>
      <c r="AT1" s="802"/>
      <c r="AU1" s="802"/>
      <c r="AV1" s="802"/>
      <c r="AW1" s="802"/>
      <c r="AX1" s="802"/>
      <c r="AY1" s="802"/>
      <c r="AZ1" s="802"/>
      <c r="BA1" s="802"/>
      <c r="BB1" s="802"/>
      <c r="BC1" s="802"/>
      <c r="BD1" s="802"/>
      <c r="BE1" s="802"/>
      <c r="BF1" s="802"/>
      <c r="BG1" s="802"/>
      <c r="BH1" s="802"/>
      <c r="BI1" s="802"/>
      <c r="BJ1" s="802"/>
      <c r="BK1" s="802"/>
      <c r="BL1" s="802"/>
      <c r="BM1" s="802"/>
      <c r="BN1" s="802"/>
      <c r="BO1" s="802"/>
      <c r="BP1" s="802"/>
      <c r="BQ1" s="802"/>
      <c r="BR1" s="802"/>
      <c r="BS1" s="802"/>
      <c r="BT1" s="802"/>
      <c r="BU1" s="802"/>
      <c r="BV1" s="802"/>
      <c r="BW1" s="802"/>
      <c r="BX1" s="802"/>
      <c r="BY1" s="802"/>
      <c r="BZ1" s="802"/>
      <c r="CA1" s="802"/>
      <c r="CB1" s="802"/>
      <c r="CC1" s="802"/>
      <c r="CD1" s="802"/>
      <c r="CE1" s="802"/>
      <c r="CF1" s="802"/>
      <c r="CG1" s="802"/>
      <c r="CH1" s="802"/>
      <c r="CI1" s="802"/>
      <c r="CJ1" s="802"/>
      <c r="CK1" s="802"/>
      <c r="CL1" s="802"/>
      <c r="CM1" s="802"/>
      <c r="CN1" s="802"/>
      <c r="CO1" s="802"/>
      <c r="CP1" s="802"/>
      <c r="CQ1" s="802"/>
      <c r="CR1" s="802"/>
      <c r="CS1" s="802"/>
      <c r="CT1" s="802"/>
      <c r="CU1" s="802"/>
      <c r="CV1" s="802"/>
      <c r="CW1" s="802"/>
      <c r="CX1" s="802"/>
      <c r="CY1" s="802"/>
      <c r="CZ1" s="802"/>
      <c r="DA1" s="802"/>
      <c r="DB1" s="802"/>
    </row>
    <row r="2" spans="1:106" s="72" customFormat="1" ht="33">
      <c r="A2" s="803" t="s">
        <v>522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  <c r="AU2" s="802"/>
      <c r="AV2" s="802"/>
      <c r="AW2" s="802"/>
      <c r="AX2" s="802"/>
      <c r="AY2" s="802"/>
      <c r="AZ2" s="802"/>
      <c r="BA2" s="802"/>
      <c r="BB2" s="802"/>
      <c r="BC2" s="802"/>
      <c r="BD2" s="802"/>
      <c r="BE2" s="802"/>
      <c r="BF2" s="802"/>
      <c r="BG2" s="802"/>
      <c r="BH2" s="802"/>
      <c r="BI2" s="802"/>
      <c r="BJ2" s="802"/>
      <c r="BK2" s="802"/>
      <c r="BL2" s="802"/>
      <c r="BM2" s="802"/>
      <c r="BN2" s="802"/>
      <c r="BO2" s="802"/>
      <c r="BP2" s="802"/>
      <c r="BQ2" s="802"/>
      <c r="BR2" s="802"/>
      <c r="BS2" s="802"/>
      <c r="BT2" s="802"/>
      <c r="BU2" s="802"/>
      <c r="BV2" s="802"/>
      <c r="BW2" s="802"/>
      <c r="BX2" s="802"/>
      <c r="BY2" s="802"/>
      <c r="BZ2" s="802"/>
      <c r="CA2" s="802"/>
      <c r="CB2" s="802"/>
      <c r="CC2" s="802"/>
      <c r="CD2" s="802"/>
      <c r="CE2" s="802"/>
      <c r="CF2" s="802"/>
      <c r="CG2" s="802"/>
      <c r="CH2" s="802"/>
      <c r="CI2" s="802"/>
      <c r="CJ2" s="802"/>
      <c r="CK2" s="802"/>
      <c r="CL2" s="802"/>
      <c r="CM2" s="802"/>
      <c r="CN2" s="802"/>
      <c r="CO2" s="802"/>
      <c r="CP2" s="802"/>
      <c r="CQ2" s="802"/>
      <c r="CR2" s="802"/>
      <c r="CS2" s="802"/>
      <c r="CT2" s="802"/>
      <c r="CU2" s="802"/>
      <c r="CV2" s="802"/>
      <c r="CW2" s="802"/>
      <c r="CX2" s="802"/>
      <c r="CY2" s="802"/>
      <c r="CZ2" s="802"/>
      <c r="DA2" s="802"/>
      <c r="DB2" s="802"/>
    </row>
    <row r="3" spans="1:106" ht="35.25" customHeight="1">
      <c r="A3" s="798" t="s">
        <v>523</v>
      </c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799"/>
      <c r="AL3" s="799"/>
      <c r="AM3" s="799"/>
      <c r="AN3" s="799"/>
      <c r="AO3" s="799"/>
      <c r="AP3" s="799"/>
      <c r="AQ3" s="799"/>
      <c r="AR3" s="799"/>
      <c r="AS3" s="799"/>
      <c r="AT3" s="799"/>
      <c r="AU3" s="799"/>
      <c r="AV3" s="799"/>
      <c r="AW3" s="799"/>
      <c r="AX3" s="799"/>
      <c r="AY3" s="799"/>
      <c r="AZ3" s="799"/>
      <c r="BA3" s="799"/>
      <c r="BB3" s="799"/>
      <c r="BC3" s="799"/>
      <c r="BD3" s="799"/>
      <c r="BE3" s="799"/>
      <c r="BF3" s="799"/>
      <c r="BG3" s="799"/>
      <c r="BH3" s="799"/>
      <c r="BI3" s="799"/>
      <c r="BJ3" s="799"/>
      <c r="BK3" s="799"/>
      <c r="BL3" s="799"/>
      <c r="BM3" s="799"/>
      <c r="BN3" s="799"/>
      <c r="BO3" s="799"/>
      <c r="BP3" s="799"/>
      <c r="BQ3" s="799"/>
      <c r="BR3" s="799"/>
      <c r="BS3" s="799"/>
      <c r="BT3" s="799"/>
      <c r="BU3" s="799"/>
      <c r="BV3" s="799"/>
      <c r="BW3" s="799"/>
      <c r="BX3" s="799"/>
      <c r="BY3" s="799"/>
      <c r="BZ3" s="799"/>
      <c r="CA3" s="799"/>
      <c r="CB3" s="799"/>
      <c r="CC3" s="799"/>
      <c r="CD3" s="799"/>
      <c r="CE3" s="799"/>
      <c r="CF3" s="799"/>
      <c r="CG3" s="799"/>
      <c r="CH3" s="799"/>
      <c r="CI3" s="799"/>
      <c r="CJ3" s="799"/>
      <c r="CK3" s="799"/>
      <c r="CL3" s="799"/>
      <c r="CM3" s="799"/>
      <c r="CN3" s="799"/>
      <c r="CO3" s="799"/>
      <c r="CP3" s="799"/>
      <c r="CQ3" s="799"/>
      <c r="CR3" s="799"/>
      <c r="CS3" s="799"/>
      <c r="CT3" s="799"/>
      <c r="CU3" s="799"/>
      <c r="CV3" s="799"/>
      <c r="CW3" s="799"/>
      <c r="CX3" s="799"/>
      <c r="CY3" s="799"/>
      <c r="CZ3" s="799"/>
      <c r="DA3" s="799"/>
      <c r="DB3" s="804"/>
    </row>
    <row r="4" spans="1:106" ht="32.25" customHeight="1">
      <c r="A4" s="802" t="s">
        <v>24</v>
      </c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802"/>
      <c r="AL4" s="802"/>
      <c r="AM4" s="802"/>
      <c r="AN4" s="802"/>
      <c r="AO4" s="802"/>
      <c r="AP4" s="802"/>
      <c r="AQ4" s="802"/>
      <c r="AR4" s="802"/>
      <c r="AS4" s="802"/>
      <c r="AT4" s="802"/>
      <c r="AU4" s="802"/>
      <c r="AV4" s="802"/>
      <c r="AW4" s="802"/>
      <c r="AX4" s="802"/>
      <c r="AY4" s="802"/>
      <c r="AZ4" s="802"/>
      <c r="BA4" s="802"/>
      <c r="BB4" s="802"/>
      <c r="BC4" s="802"/>
      <c r="BD4" s="802"/>
      <c r="BE4" s="802"/>
      <c r="BF4" s="802"/>
      <c r="BG4" s="802"/>
      <c r="BH4" s="802"/>
      <c r="BI4" s="802"/>
      <c r="BJ4" s="802"/>
      <c r="BK4" s="802"/>
      <c r="BL4" s="802"/>
      <c r="BM4" s="802"/>
      <c r="BN4" s="802"/>
      <c r="BO4" s="802"/>
      <c r="BP4" s="802"/>
      <c r="BQ4" s="802"/>
      <c r="BR4" s="802"/>
      <c r="BS4" s="802"/>
      <c r="BT4" s="802"/>
      <c r="BU4" s="802"/>
      <c r="BV4" s="802"/>
      <c r="BW4" s="802"/>
      <c r="BX4" s="802"/>
      <c r="BY4" s="802"/>
      <c r="BZ4" s="802"/>
      <c r="CA4" s="802"/>
      <c r="CB4" s="802"/>
      <c r="CC4" s="802"/>
      <c r="CD4" s="802"/>
      <c r="CE4" s="802"/>
      <c r="CF4" s="802"/>
      <c r="CG4" s="802"/>
      <c r="CH4" s="802"/>
      <c r="CI4" s="802"/>
      <c r="CJ4" s="802"/>
      <c r="CK4" s="802"/>
      <c r="CL4" s="802"/>
      <c r="CM4" s="802"/>
      <c r="CN4" s="802"/>
      <c r="CO4" s="802"/>
      <c r="CP4" s="802"/>
      <c r="CQ4" s="802"/>
      <c r="CR4" s="802"/>
      <c r="CS4" s="802"/>
      <c r="CT4" s="802"/>
      <c r="CU4" s="802"/>
      <c r="CV4" s="802"/>
      <c r="CW4" s="802"/>
      <c r="CX4" s="802"/>
      <c r="CY4" s="802"/>
      <c r="CZ4" s="802"/>
      <c r="DA4" s="802"/>
      <c r="DB4" s="802"/>
    </row>
    <row r="5" spans="1:106">
      <c r="A5" s="872" t="s">
        <v>0</v>
      </c>
      <c r="B5" s="874" t="s">
        <v>408</v>
      </c>
      <c r="C5" s="875"/>
      <c r="D5" s="875"/>
      <c r="E5" s="876"/>
      <c r="F5" s="880" t="s">
        <v>29</v>
      </c>
      <c r="G5" s="881"/>
      <c r="H5" s="882"/>
      <c r="I5" s="880" t="s">
        <v>30</v>
      </c>
      <c r="J5" s="882"/>
      <c r="K5" s="859" t="s">
        <v>1</v>
      </c>
      <c r="L5" s="860"/>
      <c r="M5" s="860"/>
      <c r="N5" s="860"/>
      <c r="O5" s="860"/>
      <c r="P5" s="860"/>
      <c r="Q5" s="860"/>
      <c r="R5" s="861"/>
      <c r="S5" s="859" t="s">
        <v>2</v>
      </c>
      <c r="T5" s="860"/>
      <c r="U5" s="860"/>
      <c r="V5" s="860"/>
      <c r="W5" s="860"/>
      <c r="X5" s="860"/>
      <c r="Y5" s="860"/>
      <c r="Z5" s="860"/>
      <c r="AA5" s="860"/>
      <c r="AB5" s="861"/>
      <c r="AC5" s="859" t="s">
        <v>3</v>
      </c>
      <c r="AD5" s="860"/>
      <c r="AE5" s="860"/>
      <c r="AF5" s="860"/>
      <c r="AG5" s="860"/>
      <c r="AH5" s="860"/>
      <c r="AI5" s="860"/>
      <c r="AJ5" s="861"/>
      <c r="AK5" s="886" t="s">
        <v>31</v>
      </c>
      <c r="AL5" s="887"/>
      <c r="AM5" s="887"/>
      <c r="AN5" s="887"/>
      <c r="AO5" s="887"/>
      <c r="AP5" s="887"/>
      <c r="AQ5" s="887"/>
      <c r="AR5" s="887"/>
      <c r="AS5" s="887"/>
      <c r="AT5" s="887"/>
      <c r="AU5" s="888"/>
      <c r="AV5" s="859" t="s">
        <v>4</v>
      </c>
      <c r="AW5" s="860"/>
      <c r="AX5" s="860"/>
      <c r="AY5" s="860"/>
      <c r="AZ5" s="860"/>
      <c r="BA5" s="860"/>
      <c r="BB5" s="861"/>
      <c r="BC5" s="859" t="s">
        <v>5</v>
      </c>
      <c r="BD5" s="860"/>
      <c r="BE5" s="860"/>
      <c r="BF5" s="860"/>
      <c r="BG5" s="860"/>
      <c r="BH5" s="860"/>
      <c r="BI5" s="860"/>
      <c r="BJ5" s="860"/>
      <c r="BK5" s="860"/>
      <c r="BL5" s="861"/>
      <c r="BM5" s="859" t="s">
        <v>6</v>
      </c>
      <c r="BN5" s="860"/>
      <c r="BO5" s="860"/>
      <c r="BP5" s="860"/>
      <c r="BQ5" s="860"/>
      <c r="BR5" s="860"/>
      <c r="BS5" s="860"/>
      <c r="BT5" s="861"/>
      <c r="BU5" s="862" t="s">
        <v>32</v>
      </c>
      <c r="BV5" s="863"/>
      <c r="BW5" s="863"/>
      <c r="BX5" s="863"/>
      <c r="BY5" s="863"/>
      <c r="BZ5" s="863"/>
      <c r="CA5" s="863"/>
      <c r="CB5" s="863"/>
      <c r="CC5" s="863"/>
      <c r="CD5" s="864"/>
      <c r="CE5" s="865"/>
      <c r="CF5" s="866"/>
      <c r="CG5" s="866"/>
      <c r="CH5" s="866"/>
      <c r="CI5" s="866"/>
      <c r="CJ5" s="866"/>
      <c r="CK5" s="866"/>
      <c r="CL5" s="866"/>
      <c r="CM5" s="866"/>
      <c r="CN5" s="866"/>
      <c r="CO5" s="866"/>
      <c r="CP5" s="863" t="s">
        <v>7</v>
      </c>
      <c r="CQ5" s="863"/>
      <c r="CR5" s="863"/>
      <c r="CS5" s="863"/>
      <c r="CT5" s="863"/>
      <c r="CU5" s="863"/>
      <c r="CV5" s="867"/>
      <c r="CW5" s="889" t="s">
        <v>33</v>
      </c>
      <c r="CX5" s="890"/>
      <c r="CY5" s="890"/>
      <c r="CZ5" s="890"/>
      <c r="DA5" s="149"/>
    </row>
    <row r="6" spans="1:106" ht="96" customHeight="1">
      <c r="A6" s="873"/>
      <c r="B6" s="877"/>
      <c r="C6" s="878"/>
      <c r="D6" s="878"/>
      <c r="E6" s="879"/>
      <c r="F6" s="883"/>
      <c r="G6" s="884"/>
      <c r="H6" s="885"/>
      <c r="I6" s="883"/>
      <c r="J6" s="885"/>
      <c r="K6" s="852" t="s">
        <v>8</v>
      </c>
      <c r="L6" s="853"/>
      <c r="M6" s="852" t="s">
        <v>9</v>
      </c>
      <c r="N6" s="853"/>
      <c r="O6" s="902" t="s">
        <v>10</v>
      </c>
      <c r="P6" s="903"/>
      <c r="Q6" s="868" t="s">
        <v>11</v>
      </c>
      <c r="R6" s="869"/>
      <c r="S6" s="852" t="s">
        <v>8</v>
      </c>
      <c r="T6" s="853"/>
      <c r="U6" s="852" t="s">
        <v>9</v>
      </c>
      <c r="V6" s="854"/>
      <c r="W6" s="853"/>
      <c r="X6" s="852" t="s">
        <v>10</v>
      </c>
      <c r="Y6" s="854"/>
      <c r="Z6" s="853"/>
      <c r="AA6" s="855" t="s">
        <v>11</v>
      </c>
      <c r="AB6" s="856"/>
      <c r="AC6" s="857" t="s">
        <v>8</v>
      </c>
      <c r="AD6" s="858"/>
      <c r="AE6" s="857" t="s">
        <v>9</v>
      </c>
      <c r="AF6" s="858"/>
      <c r="AG6" s="868" t="s">
        <v>10</v>
      </c>
      <c r="AH6" s="869"/>
      <c r="AI6" s="852" t="s">
        <v>11</v>
      </c>
      <c r="AJ6" s="853"/>
      <c r="AK6" s="857" t="s">
        <v>8</v>
      </c>
      <c r="AL6" s="858"/>
      <c r="AM6" s="852" t="s">
        <v>9</v>
      </c>
      <c r="AN6" s="853"/>
      <c r="AO6" s="852" t="s">
        <v>10</v>
      </c>
      <c r="AP6" s="854"/>
      <c r="AQ6" s="854"/>
      <c r="AR6" s="853"/>
      <c r="AS6" s="852" t="s">
        <v>11</v>
      </c>
      <c r="AT6" s="854"/>
      <c r="AU6" s="853"/>
      <c r="AV6" s="852" t="s">
        <v>8</v>
      </c>
      <c r="AW6" s="853"/>
      <c r="AX6" s="868" t="s">
        <v>9</v>
      </c>
      <c r="AY6" s="869"/>
      <c r="AZ6" s="46" t="s">
        <v>10</v>
      </c>
      <c r="BA6" s="852" t="s">
        <v>11</v>
      </c>
      <c r="BB6" s="853"/>
      <c r="BC6" s="33" t="s">
        <v>8</v>
      </c>
      <c r="BD6" s="857" t="s">
        <v>9</v>
      </c>
      <c r="BE6" s="904"/>
      <c r="BF6" s="858"/>
      <c r="BG6" s="857" t="s">
        <v>10</v>
      </c>
      <c r="BH6" s="858"/>
      <c r="BI6" s="868" t="s">
        <v>11</v>
      </c>
      <c r="BJ6" s="870"/>
      <c r="BK6" s="870"/>
      <c r="BL6" s="869"/>
      <c r="BM6" s="857" t="s">
        <v>8</v>
      </c>
      <c r="BN6" s="858"/>
      <c r="BO6" s="852" t="s">
        <v>9</v>
      </c>
      <c r="BP6" s="854"/>
      <c r="BQ6" s="853"/>
      <c r="BR6" s="857" t="s">
        <v>10</v>
      </c>
      <c r="BS6" s="858"/>
      <c r="BT6" s="34" t="s">
        <v>11</v>
      </c>
      <c r="BU6" s="852" t="s">
        <v>8</v>
      </c>
      <c r="BV6" s="854"/>
      <c r="BW6" s="853"/>
      <c r="BX6" s="852" t="s">
        <v>9</v>
      </c>
      <c r="BY6" s="853"/>
      <c r="BZ6" s="852" t="s">
        <v>10</v>
      </c>
      <c r="CA6" s="853"/>
      <c r="CB6" s="868" t="s">
        <v>11</v>
      </c>
      <c r="CC6" s="870"/>
      <c r="CD6" s="911"/>
      <c r="CE6" s="912" t="s">
        <v>8</v>
      </c>
      <c r="CF6" s="913"/>
      <c r="CG6" s="914"/>
      <c r="CH6" s="915" t="s">
        <v>9</v>
      </c>
      <c r="CI6" s="916"/>
      <c r="CJ6" s="917"/>
      <c r="CK6" s="918" t="s">
        <v>10</v>
      </c>
      <c r="CL6" s="919"/>
      <c r="CM6" s="920"/>
      <c r="CN6" s="918" t="s">
        <v>11</v>
      </c>
      <c r="CO6" s="920"/>
      <c r="CP6" s="909" t="s">
        <v>9</v>
      </c>
      <c r="CQ6" s="910"/>
      <c r="CR6" s="906"/>
      <c r="CS6" s="905" t="s">
        <v>10</v>
      </c>
      <c r="CT6" s="906"/>
      <c r="CU6" s="907" t="s">
        <v>11</v>
      </c>
      <c r="CV6" s="908"/>
      <c r="CW6" s="891"/>
      <c r="CX6" s="892"/>
      <c r="CY6" s="892"/>
      <c r="CZ6" s="892"/>
      <c r="DA6" s="146" t="s">
        <v>544</v>
      </c>
    </row>
    <row r="7" spans="1:106" ht="23.25" customHeight="1">
      <c r="A7" s="16">
        <v>1</v>
      </c>
      <c r="B7" s="843" t="s">
        <v>368</v>
      </c>
      <c r="C7" s="844"/>
      <c r="D7" s="844"/>
      <c r="E7" s="845"/>
      <c r="F7" s="830" t="s">
        <v>369</v>
      </c>
      <c r="G7" s="831"/>
      <c r="H7" s="832"/>
      <c r="I7" s="816" t="s">
        <v>370</v>
      </c>
      <c r="J7" s="818"/>
      <c r="K7" s="827">
        <v>4</v>
      </c>
      <c r="L7" s="829"/>
      <c r="M7" s="827">
        <v>188</v>
      </c>
      <c r="N7" s="829"/>
      <c r="O7" s="833">
        <v>184</v>
      </c>
      <c r="P7" s="835"/>
      <c r="Q7" s="833">
        <v>372</v>
      </c>
      <c r="R7" s="835"/>
      <c r="S7" s="827">
        <v>4</v>
      </c>
      <c r="T7" s="829"/>
      <c r="U7" s="827">
        <v>181</v>
      </c>
      <c r="V7" s="828"/>
      <c r="W7" s="829"/>
      <c r="X7" s="827">
        <v>161</v>
      </c>
      <c r="Y7" s="828"/>
      <c r="Z7" s="829"/>
      <c r="AA7" s="825">
        <v>342</v>
      </c>
      <c r="AB7" s="826"/>
      <c r="AC7" s="825">
        <v>3</v>
      </c>
      <c r="AD7" s="826"/>
      <c r="AE7" s="825">
        <v>130</v>
      </c>
      <c r="AF7" s="826"/>
      <c r="AG7" s="833">
        <v>144</v>
      </c>
      <c r="AH7" s="835"/>
      <c r="AI7" s="827">
        <v>274</v>
      </c>
      <c r="AJ7" s="829"/>
      <c r="AK7" s="825">
        <v>11</v>
      </c>
      <c r="AL7" s="826"/>
      <c r="AM7" s="827">
        <v>499</v>
      </c>
      <c r="AN7" s="829"/>
      <c r="AO7" s="827">
        <v>489</v>
      </c>
      <c r="AP7" s="828"/>
      <c r="AQ7" s="828"/>
      <c r="AR7" s="829"/>
      <c r="AS7" s="827">
        <v>988</v>
      </c>
      <c r="AT7" s="828"/>
      <c r="AU7" s="829"/>
      <c r="AV7" s="827">
        <v>0</v>
      </c>
      <c r="AW7" s="829"/>
      <c r="AX7" s="833">
        <v>0</v>
      </c>
      <c r="AY7" s="835"/>
      <c r="AZ7" s="18">
        <v>0</v>
      </c>
      <c r="BA7" s="827">
        <v>0</v>
      </c>
      <c r="BB7" s="829"/>
      <c r="BC7" s="16">
        <v>0</v>
      </c>
      <c r="BD7" s="825">
        <v>0</v>
      </c>
      <c r="BE7" s="836"/>
      <c r="BF7" s="826"/>
      <c r="BG7" s="825">
        <v>0</v>
      </c>
      <c r="BH7" s="826"/>
      <c r="BI7" s="846">
        <v>0</v>
      </c>
      <c r="BJ7" s="848"/>
      <c r="BK7" s="848"/>
      <c r="BL7" s="847"/>
      <c r="BM7" s="825">
        <v>0</v>
      </c>
      <c r="BN7" s="826"/>
      <c r="BO7" s="827">
        <v>0</v>
      </c>
      <c r="BP7" s="828"/>
      <c r="BQ7" s="829"/>
      <c r="BR7" s="825">
        <v>0</v>
      </c>
      <c r="BS7" s="826"/>
      <c r="BT7" s="17">
        <v>0</v>
      </c>
      <c r="BU7" s="827">
        <v>0</v>
      </c>
      <c r="BV7" s="828"/>
      <c r="BW7" s="829"/>
      <c r="BX7" s="827">
        <v>0</v>
      </c>
      <c r="BY7" s="829"/>
      <c r="BZ7" s="827">
        <v>0</v>
      </c>
      <c r="CA7" s="829"/>
      <c r="CB7" s="833">
        <v>0</v>
      </c>
      <c r="CC7" s="834"/>
      <c r="CD7" s="835"/>
      <c r="CE7" s="896">
        <v>11</v>
      </c>
      <c r="CF7" s="897"/>
      <c r="CG7" s="898"/>
      <c r="CH7" s="893">
        <v>499</v>
      </c>
      <c r="CI7" s="894"/>
      <c r="CJ7" s="895"/>
      <c r="CK7" s="896">
        <v>489</v>
      </c>
      <c r="CL7" s="897"/>
      <c r="CM7" s="898"/>
      <c r="CN7" s="896">
        <v>988</v>
      </c>
      <c r="CO7" s="898"/>
      <c r="CP7" s="899">
        <v>5</v>
      </c>
      <c r="CQ7" s="900"/>
      <c r="CR7" s="901"/>
      <c r="CS7" s="899">
        <v>16</v>
      </c>
      <c r="CT7" s="901"/>
      <c r="CU7" s="896">
        <v>21</v>
      </c>
      <c r="CV7" s="898"/>
      <c r="CW7" s="859" t="s">
        <v>35</v>
      </c>
      <c r="CX7" s="860"/>
      <c r="CY7" s="860"/>
      <c r="CZ7" s="861"/>
      <c r="DA7" s="52">
        <f>IF(CN7&lt;1001,30000 * 3,50000*3)</f>
        <v>90000</v>
      </c>
    </row>
    <row r="8" spans="1:106" ht="23.25" customHeight="1">
      <c r="A8" s="16">
        <v>2</v>
      </c>
      <c r="B8" s="843" t="s">
        <v>371</v>
      </c>
      <c r="C8" s="844"/>
      <c r="D8" s="844"/>
      <c r="E8" s="845"/>
      <c r="F8" s="840" t="s">
        <v>372</v>
      </c>
      <c r="G8" s="841"/>
      <c r="H8" s="842"/>
      <c r="I8" s="816" t="s">
        <v>373</v>
      </c>
      <c r="J8" s="818"/>
      <c r="K8" s="827">
        <v>8</v>
      </c>
      <c r="L8" s="829"/>
      <c r="M8" s="827">
        <v>387</v>
      </c>
      <c r="N8" s="829"/>
      <c r="O8" s="833">
        <v>408</v>
      </c>
      <c r="P8" s="835"/>
      <c r="Q8" s="833">
        <v>795</v>
      </c>
      <c r="R8" s="835"/>
      <c r="S8" s="827">
        <v>8</v>
      </c>
      <c r="T8" s="829"/>
      <c r="U8" s="827">
        <v>407</v>
      </c>
      <c r="V8" s="828"/>
      <c r="W8" s="829"/>
      <c r="X8" s="827">
        <v>398</v>
      </c>
      <c r="Y8" s="828"/>
      <c r="Z8" s="829"/>
      <c r="AA8" s="825">
        <v>805</v>
      </c>
      <c r="AB8" s="826"/>
      <c r="AC8" s="825">
        <v>7</v>
      </c>
      <c r="AD8" s="826"/>
      <c r="AE8" s="825">
        <v>420</v>
      </c>
      <c r="AF8" s="826"/>
      <c r="AG8" s="833">
        <v>432</v>
      </c>
      <c r="AH8" s="835"/>
      <c r="AI8" s="827">
        <v>852</v>
      </c>
      <c r="AJ8" s="829"/>
      <c r="AK8" s="825">
        <v>23</v>
      </c>
      <c r="AL8" s="826"/>
      <c r="AM8" s="827">
        <v>1214</v>
      </c>
      <c r="AN8" s="829"/>
      <c r="AO8" s="827">
        <v>1238</v>
      </c>
      <c r="AP8" s="828"/>
      <c r="AQ8" s="828"/>
      <c r="AR8" s="829"/>
      <c r="AS8" s="827">
        <v>2452</v>
      </c>
      <c r="AT8" s="828"/>
      <c r="AU8" s="829"/>
      <c r="AV8" s="827">
        <v>0</v>
      </c>
      <c r="AW8" s="829"/>
      <c r="AX8" s="833">
        <v>0</v>
      </c>
      <c r="AY8" s="835"/>
      <c r="AZ8" s="18">
        <v>0</v>
      </c>
      <c r="BA8" s="827">
        <v>0</v>
      </c>
      <c r="BB8" s="829"/>
      <c r="BC8" s="16">
        <v>0</v>
      </c>
      <c r="BD8" s="825">
        <v>0</v>
      </c>
      <c r="BE8" s="836"/>
      <c r="BF8" s="826"/>
      <c r="BG8" s="825">
        <v>0</v>
      </c>
      <c r="BH8" s="826"/>
      <c r="BI8" s="846">
        <v>0</v>
      </c>
      <c r="BJ8" s="848"/>
      <c r="BK8" s="848"/>
      <c r="BL8" s="847"/>
      <c r="BM8" s="825">
        <v>0</v>
      </c>
      <c r="BN8" s="826"/>
      <c r="BO8" s="827">
        <v>0</v>
      </c>
      <c r="BP8" s="828"/>
      <c r="BQ8" s="829"/>
      <c r="BR8" s="825">
        <v>0</v>
      </c>
      <c r="BS8" s="826"/>
      <c r="BT8" s="17">
        <v>0</v>
      </c>
      <c r="BU8" s="827">
        <v>0</v>
      </c>
      <c r="BV8" s="828"/>
      <c r="BW8" s="829"/>
      <c r="BX8" s="827">
        <v>0</v>
      </c>
      <c r="BY8" s="829"/>
      <c r="BZ8" s="827">
        <v>0</v>
      </c>
      <c r="CA8" s="829"/>
      <c r="CB8" s="833">
        <v>0</v>
      </c>
      <c r="CC8" s="834"/>
      <c r="CD8" s="835"/>
      <c r="CE8" s="827">
        <v>23</v>
      </c>
      <c r="CF8" s="828"/>
      <c r="CG8" s="829"/>
      <c r="CH8" s="833">
        <v>1214</v>
      </c>
      <c r="CI8" s="834"/>
      <c r="CJ8" s="835"/>
      <c r="CK8" s="827">
        <v>1238</v>
      </c>
      <c r="CL8" s="828"/>
      <c r="CM8" s="829"/>
      <c r="CN8" s="827">
        <v>2452</v>
      </c>
      <c r="CO8" s="829"/>
      <c r="CP8" s="825">
        <v>13</v>
      </c>
      <c r="CQ8" s="836"/>
      <c r="CR8" s="826"/>
      <c r="CS8" s="825">
        <v>17</v>
      </c>
      <c r="CT8" s="826"/>
      <c r="CU8" s="827">
        <v>30</v>
      </c>
      <c r="CV8" s="829"/>
      <c r="CW8" s="830" t="s">
        <v>35</v>
      </c>
      <c r="CX8" s="831"/>
      <c r="CY8" s="831"/>
      <c r="CZ8" s="832"/>
      <c r="DA8" s="52">
        <f t="shared" ref="DA8:DA29" si="0">IF(CN8&lt;1001,30000 * 3,50000*3)</f>
        <v>150000</v>
      </c>
    </row>
    <row r="9" spans="1:106" ht="23.25" customHeight="1">
      <c r="A9" s="16">
        <v>3</v>
      </c>
      <c r="B9" s="843" t="s">
        <v>374</v>
      </c>
      <c r="C9" s="844"/>
      <c r="D9" s="844"/>
      <c r="E9" s="845"/>
      <c r="F9" s="830" t="s">
        <v>372</v>
      </c>
      <c r="G9" s="831"/>
      <c r="H9" s="832"/>
      <c r="I9" s="816" t="s">
        <v>375</v>
      </c>
      <c r="J9" s="818"/>
      <c r="K9" s="827">
        <v>4</v>
      </c>
      <c r="L9" s="829"/>
      <c r="M9" s="827">
        <v>279</v>
      </c>
      <c r="N9" s="829"/>
      <c r="O9" s="833">
        <v>238</v>
      </c>
      <c r="P9" s="835"/>
      <c r="Q9" s="833">
        <v>517</v>
      </c>
      <c r="R9" s="835"/>
      <c r="S9" s="827">
        <v>6</v>
      </c>
      <c r="T9" s="829"/>
      <c r="U9" s="827">
        <v>316</v>
      </c>
      <c r="V9" s="828"/>
      <c r="W9" s="829"/>
      <c r="X9" s="827">
        <v>387</v>
      </c>
      <c r="Y9" s="828"/>
      <c r="Z9" s="829"/>
      <c r="AA9" s="825">
        <v>703</v>
      </c>
      <c r="AB9" s="826"/>
      <c r="AC9" s="825">
        <v>4</v>
      </c>
      <c r="AD9" s="826"/>
      <c r="AE9" s="825">
        <v>257</v>
      </c>
      <c r="AF9" s="826"/>
      <c r="AG9" s="833">
        <v>249</v>
      </c>
      <c r="AH9" s="835"/>
      <c r="AI9" s="827">
        <v>506</v>
      </c>
      <c r="AJ9" s="829"/>
      <c r="AK9" s="825">
        <v>14</v>
      </c>
      <c r="AL9" s="826"/>
      <c r="AM9" s="827">
        <v>852</v>
      </c>
      <c r="AN9" s="829"/>
      <c r="AO9" s="827">
        <v>874</v>
      </c>
      <c r="AP9" s="828"/>
      <c r="AQ9" s="828"/>
      <c r="AR9" s="829"/>
      <c r="AS9" s="827">
        <v>1726</v>
      </c>
      <c r="AT9" s="828"/>
      <c r="AU9" s="829"/>
      <c r="AV9" s="827">
        <v>0</v>
      </c>
      <c r="AW9" s="829"/>
      <c r="AX9" s="833">
        <v>0</v>
      </c>
      <c r="AY9" s="835"/>
      <c r="AZ9" s="18">
        <v>0</v>
      </c>
      <c r="BA9" s="827">
        <v>0</v>
      </c>
      <c r="BB9" s="829"/>
      <c r="BC9" s="16">
        <v>0</v>
      </c>
      <c r="BD9" s="825">
        <v>0</v>
      </c>
      <c r="BE9" s="836"/>
      <c r="BF9" s="826"/>
      <c r="BG9" s="825">
        <v>0</v>
      </c>
      <c r="BH9" s="826"/>
      <c r="BI9" s="846">
        <v>0</v>
      </c>
      <c r="BJ9" s="848"/>
      <c r="BK9" s="848"/>
      <c r="BL9" s="847"/>
      <c r="BM9" s="825">
        <v>0</v>
      </c>
      <c r="BN9" s="826"/>
      <c r="BO9" s="827">
        <v>0</v>
      </c>
      <c r="BP9" s="828"/>
      <c r="BQ9" s="829"/>
      <c r="BR9" s="825">
        <v>0</v>
      </c>
      <c r="BS9" s="826"/>
      <c r="BT9" s="17">
        <v>0</v>
      </c>
      <c r="BU9" s="827">
        <v>0</v>
      </c>
      <c r="BV9" s="828"/>
      <c r="BW9" s="829"/>
      <c r="BX9" s="827">
        <v>0</v>
      </c>
      <c r="BY9" s="829"/>
      <c r="BZ9" s="827">
        <v>0</v>
      </c>
      <c r="CA9" s="829"/>
      <c r="CB9" s="833">
        <v>0</v>
      </c>
      <c r="CC9" s="834"/>
      <c r="CD9" s="835"/>
      <c r="CE9" s="827">
        <v>14</v>
      </c>
      <c r="CF9" s="828"/>
      <c r="CG9" s="829"/>
      <c r="CH9" s="833">
        <v>852</v>
      </c>
      <c r="CI9" s="834"/>
      <c r="CJ9" s="835"/>
      <c r="CK9" s="827">
        <v>874</v>
      </c>
      <c r="CL9" s="828"/>
      <c r="CM9" s="829"/>
      <c r="CN9" s="827">
        <v>1726</v>
      </c>
      <c r="CO9" s="829"/>
      <c r="CP9" s="825">
        <v>13</v>
      </c>
      <c r="CQ9" s="836"/>
      <c r="CR9" s="826"/>
      <c r="CS9" s="825">
        <v>15</v>
      </c>
      <c r="CT9" s="826"/>
      <c r="CU9" s="827">
        <v>28</v>
      </c>
      <c r="CV9" s="829"/>
      <c r="CW9" s="830" t="s">
        <v>35</v>
      </c>
      <c r="CX9" s="831"/>
      <c r="CY9" s="831"/>
      <c r="CZ9" s="832"/>
      <c r="DA9" s="52">
        <f t="shared" si="0"/>
        <v>150000</v>
      </c>
    </row>
    <row r="10" spans="1:106" ht="23.25">
      <c r="A10" s="16">
        <v>4</v>
      </c>
      <c r="B10" s="843" t="s">
        <v>376</v>
      </c>
      <c r="C10" s="844"/>
      <c r="D10" s="844"/>
      <c r="E10" s="845"/>
      <c r="F10" s="840" t="s">
        <v>369</v>
      </c>
      <c r="G10" s="841"/>
      <c r="H10" s="842"/>
      <c r="I10" s="816" t="s">
        <v>377</v>
      </c>
      <c r="J10" s="818"/>
      <c r="K10" s="827">
        <v>2</v>
      </c>
      <c r="L10" s="829"/>
      <c r="M10" s="827">
        <v>57</v>
      </c>
      <c r="N10" s="829"/>
      <c r="O10" s="833">
        <v>37</v>
      </c>
      <c r="P10" s="835"/>
      <c r="Q10" s="833">
        <v>94</v>
      </c>
      <c r="R10" s="835"/>
      <c r="S10" s="827">
        <v>2</v>
      </c>
      <c r="T10" s="829"/>
      <c r="U10" s="827">
        <v>42</v>
      </c>
      <c r="V10" s="828"/>
      <c r="W10" s="829"/>
      <c r="X10" s="827">
        <v>42</v>
      </c>
      <c r="Y10" s="828"/>
      <c r="Z10" s="829"/>
      <c r="AA10" s="825">
        <v>84</v>
      </c>
      <c r="AB10" s="826"/>
      <c r="AC10" s="825">
        <v>2</v>
      </c>
      <c r="AD10" s="826"/>
      <c r="AE10" s="825">
        <v>42</v>
      </c>
      <c r="AF10" s="826"/>
      <c r="AG10" s="833">
        <v>38</v>
      </c>
      <c r="AH10" s="835"/>
      <c r="AI10" s="827">
        <v>80</v>
      </c>
      <c r="AJ10" s="829"/>
      <c r="AK10" s="825">
        <v>6</v>
      </c>
      <c r="AL10" s="826"/>
      <c r="AM10" s="827">
        <v>141</v>
      </c>
      <c r="AN10" s="829"/>
      <c r="AO10" s="827">
        <v>117</v>
      </c>
      <c r="AP10" s="828"/>
      <c r="AQ10" s="828"/>
      <c r="AR10" s="829"/>
      <c r="AS10" s="827">
        <v>258</v>
      </c>
      <c r="AT10" s="828"/>
      <c r="AU10" s="829"/>
      <c r="AV10" s="827">
        <v>0</v>
      </c>
      <c r="AW10" s="829"/>
      <c r="AX10" s="833">
        <v>0</v>
      </c>
      <c r="AY10" s="835"/>
      <c r="AZ10" s="18">
        <v>0</v>
      </c>
      <c r="BA10" s="827">
        <v>0</v>
      </c>
      <c r="BB10" s="829"/>
      <c r="BC10" s="16">
        <v>0</v>
      </c>
      <c r="BD10" s="825">
        <v>0</v>
      </c>
      <c r="BE10" s="836"/>
      <c r="BF10" s="826"/>
      <c r="BG10" s="825">
        <v>0</v>
      </c>
      <c r="BH10" s="826"/>
      <c r="BI10" s="846">
        <v>0</v>
      </c>
      <c r="BJ10" s="848"/>
      <c r="BK10" s="848"/>
      <c r="BL10" s="847"/>
      <c r="BM10" s="825">
        <v>0</v>
      </c>
      <c r="BN10" s="826"/>
      <c r="BO10" s="827">
        <v>0</v>
      </c>
      <c r="BP10" s="828"/>
      <c r="BQ10" s="829"/>
      <c r="BR10" s="825">
        <v>0</v>
      </c>
      <c r="BS10" s="826"/>
      <c r="BT10" s="17">
        <v>0</v>
      </c>
      <c r="BU10" s="827">
        <v>0</v>
      </c>
      <c r="BV10" s="828"/>
      <c r="BW10" s="829"/>
      <c r="BX10" s="827">
        <v>0</v>
      </c>
      <c r="BY10" s="829"/>
      <c r="BZ10" s="827">
        <v>0</v>
      </c>
      <c r="CA10" s="829"/>
      <c r="CB10" s="833">
        <v>0</v>
      </c>
      <c r="CC10" s="834"/>
      <c r="CD10" s="835"/>
      <c r="CE10" s="827">
        <v>6</v>
      </c>
      <c r="CF10" s="828"/>
      <c r="CG10" s="829"/>
      <c r="CH10" s="833">
        <v>141</v>
      </c>
      <c r="CI10" s="834"/>
      <c r="CJ10" s="835"/>
      <c r="CK10" s="827">
        <v>117</v>
      </c>
      <c r="CL10" s="828"/>
      <c r="CM10" s="829"/>
      <c r="CN10" s="827">
        <v>258</v>
      </c>
      <c r="CO10" s="829"/>
      <c r="CP10" s="825">
        <v>3</v>
      </c>
      <c r="CQ10" s="836"/>
      <c r="CR10" s="826"/>
      <c r="CS10" s="825">
        <v>10</v>
      </c>
      <c r="CT10" s="826"/>
      <c r="CU10" s="827">
        <v>13</v>
      </c>
      <c r="CV10" s="829"/>
      <c r="CW10" s="830" t="s">
        <v>35</v>
      </c>
      <c r="CX10" s="831"/>
      <c r="CY10" s="831"/>
      <c r="CZ10" s="832"/>
      <c r="DA10" s="52">
        <f t="shared" si="0"/>
        <v>90000</v>
      </c>
    </row>
    <row r="11" spans="1:106" ht="23.25">
      <c r="A11" s="16">
        <v>5</v>
      </c>
      <c r="B11" s="843" t="s">
        <v>378</v>
      </c>
      <c r="C11" s="844"/>
      <c r="D11" s="844"/>
      <c r="E11" s="845"/>
      <c r="F11" s="840" t="s">
        <v>369</v>
      </c>
      <c r="G11" s="841"/>
      <c r="H11" s="842"/>
      <c r="I11" s="816" t="s">
        <v>377</v>
      </c>
      <c r="J11" s="818"/>
      <c r="K11" s="827">
        <v>6</v>
      </c>
      <c r="L11" s="829"/>
      <c r="M11" s="827">
        <v>277</v>
      </c>
      <c r="N11" s="829"/>
      <c r="O11" s="833">
        <v>289</v>
      </c>
      <c r="P11" s="835"/>
      <c r="Q11" s="833">
        <v>566</v>
      </c>
      <c r="R11" s="835"/>
      <c r="S11" s="827">
        <v>6</v>
      </c>
      <c r="T11" s="829"/>
      <c r="U11" s="827">
        <v>293</v>
      </c>
      <c r="V11" s="828"/>
      <c r="W11" s="829"/>
      <c r="X11" s="827">
        <v>298</v>
      </c>
      <c r="Y11" s="828"/>
      <c r="Z11" s="829"/>
      <c r="AA11" s="825">
        <v>591</v>
      </c>
      <c r="AB11" s="826"/>
      <c r="AC11" s="825">
        <v>6</v>
      </c>
      <c r="AD11" s="826"/>
      <c r="AE11" s="825">
        <v>209</v>
      </c>
      <c r="AF11" s="826"/>
      <c r="AG11" s="833">
        <v>196</v>
      </c>
      <c r="AH11" s="835"/>
      <c r="AI11" s="827">
        <v>405</v>
      </c>
      <c r="AJ11" s="829"/>
      <c r="AK11" s="825">
        <v>18</v>
      </c>
      <c r="AL11" s="826"/>
      <c r="AM11" s="827">
        <v>779</v>
      </c>
      <c r="AN11" s="829"/>
      <c r="AO11" s="827">
        <v>783</v>
      </c>
      <c r="AP11" s="828"/>
      <c r="AQ11" s="828"/>
      <c r="AR11" s="829"/>
      <c r="AS11" s="827">
        <v>1562</v>
      </c>
      <c r="AT11" s="828"/>
      <c r="AU11" s="829"/>
      <c r="AV11" s="827">
        <v>0</v>
      </c>
      <c r="AW11" s="829"/>
      <c r="AX11" s="833">
        <v>0</v>
      </c>
      <c r="AY11" s="835"/>
      <c r="AZ11" s="18">
        <v>0</v>
      </c>
      <c r="BA11" s="827">
        <v>0</v>
      </c>
      <c r="BB11" s="829"/>
      <c r="BC11" s="16">
        <v>0</v>
      </c>
      <c r="BD11" s="825">
        <v>0</v>
      </c>
      <c r="BE11" s="836"/>
      <c r="BF11" s="826"/>
      <c r="BG11" s="825">
        <v>0</v>
      </c>
      <c r="BH11" s="826"/>
      <c r="BI11" s="846">
        <v>0</v>
      </c>
      <c r="BJ11" s="848"/>
      <c r="BK11" s="848"/>
      <c r="BL11" s="847"/>
      <c r="BM11" s="825">
        <v>0</v>
      </c>
      <c r="BN11" s="826"/>
      <c r="BO11" s="827">
        <v>0</v>
      </c>
      <c r="BP11" s="828"/>
      <c r="BQ11" s="829"/>
      <c r="BR11" s="825">
        <v>0</v>
      </c>
      <c r="BS11" s="826"/>
      <c r="BT11" s="17">
        <v>0</v>
      </c>
      <c r="BU11" s="827">
        <v>0</v>
      </c>
      <c r="BV11" s="828"/>
      <c r="BW11" s="829"/>
      <c r="BX11" s="827">
        <v>0</v>
      </c>
      <c r="BY11" s="829"/>
      <c r="BZ11" s="827">
        <v>0</v>
      </c>
      <c r="CA11" s="829"/>
      <c r="CB11" s="833">
        <v>0</v>
      </c>
      <c r="CC11" s="834"/>
      <c r="CD11" s="835"/>
      <c r="CE11" s="827">
        <v>18</v>
      </c>
      <c r="CF11" s="828"/>
      <c r="CG11" s="829"/>
      <c r="CH11" s="833">
        <v>779</v>
      </c>
      <c r="CI11" s="834"/>
      <c r="CJ11" s="835"/>
      <c r="CK11" s="827">
        <v>783</v>
      </c>
      <c r="CL11" s="828"/>
      <c r="CM11" s="829"/>
      <c r="CN11" s="827">
        <v>1562</v>
      </c>
      <c r="CO11" s="829"/>
      <c r="CP11" s="825">
        <v>5</v>
      </c>
      <c r="CQ11" s="836"/>
      <c r="CR11" s="826"/>
      <c r="CS11" s="825">
        <v>18</v>
      </c>
      <c r="CT11" s="826"/>
      <c r="CU11" s="827">
        <v>23</v>
      </c>
      <c r="CV11" s="829"/>
      <c r="CW11" s="830" t="s">
        <v>35</v>
      </c>
      <c r="CX11" s="831"/>
      <c r="CY11" s="831"/>
      <c r="CZ11" s="832"/>
      <c r="DA11" s="52">
        <f t="shared" si="0"/>
        <v>150000</v>
      </c>
    </row>
    <row r="12" spans="1:106" ht="23.25">
      <c r="A12" s="16">
        <v>6</v>
      </c>
      <c r="B12" s="849" t="s">
        <v>526</v>
      </c>
      <c r="C12" s="850"/>
      <c r="D12" s="850"/>
      <c r="E12" s="851"/>
      <c r="F12" s="840" t="s">
        <v>369</v>
      </c>
      <c r="G12" s="841"/>
      <c r="H12" s="842"/>
      <c r="I12" s="816" t="s">
        <v>379</v>
      </c>
      <c r="J12" s="818"/>
      <c r="K12" s="827">
        <v>2</v>
      </c>
      <c r="L12" s="829"/>
      <c r="M12" s="827">
        <v>91</v>
      </c>
      <c r="N12" s="829"/>
      <c r="O12" s="833">
        <v>59</v>
      </c>
      <c r="P12" s="835"/>
      <c r="Q12" s="833">
        <v>150</v>
      </c>
      <c r="R12" s="835"/>
      <c r="S12" s="827">
        <v>2</v>
      </c>
      <c r="T12" s="829"/>
      <c r="U12" s="827">
        <v>63</v>
      </c>
      <c r="V12" s="828"/>
      <c r="W12" s="829"/>
      <c r="X12" s="827">
        <v>47</v>
      </c>
      <c r="Y12" s="828"/>
      <c r="Z12" s="829"/>
      <c r="AA12" s="825">
        <v>110</v>
      </c>
      <c r="AB12" s="826"/>
      <c r="AC12" s="825">
        <v>2</v>
      </c>
      <c r="AD12" s="826"/>
      <c r="AE12" s="825">
        <v>50</v>
      </c>
      <c r="AF12" s="826"/>
      <c r="AG12" s="833">
        <v>52</v>
      </c>
      <c r="AH12" s="835"/>
      <c r="AI12" s="827">
        <v>102</v>
      </c>
      <c r="AJ12" s="829"/>
      <c r="AK12" s="825">
        <v>6</v>
      </c>
      <c r="AL12" s="826"/>
      <c r="AM12" s="827">
        <v>204</v>
      </c>
      <c r="AN12" s="829"/>
      <c r="AO12" s="827">
        <v>158</v>
      </c>
      <c r="AP12" s="828"/>
      <c r="AQ12" s="828"/>
      <c r="AR12" s="829"/>
      <c r="AS12" s="827">
        <v>362</v>
      </c>
      <c r="AT12" s="828"/>
      <c r="AU12" s="829"/>
      <c r="AV12" s="827">
        <v>0</v>
      </c>
      <c r="AW12" s="829"/>
      <c r="AX12" s="833">
        <v>0</v>
      </c>
      <c r="AY12" s="835"/>
      <c r="AZ12" s="18">
        <v>0</v>
      </c>
      <c r="BA12" s="827">
        <v>0</v>
      </c>
      <c r="BB12" s="829"/>
      <c r="BC12" s="16">
        <v>0</v>
      </c>
      <c r="BD12" s="825">
        <v>0</v>
      </c>
      <c r="BE12" s="836"/>
      <c r="BF12" s="826"/>
      <c r="BG12" s="825">
        <v>0</v>
      </c>
      <c r="BH12" s="826"/>
      <c r="BI12" s="846">
        <v>0</v>
      </c>
      <c r="BJ12" s="848"/>
      <c r="BK12" s="848"/>
      <c r="BL12" s="847"/>
      <c r="BM12" s="825">
        <v>0</v>
      </c>
      <c r="BN12" s="826"/>
      <c r="BO12" s="827">
        <v>0</v>
      </c>
      <c r="BP12" s="828"/>
      <c r="BQ12" s="829"/>
      <c r="BR12" s="825">
        <v>0</v>
      </c>
      <c r="BS12" s="826"/>
      <c r="BT12" s="17">
        <v>0</v>
      </c>
      <c r="BU12" s="827">
        <v>0</v>
      </c>
      <c r="BV12" s="828"/>
      <c r="BW12" s="829"/>
      <c r="BX12" s="827">
        <v>0</v>
      </c>
      <c r="BY12" s="829"/>
      <c r="BZ12" s="827">
        <v>0</v>
      </c>
      <c r="CA12" s="829"/>
      <c r="CB12" s="833">
        <v>0</v>
      </c>
      <c r="CC12" s="834"/>
      <c r="CD12" s="835"/>
      <c r="CE12" s="827">
        <v>6</v>
      </c>
      <c r="CF12" s="828"/>
      <c r="CG12" s="829"/>
      <c r="CH12" s="833">
        <v>204</v>
      </c>
      <c r="CI12" s="834"/>
      <c r="CJ12" s="835"/>
      <c r="CK12" s="827">
        <v>158</v>
      </c>
      <c r="CL12" s="828"/>
      <c r="CM12" s="829"/>
      <c r="CN12" s="827">
        <v>362</v>
      </c>
      <c r="CO12" s="829"/>
      <c r="CP12" s="825">
        <v>3</v>
      </c>
      <c r="CQ12" s="836"/>
      <c r="CR12" s="826"/>
      <c r="CS12" s="825">
        <v>2</v>
      </c>
      <c r="CT12" s="826"/>
      <c r="CU12" s="827">
        <v>5</v>
      </c>
      <c r="CV12" s="829"/>
      <c r="CW12" s="830" t="s">
        <v>35</v>
      </c>
      <c r="CX12" s="831"/>
      <c r="CY12" s="831"/>
      <c r="CZ12" s="832"/>
      <c r="DA12" s="52">
        <f t="shared" si="0"/>
        <v>90000</v>
      </c>
    </row>
    <row r="13" spans="1:106" ht="23.25">
      <c r="A13" s="16">
        <v>7</v>
      </c>
      <c r="B13" s="843" t="s">
        <v>380</v>
      </c>
      <c r="C13" s="844"/>
      <c r="D13" s="844"/>
      <c r="E13" s="845"/>
      <c r="F13" s="840" t="s">
        <v>372</v>
      </c>
      <c r="G13" s="841"/>
      <c r="H13" s="842"/>
      <c r="I13" s="816" t="s">
        <v>381</v>
      </c>
      <c r="J13" s="818"/>
      <c r="K13" s="827">
        <v>3</v>
      </c>
      <c r="L13" s="829"/>
      <c r="M13" s="827">
        <v>115</v>
      </c>
      <c r="N13" s="829"/>
      <c r="O13" s="833">
        <v>88</v>
      </c>
      <c r="P13" s="835"/>
      <c r="Q13" s="833">
        <v>203</v>
      </c>
      <c r="R13" s="835"/>
      <c r="S13" s="827">
        <v>3</v>
      </c>
      <c r="T13" s="829"/>
      <c r="U13" s="827">
        <v>108</v>
      </c>
      <c r="V13" s="828"/>
      <c r="W13" s="829"/>
      <c r="X13" s="827">
        <v>106</v>
      </c>
      <c r="Y13" s="828"/>
      <c r="Z13" s="829"/>
      <c r="AA13" s="825">
        <v>214</v>
      </c>
      <c r="AB13" s="826"/>
      <c r="AC13" s="825">
        <v>3</v>
      </c>
      <c r="AD13" s="826"/>
      <c r="AE13" s="825">
        <v>73</v>
      </c>
      <c r="AF13" s="826"/>
      <c r="AG13" s="833">
        <v>79</v>
      </c>
      <c r="AH13" s="835"/>
      <c r="AI13" s="827">
        <v>152</v>
      </c>
      <c r="AJ13" s="829"/>
      <c r="AK13" s="825">
        <v>9</v>
      </c>
      <c r="AL13" s="826"/>
      <c r="AM13" s="827">
        <v>296</v>
      </c>
      <c r="AN13" s="829"/>
      <c r="AO13" s="827">
        <v>273</v>
      </c>
      <c r="AP13" s="828"/>
      <c r="AQ13" s="828"/>
      <c r="AR13" s="829"/>
      <c r="AS13" s="827">
        <v>569</v>
      </c>
      <c r="AT13" s="828"/>
      <c r="AU13" s="829"/>
      <c r="AV13" s="827">
        <v>0</v>
      </c>
      <c r="AW13" s="829"/>
      <c r="AX13" s="833">
        <v>0</v>
      </c>
      <c r="AY13" s="835"/>
      <c r="AZ13" s="18">
        <v>0</v>
      </c>
      <c r="BA13" s="827">
        <v>0</v>
      </c>
      <c r="BB13" s="829"/>
      <c r="BC13" s="16">
        <v>0</v>
      </c>
      <c r="BD13" s="825">
        <v>0</v>
      </c>
      <c r="BE13" s="836"/>
      <c r="BF13" s="826"/>
      <c r="BG13" s="825">
        <v>0</v>
      </c>
      <c r="BH13" s="826"/>
      <c r="BI13" s="846">
        <v>0</v>
      </c>
      <c r="BJ13" s="848"/>
      <c r="BK13" s="848"/>
      <c r="BL13" s="847"/>
      <c r="BM13" s="825">
        <v>0</v>
      </c>
      <c r="BN13" s="826"/>
      <c r="BO13" s="827">
        <v>0</v>
      </c>
      <c r="BP13" s="828"/>
      <c r="BQ13" s="829"/>
      <c r="BR13" s="825">
        <v>0</v>
      </c>
      <c r="BS13" s="826"/>
      <c r="BT13" s="17">
        <v>0</v>
      </c>
      <c r="BU13" s="827">
        <v>0</v>
      </c>
      <c r="BV13" s="828"/>
      <c r="BW13" s="829"/>
      <c r="BX13" s="827">
        <v>0</v>
      </c>
      <c r="BY13" s="829"/>
      <c r="BZ13" s="827">
        <v>0</v>
      </c>
      <c r="CA13" s="829"/>
      <c r="CB13" s="833">
        <v>0</v>
      </c>
      <c r="CC13" s="834"/>
      <c r="CD13" s="835"/>
      <c r="CE13" s="827">
        <v>9</v>
      </c>
      <c r="CF13" s="828"/>
      <c r="CG13" s="829"/>
      <c r="CH13" s="833">
        <v>296</v>
      </c>
      <c r="CI13" s="834"/>
      <c r="CJ13" s="835"/>
      <c r="CK13" s="827">
        <v>273</v>
      </c>
      <c r="CL13" s="828"/>
      <c r="CM13" s="829"/>
      <c r="CN13" s="827">
        <v>569</v>
      </c>
      <c r="CO13" s="829"/>
      <c r="CP13" s="825">
        <v>3</v>
      </c>
      <c r="CQ13" s="836"/>
      <c r="CR13" s="826"/>
      <c r="CS13" s="825">
        <v>7</v>
      </c>
      <c r="CT13" s="826"/>
      <c r="CU13" s="827">
        <v>10</v>
      </c>
      <c r="CV13" s="829"/>
      <c r="CW13" s="830" t="s">
        <v>35</v>
      </c>
      <c r="CX13" s="831"/>
      <c r="CY13" s="831"/>
      <c r="CZ13" s="832"/>
      <c r="DA13" s="52">
        <f t="shared" si="0"/>
        <v>90000</v>
      </c>
    </row>
    <row r="14" spans="1:106" ht="23.25">
      <c r="A14" s="16">
        <v>8</v>
      </c>
      <c r="B14" s="843" t="s">
        <v>382</v>
      </c>
      <c r="C14" s="844"/>
      <c r="D14" s="844"/>
      <c r="E14" s="845"/>
      <c r="F14" s="840" t="s">
        <v>372</v>
      </c>
      <c r="G14" s="841"/>
      <c r="H14" s="842"/>
      <c r="I14" s="816" t="s">
        <v>383</v>
      </c>
      <c r="J14" s="818"/>
      <c r="K14" s="827">
        <v>2</v>
      </c>
      <c r="L14" s="829"/>
      <c r="M14" s="827">
        <v>61</v>
      </c>
      <c r="N14" s="829"/>
      <c r="O14" s="833">
        <v>69</v>
      </c>
      <c r="P14" s="835"/>
      <c r="Q14" s="833">
        <v>130</v>
      </c>
      <c r="R14" s="835"/>
      <c r="S14" s="827">
        <v>2</v>
      </c>
      <c r="T14" s="829"/>
      <c r="U14" s="827">
        <v>66</v>
      </c>
      <c r="V14" s="828"/>
      <c r="W14" s="829"/>
      <c r="X14" s="827">
        <v>57</v>
      </c>
      <c r="Y14" s="828"/>
      <c r="Z14" s="829"/>
      <c r="AA14" s="825">
        <v>123</v>
      </c>
      <c r="AB14" s="826"/>
      <c r="AC14" s="825">
        <v>2</v>
      </c>
      <c r="AD14" s="826"/>
      <c r="AE14" s="825">
        <v>57</v>
      </c>
      <c r="AF14" s="826"/>
      <c r="AG14" s="833">
        <v>75</v>
      </c>
      <c r="AH14" s="835"/>
      <c r="AI14" s="827">
        <v>132</v>
      </c>
      <c r="AJ14" s="829"/>
      <c r="AK14" s="825">
        <v>6</v>
      </c>
      <c r="AL14" s="826"/>
      <c r="AM14" s="827">
        <v>184</v>
      </c>
      <c r="AN14" s="829"/>
      <c r="AO14" s="827">
        <v>201</v>
      </c>
      <c r="AP14" s="828"/>
      <c r="AQ14" s="828"/>
      <c r="AR14" s="829"/>
      <c r="AS14" s="827">
        <v>385</v>
      </c>
      <c r="AT14" s="828"/>
      <c r="AU14" s="829"/>
      <c r="AV14" s="827">
        <v>0</v>
      </c>
      <c r="AW14" s="829"/>
      <c r="AX14" s="833">
        <v>0</v>
      </c>
      <c r="AY14" s="835"/>
      <c r="AZ14" s="18">
        <v>0</v>
      </c>
      <c r="BA14" s="827">
        <v>0</v>
      </c>
      <c r="BB14" s="829"/>
      <c r="BC14" s="16">
        <v>0</v>
      </c>
      <c r="BD14" s="825">
        <v>0</v>
      </c>
      <c r="BE14" s="836"/>
      <c r="BF14" s="826"/>
      <c r="BG14" s="825">
        <v>0</v>
      </c>
      <c r="BH14" s="826"/>
      <c r="BI14" s="846">
        <v>0</v>
      </c>
      <c r="BJ14" s="848"/>
      <c r="BK14" s="848"/>
      <c r="BL14" s="847"/>
      <c r="BM14" s="825">
        <v>0</v>
      </c>
      <c r="BN14" s="826"/>
      <c r="BO14" s="827">
        <v>0</v>
      </c>
      <c r="BP14" s="828"/>
      <c r="BQ14" s="829"/>
      <c r="BR14" s="825">
        <v>0</v>
      </c>
      <c r="BS14" s="826"/>
      <c r="BT14" s="17">
        <v>0</v>
      </c>
      <c r="BU14" s="827">
        <v>0</v>
      </c>
      <c r="BV14" s="828"/>
      <c r="BW14" s="829"/>
      <c r="BX14" s="827">
        <v>0</v>
      </c>
      <c r="BY14" s="829"/>
      <c r="BZ14" s="827">
        <v>0</v>
      </c>
      <c r="CA14" s="829"/>
      <c r="CB14" s="833">
        <v>0</v>
      </c>
      <c r="CC14" s="834"/>
      <c r="CD14" s="835"/>
      <c r="CE14" s="827">
        <v>6</v>
      </c>
      <c r="CF14" s="828"/>
      <c r="CG14" s="829"/>
      <c r="CH14" s="833">
        <v>184</v>
      </c>
      <c r="CI14" s="834"/>
      <c r="CJ14" s="835"/>
      <c r="CK14" s="827">
        <v>201</v>
      </c>
      <c r="CL14" s="828"/>
      <c r="CM14" s="829"/>
      <c r="CN14" s="827">
        <v>385</v>
      </c>
      <c r="CO14" s="829"/>
      <c r="CP14" s="825">
        <v>6</v>
      </c>
      <c r="CQ14" s="836"/>
      <c r="CR14" s="826"/>
      <c r="CS14" s="825">
        <v>12</v>
      </c>
      <c r="CT14" s="826"/>
      <c r="CU14" s="827">
        <v>18</v>
      </c>
      <c r="CV14" s="829"/>
      <c r="CW14" s="830" t="s">
        <v>35</v>
      </c>
      <c r="CX14" s="831"/>
      <c r="CY14" s="831"/>
      <c r="CZ14" s="832"/>
      <c r="DA14" s="52">
        <f t="shared" si="0"/>
        <v>90000</v>
      </c>
    </row>
    <row r="15" spans="1:106" ht="23.25">
      <c r="A15" s="16">
        <v>9</v>
      </c>
      <c r="B15" s="843" t="s">
        <v>384</v>
      </c>
      <c r="C15" s="844"/>
      <c r="D15" s="844"/>
      <c r="E15" s="845"/>
      <c r="F15" s="840" t="s">
        <v>369</v>
      </c>
      <c r="G15" s="841"/>
      <c r="H15" s="842"/>
      <c r="I15" s="816" t="s">
        <v>385</v>
      </c>
      <c r="J15" s="818"/>
      <c r="K15" s="827">
        <v>6</v>
      </c>
      <c r="L15" s="829"/>
      <c r="M15" s="827">
        <v>140</v>
      </c>
      <c r="N15" s="829"/>
      <c r="O15" s="833">
        <v>125</v>
      </c>
      <c r="P15" s="835"/>
      <c r="Q15" s="833">
        <v>265</v>
      </c>
      <c r="R15" s="835"/>
      <c r="S15" s="827">
        <v>7</v>
      </c>
      <c r="T15" s="829"/>
      <c r="U15" s="827">
        <v>156</v>
      </c>
      <c r="V15" s="828"/>
      <c r="W15" s="829"/>
      <c r="X15" s="827">
        <v>135</v>
      </c>
      <c r="Y15" s="828"/>
      <c r="Z15" s="829"/>
      <c r="AA15" s="825">
        <v>291</v>
      </c>
      <c r="AB15" s="826"/>
      <c r="AC15" s="825">
        <v>7</v>
      </c>
      <c r="AD15" s="826"/>
      <c r="AE15" s="825">
        <v>135</v>
      </c>
      <c r="AF15" s="826"/>
      <c r="AG15" s="833">
        <v>127</v>
      </c>
      <c r="AH15" s="835"/>
      <c r="AI15" s="827">
        <v>262</v>
      </c>
      <c r="AJ15" s="829"/>
      <c r="AK15" s="825">
        <v>20</v>
      </c>
      <c r="AL15" s="826"/>
      <c r="AM15" s="827">
        <v>431</v>
      </c>
      <c r="AN15" s="829"/>
      <c r="AO15" s="827">
        <v>387</v>
      </c>
      <c r="AP15" s="828"/>
      <c r="AQ15" s="828"/>
      <c r="AR15" s="829"/>
      <c r="AS15" s="827">
        <v>818</v>
      </c>
      <c r="AT15" s="828"/>
      <c r="AU15" s="829"/>
      <c r="AV15" s="827">
        <v>0</v>
      </c>
      <c r="AW15" s="829"/>
      <c r="AX15" s="833">
        <v>0</v>
      </c>
      <c r="AY15" s="835"/>
      <c r="AZ15" s="18">
        <v>0</v>
      </c>
      <c r="BA15" s="827">
        <v>0</v>
      </c>
      <c r="BB15" s="829"/>
      <c r="BC15" s="16">
        <v>0</v>
      </c>
      <c r="BD15" s="825">
        <v>0</v>
      </c>
      <c r="BE15" s="836"/>
      <c r="BF15" s="826"/>
      <c r="BG15" s="825">
        <v>0</v>
      </c>
      <c r="BH15" s="826"/>
      <c r="BI15" s="846">
        <v>0</v>
      </c>
      <c r="BJ15" s="848"/>
      <c r="BK15" s="848"/>
      <c r="BL15" s="847"/>
      <c r="BM15" s="825">
        <v>0</v>
      </c>
      <c r="BN15" s="826"/>
      <c r="BO15" s="827">
        <v>0</v>
      </c>
      <c r="BP15" s="828"/>
      <c r="BQ15" s="829"/>
      <c r="BR15" s="825">
        <v>0</v>
      </c>
      <c r="BS15" s="826"/>
      <c r="BT15" s="17">
        <v>0</v>
      </c>
      <c r="BU15" s="827">
        <v>0</v>
      </c>
      <c r="BV15" s="828"/>
      <c r="BW15" s="829"/>
      <c r="BX15" s="827">
        <v>0</v>
      </c>
      <c r="BY15" s="829"/>
      <c r="BZ15" s="827">
        <v>0</v>
      </c>
      <c r="CA15" s="829"/>
      <c r="CB15" s="833">
        <v>0</v>
      </c>
      <c r="CC15" s="834"/>
      <c r="CD15" s="835"/>
      <c r="CE15" s="827">
        <v>20</v>
      </c>
      <c r="CF15" s="828"/>
      <c r="CG15" s="829"/>
      <c r="CH15" s="833">
        <v>431</v>
      </c>
      <c r="CI15" s="834"/>
      <c r="CJ15" s="835"/>
      <c r="CK15" s="827">
        <v>387</v>
      </c>
      <c r="CL15" s="828"/>
      <c r="CM15" s="829"/>
      <c r="CN15" s="827">
        <v>818</v>
      </c>
      <c r="CO15" s="829"/>
      <c r="CP15" s="825">
        <v>10</v>
      </c>
      <c r="CQ15" s="836"/>
      <c r="CR15" s="826"/>
      <c r="CS15" s="825">
        <v>15</v>
      </c>
      <c r="CT15" s="826"/>
      <c r="CU15" s="827">
        <v>25</v>
      </c>
      <c r="CV15" s="829"/>
      <c r="CW15" s="830" t="s">
        <v>35</v>
      </c>
      <c r="CX15" s="831"/>
      <c r="CY15" s="831"/>
      <c r="CZ15" s="832"/>
      <c r="DA15" s="52">
        <f t="shared" si="0"/>
        <v>90000</v>
      </c>
    </row>
    <row r="16" spans="1:106" ht="23.25">
      <c r="A16" s="16">
        <v>10</v>
      </c>
      <c r="B16" s="843" t="s">
        <v>386</v>
      </c>
      <c r="C16" s="844"/>
      <c r="D16" s="844"/>
      <c r="E16" s="845"/>
      <c r="F16" s="840" t="s">
        <v>372</v>
      </c>
      <c r="G16" s="841"/>
      <c r="H16" s="842"/>
      <c r="I16" s="816" t="s">
        <v>375</v>
      </c>
      <c r="J16" s="818"/>
      <c r="K16" s="827">
        <v>7</v>
      </c>
      <c r="L16" s="829"/>
      <c r="M16" s="827">
        <v>280</v>
      </c>
      <c r="N16" s="829"/>
      <c r="O16" s="833">
        <v>221</v>
      </c>
      <c r="P16" s="835"/>
      <c r="Q16" s="833">
        <v>501</v>
      </c>
      <c r="R16" s="835"/>
      <c r="S16" s="827">
        <v>5</v>
      </c>
      <c r="T16" s="829"/>
      <c r="U16" s="827">
        <v>193</v>
      </c>
      <c r="V16" s="828"/>
      <c r="W16" s="829"/>
      <c r="X16" s="827">
        <v>182</v>
      </c>
      <c r="Y16" s="828"/>
      <c r="Z16" s="829"/>
      <c r="AA16" s="825">
        <v>375</v>
      </c>
      <c r="AB16" s="826"/>
      <c r="AC16" s="825">
        <v>6</v>
      </c>
      <c r="AD16" s="826"/>
      <c r="AE16" s="825">
        <v>198</v>
      </c>
      <c r="AF16" s="826"/>
      <c r="AG16" s="833">
        <v>216</v>
      </c>
      <c r="AH16" s="835"/>
      <c r="AI16" s="827">
        <v>414</v>
      </c>
      <c r="AJ16" s="829"/>
      <c r="AK16" s="825">
        <v>18</v>
      </c>
      <c r="AL16" s="826"/>
      <c r="AM16" s="827">
        <v>671</v>
      </c>
      <c r="AN16" s="829"/>
      <c r="AO16" s="827">
        <v>619</v>
      </c>
      <c r="AP16" s="828"/>
      <c r="AQ16" s="828"/>
      <c r="AR16" s="829"/>
      <c r="AS16" s="827">
        <v>1290</v>
      </c>
      <c r="AT16" s="828"/>
      <c r="AU16" s="829"/>
      <c r="AV16" s="827">
        <v>0</v>
      </c>
      <c r="AW16" s="829"/>
      <c r="AX16" s="833">
        <v>0</v>
      </c>
      <c r="AY16" s="835"/>
      <c r="AZ16" s="18">
        <v>0</v>
      </c>
      <c r="BA16" s="827">
        <v>0</v>
      </c>
      <c r="BB16" s="829"/>
      <c r="BC16" s="16">
        <v>0</v>
      </c>
      <c r="BD16" s="825">
        <v>0</v>
      </c>
      <c r="BE16" s="836"/>
      <c r="BF16" s="826"/>
      <c r="BG16" s="825">
        <v>0</v>
      </c>
      <c r="BH16" s="826"/>
      <c r="BI16" s="846">
        <v>0</v>
      </c>
      <c r="BJ16" s="848"/>
      <c r="BK16" s="848"/>
      <c r="BL16" s="847"/>
      <c r="BM16" s="825">
        <v>0</v>
      </c>
      <c r="BN16" s="826"/>
      <c r="BO16" s="827">
        <v>0</v>
      </c>
      <c r="BP16" s="828"/>
      <c r="BQ16" s="829"/>
      <c r="BR16" s="825">
        <v>0</v>
      </c>
      <c r="BS16" s="826"/>
      <c r="BT16" s="17">
        <v>0</v>
      </c>
      <c r="BU16" s="827">
        <v>0</v>
      </c>
      <c r="BV16" s="828"/>
      <c r="BW16" s="829"/>
      <c r="BX16" s="827">
        <v>0</v>
      </c>
      <c r="BY16" s="829"/>
      <c r="BZ16" s="827">
        <v>0</v>
      </c>
      <c r="CA16" s="829"/>
      <c r="CB16" s="833">
        <v>0</v>
      </c>
      <c r="CC16" s="834"/>
      <c r="CD16" s="835"/>
      <c r="CE16" s="827">
        <v>18</v>
      </c>
      <c r="CF16" s="828"/>
      <c r="CG16" s="829"/>
      <c r="CH16" s="833">
        <v>671</v>
      </c>
      <c r="CI16" s="834"/>
      <c r="CJ16" s="835"/>
      <c r="CK16" s="827">
        <v>619</v>
      </c>
      <c r="CL16" s="828"/>
      <c r="CM16" s="829"/>
      <c r="CN16" s="827">
        <v>1290</v>
      </c>
      <c r="CO16" s="829"/>
      <c r="CP16" s="825">
        <v>6</v>
      </c>
      <c r="CQ16" s="836"/>
      <c r="CR16" s="826"/>
      <c r="CS16" s="825">
        <v>9</v>
      </c>
      <c r="CT16" s="826"/>
      <c r="CU16" s="827">
        <v>15</v>
      </c>
      <c r="CV16" s="829"/>
      <c r="CW16" s="830" t="s">
        <v>35</v>
      </c>
      <c r="CX16" s="831"/>
      <c r="CY16" s="831"/>
      <c r="CZ16" s="832"/>
      <c r="DA16" s="52">
        <f t="shared" si="0"/>
        <v>150000</v>
      </c>
    </row>
    <row r="17" spans="1:105" ht="23.25">
      <c r="A17" s="16">
        <v>11</v>
      </c>
      <c r="B17" s="843" t="s">
        <v>387</v>
      </c>
      <c r="C17" s="844"/>
      <c r="D17" s="844"/>
      <c r="E17" s="845"/>
      <c r="F17" s="840" t="s">
        <v>369</v>
      </c>
      <c r="G17" s="841"/>
      <c r="H17" s="842"/>
      <c r="I17" s="816" t="s">
        <v>370</v>
      </c>
      <c r="J17" s="818"/>
      <c r="K17" s="827">
        <v>7</v>
      </c>
      <c r="L17" s="829"/>
      <c r="M17" s="827">
        <v>254</v>
      </c>
      <c r="N17" s="829"/>
      <c r="O17" s="833">
        <v>243</v>
      </c>
      <c r="P17" s="835"/>
      <c r="Q17" s="833">
        <v>497</v>
      </c>
      <c r="R17" s="835"/>
      <c r="S17" s="827">
        <v>6</v>
      </c>
      <c r="T17" s="829"/>
      <c r="U17" s="827">
        <v>200</v>
      </c>
      <c r="V17" s="828"/>
      <c r="W17" s="829"/>
      <c r="X17" s="827">
        <v>240</v>
      </c>
      <c r="Y17" s="828"/>
      <c r="Z17" s="829"/>
      <c r="AA17" s="825">
        <v>440</v>
      </c>
      <c r="AB17" s="826"/>
      <c r="AC17" s="825">
        <v>6</v>
      </c>
      <c r="AD17" s="826"/>
      <c r="AE17" s="825">
        <v>208</v>
      </c>
      <c r="AF17" s="826"/>
      <c r="AG17" s="833">
        <v>187</v>
      </c>
      <c r="AH17" s="835"/>
      <c r="AI17" s="827">
        <v>395</v>
      </c>
      <c r="AJ17" s="829"/>
      <c r="AK17" s="825">
        <v>19</v>
      </c>
      <c r="AL17" s="826"/>
      <c r="AM17" s="827">
        <v>662</v>
      </c>
      <c r="AN17" s="829"/>
      <c r="AO17" s="827">
        <v>670</v>
      </c>
      <c r="AP17" s="828"/>
      <c r="AQ17" s="828"/>
      <c r="AR17" s="829"/>
      <c r="AS17" s="827">
        <v>1332</v>
      </c>
      <c r="AT17" s="828"/>
      <c r="AU17" s="829"/>
      <c r="AV17" s="827">
        <v>0</v>
      </c>
      <c r="AW17" s="829"/>
      <c r="AX17" s="833">
        <v>0</v>
      </c>
      <c r="AY17" s="835"/>
      <c r="AZ17" s="18">
        <v>0</v>
      </c>
      <c r="BA17" s="827">
        <v>0</v>
      </c>
      <c r="BB17" s="829"/>
      <c r="BC17" s="16">
        <v>0</v>
      </c>
      <c r="BD17" s="825">
        <v>0</v>
      </c>
      <c r="BE17" s="836"/>
      <c r="BF17" s="826"/>
      <c r="BG17" s="825">
        <v>0</v>
      </c>
      <c r="BH17" s="826"/>
      <c r="BI17" s="846">
        <v>0</v>
      </c>
      <c r="BJ17" s="848"/>
      <c r="BK17" s="848"/>
      <c r="BL17" s="847"/>
      <c r="BM17" s="825">
        <v>0</v>
      </c>
      <c r="BN17" s="826"/>
      <c r="BO17" s="827">
        <v>0</v>
      </c>
      <c r="BP17" s="828"/>
      <c r="BQ17" s="829"/>
      <c r="BR17" s="825">
        <v>0</v>
      </c>
      <c r="BS17" s="826"/>
      <c r="BT17" s="17">
        <v>0</v>
      </c>
      <c r="BU17" s="827">
        <v>0</v>
      </c>
      <c r="BV17" s="828"/>
      <c r="BW17" s="829"/>
      <c r="BX17" s="827">
        <v>0</v>
      </c>
      <c r="BY17" s="829"/>
      <c r="BZ17" s="827">
        <v>0</v>
      </c>
      <c r="CA17" s="829"/>
      <c r="CB17" s="833">
        <v>0</v>
      </c>
      <c r="CC17" s="834"/>
      <c r="CD17" s="835"/>
      <c r="CE17" s="827">
        <v>19</v>
      </c>
      <c r="CF17" s="828"/>
      <c r="CG17" s="829"/>
      <c r="CH17" s="833">
        <v>662</v>
      </c>
      <c r="CI17" s="834"/>
      <c r="CJ17" s="835"/>
      <c r="CK17" s="827">
        <v>670</v>
      </c>
      <c r="CL17" s="828"/>
      <c r="CM17" s="829"/>
      <c r="CN17" s="827">
        <v>1332</v>
      </c>
      <c r="CO17" s="829"/>
      <c r="CP17" s="825">
        <v>15</v>
      </c>
      <c r="CQ17" s="836"/>
      <c r="CR17" s="826"/>
      <c r="CS17" s="825">
        <v>28</v>
      </c>
      <c r="CT17" s="826"/>
      <c r="CU17" s="827">
        <v>43</v>
      </c>
      <c r="CV17" s="829"/>
      <c r="CW17" s="830" t="s">
        <v>35</v>
      </c>
      <c r="CX17" s="831"/>
      <c r="CY17" s="831"/>
      <c r="CZ17" s="832"/>
      <c r="DA17" s="52">
        <f t="shared" si="0"/>
        <v>150000</v>
      </c>
    </row>
    <row r="18" spans="1:105" ht="23.25">
      <c r="A18" s="16">
        <v>12</v>
      </c>
      <c r="B18" s="843" t="s">
        <v>388</v>
      </c>
      <c r="C18" s="844"/>
      <c r="D18" s="844"/>
      <c r="E18" s="845"/>
      <c r="F18" s="840" t="s">
        <v>369</v>
      </c>
      <c r="G18" s="841"/>
      <c r="H18" s="842"/>
      <c r="I18" s="816" t="s">
        <v>370</v>
      </c>
      <c r="J18" s="818"/>
      <c r="K18" s="827">
        <v>0</v>
      </c>
      <c r="L18" s="829"/>
      <c r="M18" s="827">
        <v>0</v>
      </c>
      <c r="N18" s="829"/>
      <c r="O18" s="846">
        <v>0</v>
      </c>
      <c r="P18" s="847"/>
      <c r="Q18" s="833">
        <v>0</v>
      </c>
      <c r="R18" s="835"/>
      <c r="S18" s="827">
        <v>0</v>
      </c>
      <c r="T18" s="829"/>
      <c r="U18" s="827">
        <v>0</v>
      </c>
      <c r="V18" s="828"/>
      <c r="W18" s="829"/>
      <c r="X18" s="827">
        <v>0</v>
      </c>
      <c r="Y18" s="828"/>
      <c r="Z18" s="829"/>
      <c r="AA18" s="825">
        <v>0</v>
      </c>
      <c r="AB18" s="826"/>
      <c r="AC18" s="825">
        <v>0</v>
      </c>
      <c r="AD18" s="826"/>
      <c r="AE18" s="825">
        <v>0</v>
      </c>
      <c r="AF18" s="826"/>
      <c r="AG18" s="833">
        <v>0</v>
      </c>
      <c r="AH18" s="835"/>
      <c r="AI18" s="827">
        <v>0</v>
      </c>
      <c r="AJ18" s="829"/>
      <c r="AK18" s="825">
        <v>0</v>
      </c>
      <c r="AL18" s="826"/>
      <c r="AM18" s="827">
        <v>0</v>
      </c>
      <c r="AN18" s="829"/>
      <c r="AO18" s="827">
        <v>0</v>
      </c>
      <c r="AP18" s="828"/>
      <c r="AQ18" s="828"/>
      <c r="AR18" s="829"/>
      <c r="AS18" s="827">
        <v>0</v>
      </c>
      <c r="AT18" s="828"/>
      <c r="AU18" s="829"/>
      <c r="AV18" s="827">
        <v>4</v>
      </c>
      <c r="AW18" s="829"/>
      <c r="AX18" s="833">
        <v>99</v>
      </c>
      <c r="AY18" s="835"/>
      <c r="AZ18" s="18">
        <v>117</v>
      </c>
      <c r="BA18" s="827">
        <v>216</v>
      </c>
      <c r="BB18" s="829"/>
      <c r="BC18" s="16">
        <v>4</v>
      </c>
      <c r="BD18" s="825">
        <v>109</v>
      </c>
      <c r="BE18" s="836"/>
      <c r="BF18" s="826"/>
      <c r="BG18" s="825">
        <v>109</v>
      </c>
      <c r="BH18" s="826"/>
      <c r="BI18" s="833">
        <v>218</v>
      </c>
      <c r="BJ18" s="834"/>
      <c r="BK18" s="834"/>
      <c r="BL18" s="835"/>
      <c r="BM18" s="825">
        <v>4</v>
      </c>
      <c r="BN18" s="826"/>
      <c r="BO18" s="827">
        <v>75</v>
      </c>
      <c r="BP18" s="828"/>
      <c r="BQ18" s="829"/>
      <c r="BR18" s="825">
        <v>66</v>
      </c>
      <c r="BS18" s="826"/>
      <c r="BT18" s="17">
        <v>141</v>
      </c>
      <c r="BU18" s="827">
        <v>12</v>
      </c>
      <c r="BV18" s="828"/>
      <c r="BW18" s="829"/>
      <c r="BX18" s="827">
        <v>283</v>
      </c>
      <c r="BY18" s="829"/>
      <c r="BZ18" s="827">
        <v>292</v>
      </c>
      <c r="CA18" s="829"/>
      <c r="CB18" s="833">
        <v>575</v>
      </c>
      <c r="CC18" s="834"/>
      <c r="CD18" s="835"/>
      <c r="CE18" s="827">
        <v>12</v>
      </c>
      <c r="CF18" s="828"/>
      <c r="CG18" s="829"/>
      <c r="CH18" s="833">
        <v>283</v>
      </c>
      <c r="CI18" s="834"/>
      <c r="CJ18" s="835"/>
      <c r="CK18" s="827">
        <v>292</v>
      </c>
      <c r="CL18" s="828"/>
      <c r="CM18" s="829"/>
      <c r="CN18" s="827">
        <v>575</v>
      </c>
      <c r="CO18" s="829"/>
      <c r="CP18" s="825">
        <v>14</v>
      </c>
      <c r="CQ18" s="836"/>
      <c r="CR18" s="826"/>
      <c r="CS18" s="825">
        <v>10</v>
      </c>
      <c r="CT18" s="826"/>
      <c r="CU18" s="827">
        <v>24</v>
      </c>
      <c r="CV18" s="829"/>
      <c r="CW18" s="830" t="s">
        <v>35</v>
      </c>
      <c r="CX18" s="831"/>
      <c r="CY18" s="831"/>
      <c r="CZ18" s="832"/>
      <c r="DA18" s="52">
        <f t="shared" si="0"/>
        <v>90000</v>
      </c>
    </row>
    <row r="19" spans="1:105" ht="23.25">
      <c r="A19" s="16">
        <v>13</v>
      </c>
      <c r="B19" s="843" t="s">
        <v>389</v>
      </c>
      <c r="C19" s="844"/>
      <c r="D19" s="844"/>
      <c r="E19" s="845"/>
      <c r="F19" s="840" t="s">
        <v>372</v>
      </c>
      <c r="G19" s="841"/>
      <c r="H19" s="842"/>
      <c r="I19" s="816" t="s">
        <v>373</v>
      </c>
      <c r="J19" s="818"/>
      <c r="K19" s="827">
        <v>0</v>
      </c>
      <c r="L19" s="829"/>
      <c r="M19" s="827">
        <v>0</v>
      </c>
      <c r="N19" s="829"/>
      <c r="O19" s="846">
        <v>0</v>
      </c>
      <c r="P19" s="847"/>
      <c r="Q19" s="833">
        <v>0</v>
      </c>
      <c r="R19" s="835"/>
      <c r="S19" s="827">
        <v>0</v>
      </c>
      <c r="T19" s="829"/>
      <c r="U19" s="827">
        <v>0</v>
      </c>
      <c r="V19" s="828"/>
      <c r="W19" s="829"/>
      <c r="X19" s="827">
        <v>0</v>
      </c>
      <c r="Y19" s="828"/>
      <c r="Z19" s="829"/>
      <c r="AA19" s="825">
        <v>0</v>
      </c>
      <c r="AB19" s="826"/>
      <c r="AC19" s="825">
        <v>0</v>
      </c>
      <c r="AD19" s="826"/>
      <c r="AE19" s="825">
        <v>0</v>
      </c>
      <c r="AF19" s="826"/>
      <c r="AG19" s="833">
        <v>0</v>
      </c>
      <c r="AH19" s="835"/>
      <c r="AI19" s="827">
        <v>0</v>
      </c>
      <c r="AJ19" s="829"/>
      <c r="AK19" s="825">
        <v>0</v>
      </c>
      <c r="AL19" s="826"/>
      <c r="AM19" s="827">
        <v>0</v>
      </c>
      <c r="AN19" s="829"/>
      <c r="AO19" s="827">
        <v>0</v>
      </c>
      <c r="AP19" s="828"/>
      <c r="AQ19" s="828"/>
      <c r="AR19" s="829"/>
      <c r="AS19" s="827">
        <v>0</v>
      </c>
      <c r="AT19" s="828"/>
      <c r="AU19" s="829"/>
      <c r="AV19" s="827">
        <v>7</v>
      </c>
      <c r="AW19" s="829"/>
      <c r="AX19" s="833">
        <v>417</v>
      </c>
      <c r="AY19" s="835"/>
      <c r="AZ19" s="18">
        <v>358</v>
      </c>
      <c r="BA19" s="827">
        <v>775</v>
      </c>
      <c r="BB19" s="829"/>
      <c r="BC19" s="16">
        <v>6</v>
      </c>
      <c r="BD19" s="825">
        <v>316</v>
      </c>
      <c r="BE19" s="836"/>
      <c r="BF19" s="826"/>
      <c r="BG19" s="825">
        <v>263</v>
      </c>
      <c r="BH19" s="826"/>
      <c r="BI19" s="833">
        <v>579</v>
      </c>
      <c r="BJ19" s="834"/>
      <c r="BK19" s="834"/>
      <c r="BL19" s="835"/>
      <c r="BM19" s="825">
        <v>5</v>
      </c>
      <c r="BN19" s="826"/>
      <c r="BO19" s="827">
        <v>180</v>
      </c>
      <c r="BP19" s="828"/>
      <c r="BQ19" s="829"/>
      <c r="BR19" s="825">
        <v>200</v>
      </c>
      <c r="BS19" s="826"/>
      <c r="BT19" s="17">
        <v>380</v>
      </c>
      <c r="BU19" s="827">
        <v>18</v>
      </c>
      <c r="BV19" s="828"/>
      <c r="BW19" s="829"/>
      <c r="BX19" s="827">
        <v>913</v>
      </c>
      <c r="BY19" s="829"/>
      <c r="BZ19" s="827">
        <v>821</v>
      </c>
      <c r="CA19" s="829"/>
      <c r="CB19" s="833">
        <v>1734</v>
      </c>
      <c r="CC19" s="834"/>
      <c r="CD19" s="835"/>
      <c r="CE19" s="827">
        <v>18</v>
      </c>
      <c r="CF19" s="828"/>
      <c r="CG19" s="829"/>
      <c r="CH19" s="833">
        <v>913</v>
      </c>
      <c r="CI19" s="834"/>
      <c r="CJ19" s="835"/>
      <c r="CK19" s="827">
        <v>821</v>
      </c>
      <c r="CL19" s="828"/>
      <c r="CM19" s="829"/>
      <c r="CN19" s="827">
        <v>1734</v>
      </c>
      <c r="CO19" s="829"/>
      <c r="CP19" s="825">
        <v>17</v>
      </c>
      <c r="CQ19" s="836"/>
      <c r="CR19" s="826"/>
      <c r="CS19" s="825">
        <v>14</v>
      </c>
      <c r="CT19" s="826"/>
      <c r="CU19" s="827">
        <v>31</v>
      </c>
      <c r="CV19" s="829"/>
      <c r="CW19" s="830" t="s">
        <v>35</v>
      </c>
      <c r="CX19" s="831"/>
      <c r="CY19" s="831"/>
      <c r="CZ19" s="832"/>
      <c r="DA19" s="52">
        <f t="shared" si="0"/>
        <v>150000</v>
      </c>
    </row>
    <row r="20" spans="1:105" ht="23.25">
      <c r="A20" s="16">
        <v>14</v>
      </c>
      <c r="B20" s="843" t="s">
        <v>390</v>
      </c>
      <c r="C20" s="844"/>
      <c r="D20" s="844"/>
      <c r="E20" s="845"/>
      <c r="F20" s="840" t="s">
        <v>372</v>
      </c>
      <c r="G20" s="841"/>
      <c r="H20" s="842"/>
      <c r="I20" s="816" t="s">
        <v>375</v>
      </c>
      <c r="J20" s="818"/>
      <c r="K20" s="827">
        <v>0</v>
      </c>
      <c r="L20" s="829"/>
      <c r="M20" s="827">
        <v>0</v>
      </c>
      <c r="N20" s="829"/>
      <c r="O20" s="846">
        <v>0</v>
      </c>
      <c r="P20" s="847"/>
      <c r="Q20" s="833">
        <v>0</v>
      </c>
      <c r="R20" s="835"/>
      <c r="S20" s="827">
        <v>0</v>
      </c>
      <c r="T20" s="829"/>
      <c r="U20" s="827">
        <v>0</v>
      </c>
      <c r="V20" s="828"/>
      <c r="W20" s="829"/>
      <c r="X20" s="827">
        <v>0</v>
      </c>
      <c r="Y20" s="828"/>
      <c r="Z20" s="829"/>
      <c r="AA20" s="825">
        <v>0</v>
      </c>
      <c r="AB20" s="826"/>
      <c r="AC20" s="825">
        <v>0</v>
      </c>
      <c r="AD20" s="826"/>
      <c r="AE20" s="825">
        <v>0</v>
      </c>
      <c r="AF20" s="826"/>
      <c r="AG20" s="833">
        <v>0</v>
      </c>
      <c r="AH20" s="835"/>
      <c r="AI20" s="827">
        <v>0</v>
      </c>
      <c r="AJ20" s="829"/>
      <c r="AK20" s="825">
        <v>0</v>
      </c>
      <c r="AL20" s="826"/>
      <c r="AM20" s="827">
        <v>0</v>
      </c>
      <c r="AN20" s="829"/>
      <c r="AO20" s="827">
        <v>0</v>
      </c>
      <c r="AP20" s="828"/>
      <c r="AQ20" s="828"/>
      <c r="AR20" s="829"/>
      <c r="AS20" s="827">
        <v>0</v>
      </c>
      <c r="AT20" s="828"/>
      <c r="AU20" s="829"/>
      <c r="AV20" s="827">
        <v>5</v>
      </c>
      <c r="AW20" s="829"/>
      <c r="AX20" s="833">
        <v>234</v>
      </c>
      <c r="AY20" s="835"/>
      <c r="AZ20" s="18">
        <v>256</v>
      </c>
      <c r="BA20" s="827">
        <v>490</v>
      </c>
      <c r="BB20" s="829"/>
      <c r="BC20" s="16">
        <v>5</v>
      </c>
      <c r="BD20" s="825">
        <v>241</v>
      </c>
      <c r="BE20" s="836"/>
      <c r="BF20" s="826"/>
      <c r="BG20" s="825">
        <v>213</v>
      </c>
      <c r="BH20" s="826"/>
      <c r="BI20" s="833">
        <v>454</v>
      </c>
      <c r="BJ20" s="834"/>
      <c r="BK20" s="834"/>
      <c r="BL20" s="835"/>
      <c r="BM20" s="825">
        <v>5</v>
      </c>
      <c r="BN20" s="826"/>
      <c r="BO20" s="827">
        <v>171</v>
      </c>
      <c r="BP20" s="828"/>
      <c r="BQ20" s="829"/>
      <c r="BR20" s="825">
        <v>188</v>
      </c>
      <c r="BS20" s="826"/>
      <c r="BT20" s="17">
        <v>359</v>
      </c>
      <c r="BU20" s="827">
        <v>15</v>
      </c>
      <c r="BV20" s="828"/>
      <c r="BW20" s="829"/>
      <c r="BX20" s="827">
        <v>646</v>
      </c>
      <c r="BY20" s="829"/>
      <c r="BZ20" s="827">
        <v>657</v>
      </c>
      <c r="CA20" s="829"/>
      <c r="CB20" s="833">
        <v>1303</v>
      </c>
      <c r="CC20" s="834"/>
      <c r="CD20" s="835"/>
      <c r="CE20" s="827">
        <v>15</v>
      </c>
      <c r="CF20" s="828"/>
      <c r="CG20" s="829"/>
      <c r="CH20" s="833">
        <v>646</v>
      </c>
      <c r="CI20" s="834"/>
      <c r="CJ20" s="835"/>
      <c r="CK20" s="827">
        <v>657</v>
      </c>
      <c r="CL20" s="828"/>
      <c r="CM20" s="829"/>
      <c r="CN20" s="827">
        <v>1303</v>
      </c>
      <c r="CO20" s="829"/>
      <c r="CP20" s="825">
        <v>13</v>
      </c>
      <c r="CQ20" s="836"/>
      <c r="CR20" s="826"/>
      <c r="CS20" s="825">
        <v>9</v>
      </c>
      <c r="CT20" s="826"/>
      <c r="CU20" s="827">
        <v>22</v>
      </c>
      <c r="CV20" s="829"/>
      <c r="CW20" s="830" t="s">
        <v>35</v>
      </c>
      <c r="CX20" s="831"/>
      <c r="CY20" s="831"/>
      <c r="CZ20" s="832"/>
      <c r="DA20" s="52">
        <f t="shared" si="0"/>
        <v>150000</v>
      </c>
    </row>
    <row r="21" spans="1:105" ht="23.25">
      <c r="A21" s="16">
        <v>15</v>
      </c>
      <c r="B21" s="843" t="s">
        <v>391</v>
      </c>
      <c r="C21" s="844"/>
      <c r="D21" s="844"/>
      <c r="E21" s="845"/>
      <c r="F21" s="840" t="s">
        <v>369</v>
      </c>
      <c r="G21" s="841"/>
      <c r="H21" s="842"/>
      <c r="I21" s="816" t="s">
        <v>377</v>
      </c>
      <c r="J21" s="818"/>
      <c r="K21" s="827">
        <v>0</v>
      </c>
      <c r="L21" s="829"/>
      <c r="M21" s="827">
        <v>0</v>
      </c>
      <c r="N21" s="829"/>
      <c r="O21" s="846">
        <v>0</v>
      </c>
      <c r="P21" s="847"/>
      <c r="Q21" s="833">
        <v>0</v>
      </c>
      <c r="R21" s="835"/>
      <c r="S21" s="827">
        <v>0</v>
      </c>
      <c r="T21" s="829"/>
      <c r="U21" s="827">
        <v>0</v>
      </c>
      <c r="V21" s="828"/>
      <c r="W21" s="829"/>
      <c r="X21" s="827">
        <v>0</v>
      </c>
      <c r="Y21" s="828"/>
      <c r="Z21" s="829"/>
      <c r="AA21" s="825">
        <v>0</v>
      </c>
      <c r="AB21" s="826"/>
      <c r="AC21" s="825">
        <v>0</v>
      </c>
      <c r="AD21" s="826"/>
      <c r="AE21" s="825">
        <v>0</v>
      </c>
      <c r="AF21" s="826"/>
      <c r="AG21" s="833">
        <v>0</v>
      </c>
      <c r="AH21" s="835"/>
      <c r="AI21" s="827">
        <v>0</v>
      </c>
      <c r="AJ21" s="829"/>
      <c r="AK21" s="825">
        <v>0</v>
      </c>
      <c r="AL21" s="826"/>
      <c r="AM21" s="827">
        <v>0</v>
      </c>
      <c r="AN21" s="829"/>
      <c r="AO21" s="827">
        <v>0</v>
      </c>
      <c r="AP21" s="828"/>
      <c r="AQ21" s="828"/>
      <c r="AR21" s="829"/>
      <c r="AS21" s="827">
        <v>0</v>
      </c>
      <c r="AT21" s="828"/>
      <c r="AU21" s="829"/>
      <c r="AV21" s="827">
        <v>2</v>
      </c>
      <c r="AW21" s="829"/>
      <c r="AX21" s="833">
        <v>45</v>
      </c>
      <c r="AY21" s="835"/>
      <c r="AZ21" s="18">
        <v>32</v>
      </c>
      <c r="BA21" s="827">
        <v>77</v>
      </c>
      <c r="BB21" s="829"/>
      <c r="BC21" s="16">
        <v>3</v>
      </c>
      <c r="BD21" s="825">
        <v>33</v>
      </c>
      <c r="BE21" s="836"/>
      <c r="BF21" s="826"/>
      <c r="BG21" s="825">
        <v>24</v>
      </c>
      <c r="BH21" s="826"/>
      <c r="BI21" s="833">
        <v>57</v>
      </c>
      <c r="BJ21" s="834"/>
      <c r="BK21" s="834"/>
      <c r="BL21" s="835"/>
      <c r="BM21" s="825">
        <v>3</v>
      </c>
      <c r="BN21" s="826"/>
      <c r="BO21" s="827">
        <v>19</v>
      </c>
      <c r="BP21" s="828"/>
      <c r="BQ21" s="829"/>
      <c r="BR21" s="825">
        <v>13</v>
      </c>
      <c r="BS21" s="826"/>
      <c r="BT21" s="17">
        <v>32</v>
      </c>
      <c r="BU21" s="827">
        <v>8</v>
      </c>
      <c r="BV21" s="828"/>
      <c r="BW21" s="829"/>
      <c r="BX21" s="827">
        <v>97</v>
      </c>
      <c r="BY21" s="829"/>
      <c r="BZ21" s="827">
        <v>69</v>
      </c>
      <c r="CA21" s="829"/>
      <c r="CB21" s="833">
        <v>166</v>
      </c>
      <c r="CC21" s="834"/>
      <c r="CD21" s="835"/>
      <c r="CE21" s="827">
        <v>8</v>
      </c>
      <c r="CF21" s="828"/>
      <c r="CG21" s="829"/>
      <c r="CH21" s="833">
        <v>97</v>
      </c>
      <c r="CI21" s="834"/>
      <c r="CJ21" s="835"/>
      <c r="CK21" s="827">
        <v>69</v>
      </c>
      <c r="CL21" s="828"/>
      <c r="CM21" s="829"/>
      <c r="CN21" s="827">
        <v>166</v>
      </c>
      <c r="CO21" s="829"/>
      <c r="CP21" s="825">
        <v>7</v>
      </c>
      <c r="CQ21" s="836"/>
      <c r="CR21" s="826"/>
      <c r="CS21" s="825">
        <v>4</v>
      </c>
      <c r="CT21" s="826"/>
      <c r="CU21" s="827">
        <v>11</v>
      </c>
      <c r="CV21" s="829"/>
      <c r="CW21" s="830" t="s">
        <v>35</v>
      </c>
      <c r="CX21" s="831"/>
      <c r="CY21" s="831"/>
      <c r="CZ21" s="832"/>
      <c r="DA21" s="52">
        <f t="shared" si="0"/>
        <v>90000</v>
      </c>
    </row>
    <row r="22" spans="1:105" ht="23.25">
      <c r="A22" s="16">
        <v>16</v>
      </c>
      <c r="B22" s="843" t="s">
        <v>392</v>
      </c>
      <c r="C22" s="844"/>
      <c r="D22" s="844"/>
      <c r="E22" s="845"/>
      <c r="F22" s="840" t="s">
        <v>369</v>
      </c>
      <c r="G22" s="841"/>
      <c r="H22" s="842"/>
      <c r="I22" s="816" t="s">
        <v>377</v>
      </c>
      <c r="J22" s="818"/>
      <c r="K22" s="827">
        <v>0</v>
      </c>
      <c r="L22" s="829"/>
      <c r="M22" s="827">
        <v>0</v>
      </c>
      <c r="N22" s="829"/>
      <c r="O22" s="846">
        <v>0</v>
      </c>
      <c r="P22" s="847"/>
      <c r="Q22" s="833">
        <v>0</v>
      </c>
      <c r="R22" s="835"/>
      <c r="S22" s="827">
        <v>0</v>
      </c>
      <c r="T22" s="829"/>
      <c r="U22" s="827">
        <v>0</v>
      </c>
      <c r="V22" s="828"/>
      <c r="W22" s="829"/>
      <c r="X22" s="827">
        <v>0</v>
      </c>
      <c r="Y22" s="828"/>
      <c r="Z22" s="829"/>
      <c r="AA22" s="825">
        <v>0</v>
      </c>
      <c r="AB22" s="826"/>
      <c r="AC22" s="825">
        <v>0</v>
      </c>
      <c r="AD22" s="826"/>
      <c r="AE22" s="825">
        <v>0</v>
      </c>
      <c r="AF22" s="826"/>
      <c r="AG22" s="833">
        <v>0</v>
      </c>
      <c r="AH22" s="835"/>
      <c r="AI22" s="827">
        <v>0</v>
      </c>
      <c r="AJ22" s="829"/>
      <c r="AK22" s="825">
        <v>0</v>
      </c>
      <c r="AL22" s="826"/>
      <c r="AM22" s="827">
        <v>0</v>
      </c>
      <c r="AN22" s="829"/>
      <c r="AO22" s="827">
        <v>0</v>
      </c>
      <c r="AP22" s="828"/>
      <c r="AQ22" s="828"/>
      <c r="AR22" s="829"/>
      <c r="AS22" s="827">
        <v>0</v>
      </c>
      <c r="AT22" s="828"/>
      <c r="AU22" s="829"/>
      <c r="AV22" s="827">
        <v>7</v>
      </c>
      <c r="AW22" s="829"/>
      <c r="AX22" s="833">
        <v>245</v>
      </c>
      <c r="AY22" s="835"/>
      <c r="AZ22" s="18">
        <v>225</v>
      </c>
      <c r="BA22" s="827">
        <v>470</v>
      </c>
      <c r="BB22" s="829"/>
      <c r="BC22" s="16">
        <v>7</v>
      </c>
      <c r="BD22" s="825">
        <v>237</v>
      </c>
      <c r="BE22" s="836"/>
      <c r="BF22" s="826"/>
      <c r="BG22" s="825">
        <v>228</v>
      </c>
      <c r="BH22" s="826"/>
      <c r="BI22" s="833">
        <v>465</v>
      </c>
      <c r="BJ22" s="834"/>
      <c r="BK22" s="834"/>
      <c r="BL22" s="835"/>
      <c r="BM22" s="825">
        <v>6</v>
      </c>
      <c r="BN22" s="826"/>
      <c r="BO22" s="827">
        <v>167</v>
      </c>
      <c r="BP22" s="828"/>
      <c r="BQ22" s="829"/>
      <c r="BR22" s="825">
        <v>201</v>
      </c>
      <c r="BS22" s="826"/>
      <c r="BT22" s="17">
        <v>368</v>
      </c>
      <c r="BU22" s="827">
        <v>20</v>
      </c>
      <c r="BV22" s="828"/>
      <c r="BW22" s="829"/>
      <c r="BX22" s="827">
        <v>649</v>
      </c>
      <c r="BY22" s="829"/>
      <c r="BZ22" s="827">
        <v>654</v>
      </c>
      <c r="CA22" s="829"/>
      <c r="CB22" s="833">
        <v>1303</v>
      </c>
      <c r="CC22" s="834"/>
      <c r="CD22" s="835"/>
      <c r="CE22" s="827">
        <v>20</v>
      </c>
      <c r="CF22" s="828"/>
      <c r="CG22" s="829"/>
      <c r="CH22" s="833">
        <v>649</v>
      </c>
      <c r="CI22" s="834"/>
      <c r="CJ22" s="835"/>
      <c r="CK22" s="827">
        <v>654</v>
      </c>
      <c r="CL22" s="828"/>
      <c r="CM22" s="829"/>
      <c r="CN22" s="827">
        <v>1303</v>
      </c>
      <c r="CO22" s="829"/>
      <c r="CP22" s="825">
        <v>10</v>
      </c>
      <c r="CQ22" s="836"/>
      <c r="CR22" s="826"/>
      <c r="CS22" s="825">
        <v>18</v>
      </c>
      <c r="CT22" s="826"/>
      <c r="CU22" s="827">
        <v>28</v>
      </c>
      <c r="CV22" s="829"/>
      <c r="CW22" s="830" t="s">
        <v>35</v>
      </c>
      <c r="CX22" s="831"/>
      <c r="CY22" s="831"/>
      <c r="CZ22" s="832"/>
      <c r="DA22" s="52">
        <f t="shared" si="0"/>
        <v>150000</v>
      </c>
    </row>
    <row r="23" spans="1:105" ht="23.25">
      <c r="A23" s="16">
        <v>17</v>
      </c>
      <c r="B23" s="843" t="s">
        <v>393</v>
      </c>
      <c r="C23" s="844"/>
      <c r="D23" s="844"/>
      <c r="E23" s="845"/>
      <c r="F23" s="840" t="s">
        <v>369</v>
      </c>
      <c r="G23" s="841"/>
      <c r="H23" s="842"/>
      <c r="I23" s="816" t="s">
        <v>379</v>
      </c>
      <c r="J23" s="818"/>
      <c r="K23" s="827">
        <v>0</v>
      </c>
      <c r="L23" s="829"/>
      <c r="M23" s="827">
        <v>0</v>
      </c>
      <c r="N23" s="829"/>
      <c r="O23" s="846">
        <v>0</v>
      </c>
      <c r="P23" s="847"/>
      <c r="Q23" s="833">
        <v>0</v>
      </c>
      <c r="R23" s="835"/>
      <c r="S23" s="827">
        <v>0</v>
      </c>
      <c r="T23" s="829"/>
      <c r="U23" s="827">
        <v>0</v>
      </c>
      <c r="V23" s="828"/>
      <c r="W23" s="829"/>
      <c r="X23" s="827">
        <v>0</v>
      </c>
      <c r="Y23" s="828"/>
      <c r="Z23" s="829"/>
      <c r="AA23" s="825">
        <v>0</v>
      </c>
      <c r="AB23" s="826"/>
      <c r="AC23" s="825">
        <v>0</v>
      </c>
      <c r="AD23" s="826"/>
      <c r="AE23" s="825">
        <v>0</v>
      </c>
      <c r="AF23" s="826"/>
      <c r="AG23" s="833">
        <v>0</v>
      </c>
      <c r="AH23" s="835"/>
      <c r="AI23" s="827">
        <v>0</v>
      </c>
      <c r="AJ23" s="829"/>
      <c r="AK23" s="825">
        <v>0</v>
      </c>
      <c r="AL23" s="826"/>
      <c r="AM23" s="827">
        <v>0</v>
      </c>
      <c r="AN23" s="829"/>
      <c r="AO23" s="827">
        <v>0</v>
      </c>
      <c r="AP23" s="828"/>
      <c r="AQ23" s="828"/>
      <c r="AR23" s="829"/>
      <c r="AS23" s="827">
        <v>0</v>
      </c>
      <c r="AT23" s="828"/>
      <c r="AU23" s="829"/>
      <c r="AV23" s="827">
        <v>1</v>
      </c>
      <c r="AW23" s="829"/>
      <c r="AX23" s="833">
        <v>37</v>
      </c>
      <c r="AY23" s="835"/>
      <c r="AZ23" s="18">
        <v>33</v>
      </c>
      <c r="BA23" s="827">
        <v>70</v>
      </c>
      <c r="BB23" s="829"/>
      <c r="BC23" s="16">
        <v>1</v>
      </c>
      <c r="BD23" s="825">
        <v>25</v>
      </c>
      <c r="BE23" s="836"/>
      <c r="BF23" s="826"/>
      <c r="BG23" s="825">
        <v>32</v>
      </c>
      <c r="BH23" s="826"/>
      <c r="BI23" s="833">
        <v>57</v>
      </c>
      <c r="BJ23" s="834"/>
      <c r="BK23" s="834"/>
      <c r="BL23" s="835"/>
      <c r="BM23" s="825">
        <v>1</v>
      </c>
      <c r="BN23" s="826"/>
      <c r="BO23" s="827">
        <v>20</v>
      </c>
      <c r="BP23" s="828"/>
      <c r="BQ23" s="829"/>
      <c r="BR23" s="825">
        <v>16</v>
      </c>
      <c r="BS23" s="826"/>
      <c r="BT23" s="17">
        <v>36</v>
      </c>
      <c r="BU23" s="827">
        <v>3</v>
      </c>
      <c r="BV23" s="828"/>
      <c r="BW23" s="829"/>
      <c r="BX23" s="827">
        <v>82</v>
      </c>
      <c r="BY23" s="829"/>
      <c r="BZ23" s="827">
        <v>81</v>
      </c>
      <c r="CA23" s="829"/>
      <c r="CB23" s="833">
        <v>163</v>
      </c>
      <c r="CC23" s="834"/>
      <c r="CD23" s="835"/>
      <c r="CE23" s="827">
        <v>3</v>
      </c>
      <c r="CF23" s="828"/>
      <c r="CG23" s="829"/>
      <c r="CH23" s="833">
        <v>82</v>
      </c>
      <c r="CI23" s="834"/>
      <c r="CJ23" s="835"/>
      <c r="CK23" s="827">
        <v>81</v>
      </c>
      <c r="CL23" s="828"/>
      <c r="CM23" s="829"/>
      <c r="CN23" s="827">
        <v>163</v>
      </c>
      <c r="CO23" s="829"/>
      <c r="CP23" s="825">
        <v>9</v>
      </c>
      <c r="CQ23" s="836"/>
      <c r="CR23" s="826"/>
      <c r="CS23" s="825">
        <v>1</v>
      </c>
      <c r="CT23" s="826"/>
      <c r="CU23" s="827">
        <v>10</v>
      </c>
      <c r="CV23" s="829"/>
      <c r="CW23" s="830" t="s">
        <v>35</v>
      </c>
      <c r="CX23" s="831"/>
      <c r="CY23" s="831"/>
      <c r="CZ23" s="832"/>
      <c r="DA23" s="52">
        <f t="shared" si="0"/>
        <v>90000</v>
      </c>
    </row>
    <row r="24" spans="1:105" ht="23.25">
      <c r="A24" s="16">
        <v>18</v>
      </c>
      <c r="B24" s="843" t="s">
        <v>394</v>
      </c>
      <c r="C24" s="844"/>
      <c r="D24" s="844"/>
      <c r="E24" s="845"/>
      <c r="F24" s="840" t="s">
        <v>372</v>
      </c>
      <c r="G24" s="841"/>
      <c r="H24" s="842"/>
      <c r="I24" s="816" t="s">
        <v>381</v>
      </c>
      <c r="J24" s="818"/>
      <c r="K24" s="827">
        <v>0</v>
      </c>
      <c r="L24" s="829"/>
      <c r="M24" s="827">
        <v>0</v>
      </c>
      <c r="N24" s="829"/>
      <c r="O24" s="846">
        <v>0</v>
      </c>
      <c r="P24" s="847"/>
      <c r="Q24" s="833">
        <v>0</v>
      </c>
      <c r="R24" s="835"/>
      <c r="S24" s="827">
        <v>0</v>
      </c>
      <c r="T24" s="829"/>
      <c r="U24" s="827">
        <v>0</v>
      </c>
      <c r="V24" s="828"/>
      <c r="W24" s="829"/>
      <c r="X24" s="827">
        <v>0</v>
      </c>
      <c r="Y24" s="828"/>
      <c r="Z24" s="829"/>
      <c r="AA24" s="825">
        <v>0</v>
      </c>
      <c r="AB24" s="826"/>
      <c r="AC24" s="825">
        <v>0</v>
      </c>
      <c r="AD24" s="826"/>
      <c r="AE24" s="825">
        <v>0</v>
      </c>
      <c r="AF24" s="826"/>
      <c r="AG24" s="833">
        <v>0</v>
      </c>
      <c r="AH24" s="835"/>
      <c r="AI24" s="827">
        <v>0</v>
      </c>
      <c r="AJ24" s="829"/>
      <c r="AK24" s="825">
        <v>0</v>
      </c>
      <c r="AL24" s="826"/>
      <c r="AM24" s="827">
        <v>0</v>
      </c>
      <c r="AN24" s="829"/>
      <c r="AO24" s="827">
        <v>0</v>
      </c>
      <c r="AP24" s="828"/>
      <c r="AQ24" s="828"/>
      <c r="AR24" s="829"/>
      <c r="AS24" s="827">
        <v>0</v>
      </c>
      <c r="AT24" s="828"/>
      <c r="AU24" s="829"/>
      <c r="AV24" s="827">
        <v>2</v>
      </c>
      <c r="AW24" s="829"/>
      <c r="AX24" s="833">
        <v>68</v>
      </c>
      <c r="AY24" s="835"/>
      <c r="AZ24" s="18">
        <v>65</v>
      </c>
      <c r="BA24" s="827">
        <v>133</v>
      </c>
      <c r="BB24" s="829"/>
      <c r="BC24" s="16">
        <v>2</v>
      </c>
      <c r="BD24" s="825">
        <v>87</v>
      </c>
      <c r="BE24" s="836"/>
      <c r="BF24" s="826"/>
      <c r="BG24" s="825">
        <v>84</v>
      </c>
      <c r="BH24" s="826"/>
      <c r="BI24" s="833">
        <v>171</v>
      </c>
      <c r="BJ24" s="834"/>
      <c r="BK24" s="834"/>
      <c r="BL24" s="835"/>
      <c r="BM24" s="825">
        <v>2</v>
      </c>
      <c r="BN24" s="826"/>
      <c r="BO24" s="827">
        <v>55</v>
      </c>
      <c r="BP24" s="828"/>
      <c r="BQ24" s="829"/>
      <c r="BR24" s="825">
        <v>59</v>
      </c>
      <c r="BS24" s="826"/>
      <c r="BT24" s="17">
        <v>114</v>
      </c>
      <c r="BU24" s="827">
        <v>6</v>
      </c>
      <c r="BV24" s="828"/>
      <c r="BW24" s="829"/>
      <c r="BX24" s="827">
        <v>210</v>
      </c>
      <c r="BY24" s="829"/>
      <c r="BZ24" s="827">
        <v>208</v>
      </c>
      <c r="CA24" s="829"/>
      <c r="CB24" s="833">
        <v>418</v>
      </c>
      <c r="CC24" s="834"/>
      <c r="CD24" s="835"/>
      <c r="CE24" s="827">
        <v>6</v>
      </c>
      <c r="CF24" s="828"/>
      <c r="CG24" s="829"/>
      <c r="CH24" s="833">
        <v>210</v>
      </c>
      <c r="CI24" s="834"/>
      <c r="CJ24" s="835"/>
      <c r="CK24" s="827">
        <v>208</v>
      </c>
      <c r="CL24" s="828"/>
      <c r="CM24" s="829"/>
      <c r="CN24" s="827">
        <v>418</v>
      </c>
      <c r="CO24" s="829"/>
      <c r="CP24" s="825">
        <v>4</v>
      </c>
      <c r="CQ24" s="836"/>
      <c r="CR24" s="826"/>
      <c r="CS24" s="825">
        <v>5</v>
      </c>
      <c r="CT24" s="826"/>
      <c r="CU24" s="827">
        <v>9</v>
      </c>
      <c r="CV24" s="829"/>
      <c r="CW24" s="830" t="s">
        <v>35</v>
      </c>
      <c r="CX24" s="831"/>
      <c r="CY24" s="831"/>
      <c r="CZ24" s="832"/>
      <c r="DA24" s="52">
        <f t="shared" si="0"/>
        <v>90000</v>
      </c>
    </row>
    <row r="25" spans="1:105" ht="23.25">
      <c r="A25" s="16">
        <v>19</v>
      </c>
      <c r="B25" s="843" t="s">
        <v>395</v>
      </c>
      <c r="C25" s="844"/>
      <c r="D25" s="844"/>
      <c r="E25" s="845"/>
      <c r="F25" s="840" t="s">
        <v>372</v>
      </c>
      <c r="G25" s="841"/>
      <c r="H25" s="842"/>
      <c r="I25" s="816" t="s">
        <v>383</v>
      </c>
      <c r="J25" s="818"/>
      <c r="K25" s="827">
        <v>0</v>
      </c>
      <c r="L25" s="829"/>
      <c r="M25" s="827">
        <v>0</v>
      </c>
      <c r="N25" s="829"/>
      <c r="O25" s="846">
        <v>0</v>
      </c>
      <c r="P25" s="847"/>
      <c r="Q25" s="833">
        <v>0</v>
      </c>
      <c r="R25" s="835"/>
      <c r="S25" s="827">
        <v>0</v>
      </c>
      <c r="T25" s="829"/>
      <c r="U25" s="827">
        <v>0</v>
      </c>
      <c r="V25" s="828"/>
      <c r="W25" s="829"/>
      <c r="X25" s="827">
        <v>0</v>
      </c>
      <c r="Y25" s="828"/>
      <c r="Z25" s="829"/>
      <c r="AA25" s="825">
        <v>0</v>
      </c>
      <c r="AB25" s="826"/>
      <c r="AC25" s="825">
        <v>0</v>
      </c>
      <c r="AD25" s="826"/>
      <c r="AE25" s="825">
        <v>0</v>
      </c>
      <c r="AF25" s="826"/>
      <c r="AG25" s="833">
        <v>0</v>
      </c>
      <c r="AH25" s="835"/>
      <c r="AI25" s="827">
        <v>0</v>
      </c>
      <c r="AJ25" s="829"/>
      <c r="AK25" s="825">
        <v>0</v>
      </c>
      <c r="AL25" s="826"/>
      <c r="AM25" s="827">
        <v>0</v>
      </c>
      <c r="AN25" s="829"/>
      <c r="AO25" s="827">
        <v>0</v>
      </c>
      <c r="AP25" s="828"/>
      <c r="AQ25" s="828"/>
      <c r="AR25" s="829"/>
      <c r="AS25" s="827">
        <v>0</v>
      </c>
      <c r="AT25" s="828"/>
      <c r="AU25" s="829"/>
      <c r="AV25" s="827">
        <v>3</v>
      </c>
      <c r="AW25" s="829"/>
      <c r="AX25" s="833">
        <v>57</v>
      </c>
      <c r="AY25" s="835"/>
      <c r="AZ25" s="18">
        <v>49</v>
      </c>
      <c r="BA25" s="827">
        <v>106</v>
      </c>
      <c r="BB25" s="829"/>
      <c r="BC25" s="16">
        <v>3</v>
      </c>
      <c r="BD25" s="825">
        <v>55</v>
      </c>
      <c r="BE25" s="836"/>
      <c r="BF25" s="826"/>
      <c r="BG25" s="825">
        <v>55</v>
      </c>
      <c r="BH25" s="826"/>
      <c r="BI25" s="833">
        <v>110</v>
      </c>
      <c r="BJ25" s="834"/>
      <c r="BK25" s="834"/>
      <c r="BL25" s="835"/>
      <c r="BM25" s="825">
        <v>3</v>
      </c>
      <c r="BN25" s="826"/>
      <c r="BO25" s="827">
        <v>49</v>
      </c>
      <c r="BP25" s="828"/>
      <c r="BQ25" s="829"/>
      <c r="BR25" s="825">
        <v>34</v>
      </c>
      <c r="BS25" s="826"/>
      <c r="BT25" s="17">
        <v>83</v>
      </c>
      <c r="BU25" s="827">
        <v>9</v>
      </c>
      <c r="BV25" s="828"/>
      <c r="BW25" s="829"/>
      <c r="BX25" s="827">
        <v>161</v>
      </c>
      <c r="BY25" s="829"/>
      <c r="BZ25" s="827">
        <v>138</v>
      </c>
      <c r="CA25" s="829"/>
      <c r="CB25" s="833">
        <v>299</v>
      </c>
      <c r="CC25" s="834"/>
      <c r="CD25" s="835"/>
      <c r="CE25" s="827">
        <v>9</v>
      </c>
      <c r="CF25" s="828"/>
      <c r="CG25" s="829"/>
      <c r="CH25" s="833">
        <v>161</v>
      </c>
      <c r="CI25" s="834"/>
      <c r="CJ25" s="835"/>
      <c r="CK25" s="827">
        <v>138</v>
      </c>
      <c r="CL25" s="828"/>
      <c r="CM25" s="829"/>
      <c r="CN25" s="827">
        <v>299</v>
      </c>
      <c r="CO25" s="829"/>
      <c r="CP25" s="825">
        <v>11</v>
      </c>
      <c r="CQ25" s="836"/>
      <c r="CR25" s="826"/>
      <c r="CS25" s="825">
        <v>5</v>
      </c>
      <c r="CT25" s="826"/>
      <c r="CU25" s="827">
        <v>16</v>
      </c>
      <c r="CV25" s="829"/>
      <c r="CW25" s="830" t="s">
        <v>35</v>
      </c>
      <c r="CX25" s="831"/>
      <c r="CY25" s="831"/>
      <c r="CZ25" s="832"/>
      <c r="DA25" s="52">
        <f t="shared" si="0"/>
        <v>90000</v>
      </c>
    </row>
    <row r="26" spans="1:105" ht="23.25">
      <c r="A26" s="16">
        <v>20</v>
      </c>
      <c r="B26" s="843" t="s">
        <v>396</v>
      </c>
      <c r="C26" s="844"/>
      <c r="D26" s="844"/>
      <c r="E26" s="845"/>
      <c r="F26" s="840" t="s">
        <v>369</v>
      </c>
      <c r="G26" s="841"/>
      <c r="H26" s="842"/>
      <c r="I26" s="816" t="s">
        <v>385</v>
      </c>
      <c r="J26" s="818"/>
      <c r="K26" s="827">
        <v>0</v>
      </c>
      <c r="L26" s="829"/>
      <c r="M26" s="827">
        <v>0</v>
      </c>
      <c r="N26" s="829"/>
      <c r="O26" s="846">
        <v>0</v>
      </c>
      <c r="P26" s="847"/>
      <c r="Q26" s="833">
        <v>0</v>
      </c>
      <c r="R26" s="835"/>
      <c r="S26" s="827">
        <v>0</v>
      </c>
      <c r="T26" s="829"/>
      <c r="U26" s="827">
        <v>0</v>
      </c>
      <c r="V26" s="828"/>
      <c r="W26" s="829"/>
      <c r="X26" s="827">
        <v>0</v>
      </c>
      <c r="Y26" s="828"/>
      <c r="Z26" s="829"/>
      <c r="AA26" s="825">
        <v>0</v>
      </c>
      <c r="AB26" s="826"/>
      <c r="AC26" s="825">
        <v>0</v>
      </c>
      <c r="AD26" s="826"/>
      <c r="AE26" s="825">
        <v>0</v>
      </c>
      <c r="AF26" s="826"/>
      <c r="AG26" s="833">
        <v>0</v>
      </c>
      <c r="AH26" s="835"/>
      <c r="AI26" s="827">
        <v>0</v>
      </c>
      <c r="AJ26" s="829"/>
      <c r="AK26" s="825">
        <v>0</v>
      </c>
      <c r="AL26" s="826"/>
      <c r="AM26" s="827">
        <v>0</v>
      </c>
      <c r="AN26" s="829"/>
      <c r="AO26" s="827">
        <v>0</v>
      </c>
      <c r="AP26" s="828"/>
      <c r="AQ26" s="828"/>
      <c r="AR26" s="829"/>
      <c r="AS26" s="827">
        <v>0</v>
      </c>
      <c r="AT26" s="828"/>
      <c r="AU26" s="829"/>
      <c r="AV26" s="827">
        <v>4</v>
      </c>
      <c r="AW26" s="829"/>
      <c r="AX26" s="833">
        <v>113</v>
      </c>
      <c r="AY26" s="835"/>
      <c r="AZ26" s="18">
        <v>84</v>
      </c>
      <c r="BA26" s="827">
        <v>197</v>
      </c>
      <c r="BB26" s="829"/>
      <c r="BC26" s="16">
        <v>4</v>
      </c>
      <c r="BD26" s="825">
        <v>95</v>
      </c>
      <c r="BE26" s="836"/>
      <c r="BF26" s="826"/>
      <c r="BG26" s="825">
        <v>75</v>
      </c>
      <c r="BH26" s="826"/>
      <c r="BI26" s="833">
        <v>170</v>
      </c>
      <c r="BJ26" s="834"/>
      <c r="BK26" s="834"/>
      <c r="BL26" s="835"/>
      <c r="BM26" s="825">
        <v>3</v>
      </c>
      <c r="BN26" s="826"/>
      <c r="BO26" s="827">
        <v>83</v>
      </c>
      <c r="BP26" s="828"/>
      <c r="BQ26" s="829"/>
      <c r="BR26" s="825">
        <v>71</v>
      </c>
      <c r="BS26" s="826"/>
      <c r="BT26" s="17">
        <v>154</v>
      </c>
      <c r="BU26" s="827">
        <v>11</v>
      </c>
      <c r="BV26" s="828"/>
      <c r="BW26" s="829"/>
      <c r="BX26" s="827">
        <v>291</v>
      </c>
      <c r="BY26" s="829"/>
      <c r="BZ26" s="827">
        <v>230</v>
      </c>
      <c r="CA26" s="829"/>
      <c r="CB26" s="833">
        <v>521</v>
      </c>
      <c r="CC26" s="834"/>
      <c r="CD26" s="835"/>
      <c r="CE26" s="827">
        <v>11</v>
      </c>
      <c r="CF26" s="828"/>
      <c r="CG26" s="829"/>
      <c r="CH26" s="833">
        <v>291</v>
      </c>
      <c r="CI26" s="834"/>
      <c r="CJ26" s="835"/>
      <c r="CK26" s="827">
        <v>230</v>
      </c>
      <c r="CL26" s="828"/>
      <c r="CM26" s="829"/>
      <c r="CN26" s="827">
        <v>521</v>
      </c>
      <c r="CO26" s="829"/>
      <c r="CP26" s="825">
        <v>14</v>
      </c>
      <c r="CQ26" s="836"/>
      <c r="CR26" s="826"/>
      <c r="CS26" s="825">
        <v>6</v>
      </c>
      <c r="CT26" s="826"/>
      <c r="CU26" s="827">
        <v>20</v>
      </c>
      <c r="CV26" s="829"/>
      <c r="CW26" s="830" t="s">
        <v>35</v>
      </c>
      <c r="CX26" s="831"/>
      <c r="CY26" s="831"/>
      <c r="CZ26" s="832"/>
      <c r="DA26" s="52">
        <f t="shared" si="0"/>
        <v>90000</v>
      </c>
    </row>
    <row r="27" spans="1:105" ht="23.25">
      <c r="A27" s="16">
        <v>7</v>
      </c>
      <c r="B27" s="843" t="s">
        <v>397</v>
      </c>
      <c r="C27" s="844"/>
      <c r="D27" s="844"/>
      <c r="E27" s="845"/>
      <c r="F27" s="840" t="s">
        <v>372</v>
      </c>
      <c r="G27" s="841"/>
      <c r="H27" s="842"/>
      <c r="I27" s="816" t="s">
        <v>373</v>
      </c>
      <c r="J27" s="818"/>
      <c r="K27" s="827">
        <v>0</v>
      </c>
      <c r="L27" s="829"/>
      <c r="M27" s="827">
        <v>0</v>
      </c>
      <c r="N27" s="829"/>
      <c r="O27" s="846">
        <v>0</v>
      </c>
      <c r="P27" s="847"/>
      <c r="Q27" s="833">
        <v>0</v>
      </c>
      <c r="R27" s="835"/>
      <c r="S27" s="827">
        <v>0</v>
      </c>
      <c r="T27" s="829"/>
      <c r="U27" s="827">
        <v>0</v>
      </c>
      <c r="V27" s="828"/>
      <c r="W27" s="829"/>
      <c r="X27" s="827">
        <v>0</v>
      </c>
      <c r="Y27" s="828"/>
      <c r="Z27" s="829"/>
      <c r="AA27" s="825">
        <v>0</v>
      </c>
      <c r="AB27" s="826"/>
      <c r="AC27" s="825">
        <v>0</v>
      </c>
      <c r="AD27" s="826"/>
      <c r="AE27" s="825">
        <v>0</v>
      </c>
      <c r="AF27" s="826"/>
      <c r="AG27" s="833">
        <v>0</v>
      </c>
      <c r="AH27" s="835"/>
      <c r="AI27" s="827">
        <v>0</v>
      </c>
      <c r="AJ27" s="829"/>
      <c r="AK27" s="825">
        <v>0</v>
      </c>
      <c r="AL27" s="826"/>
      <c r="AM27" s="827">
        <v>0</v>
      </c>
      <c r="AN27" s="829"/>
      <c r="AO27" s="827">
        <v>0</v>
      </c>
      <c r="AP27" s="828"/>
      <c r="AQ27" s="828"/>
      <c r="AR27" s="829"/>
      <c r="AS27" s="827">
        <v>0</v>
      </c>
      <c r="AT27" s="828"/>
      <c r="AU27" s="829"/>
      <c r="AV27" s="827">
        <v>6</v>
      </c>
      <c r="AW27" s="829"/>
      <c r="AX27" s="833">
        <v>169</v>
      </c>
      <c r="AY27" s="835"/>
      <c r="AZ27" s="18">
        <v>184</v>
      </c>
      <c r="BA27" s="827">
        <v>353</v>
      </c>
      <c r="BB27" s="829"/>
      <c r="BC27" s="16">
        <v>5</v>
      </c>
      <c r="BD27" s="825">
        <v>168</v>
      </c>
      <c r="BE27" s="836"/>
      <c r="BF27" s="826"/>
      <c r="BG27" s="825">
        <v>138</v>
      </c>
      <c r="BH27" s="826"/>
      <c r="BI27" s="833">
        <v>306</v>
      </c>
      <c r="BJ27" s="834"/>
      <c r="BK27" s="834"/>
      <c r="BL27" s="835"/>
      <c r="BM27" s="825">
        <v>6</v>
      </c>
      <c r="BN27" s="826"/>
      <c r="BO27" s="827">
        <v>98</v>
      </c>
      <c r="BP27" s="828"/>
      <c r="BQ27" s="829"/>
      <c r="BR27" s="825">
        <v>100</v>
      </c>
      <c r="BS27" s="826"/>
      <c r="BT27" s="17">
        <v>198</v>
      </c>
      <c r="BU27" s="827">
        <v>17</v>
      </c>
      <c r="BV27" s="828"/>
      <c r="BW27" s="829"/>
      <c r="BX27" s="827">
        <v>435</v>
      </c>
      <c r="BY27" s="829"/>
      <c r="BZ27" s="827">
        <v>422</v>
      </c>
      <c r="CA27" s="829"/>
      <c r="CB27" s="833">
        <v>857</v>
      </c>
      <c r="CC27" s="834"/>
      <c r="CD27" s="835"/>
      <c r="CE27" s="827">
        <v>17</v>
      </c>
      <c r="CF27" s="828"/>
      <c r="CG27" s="829"/>
      <c r="CH27" s="833">
        <v>435</v>
      </c>
      <c r="CI27" s="834"/>
      <c r="CJ27" s="835"/>
      <c r="CK27" s="827">
        <v>422</v>
      </c>
      <c r="CL27" s="828"/>
      <c r="CM27" s="829"/>
      <c r="CN27" s="827">
        <v>857</v>
      </c>
      <c r="CO27" s="829"/>
      <c r="CP27" s="825">
        <v>14</v>
      </c>
      <c r="CQ27" s="836"/>
      <c r="CR27" s="826"/>
      <c r="CS27" s="825">
        <v>14</v>
      </c>
      <c r="CT27" s="826"/>
      <c r="CU27" s="827">
        <v>28</v>
      </c>
      <c r="CV27" s="829"/>
      <c r="CW27" s="830" t="s">
        <v>35</v>
      </c>
      <c r="CX27" s="831"/>
      <c r="CY27" s="831"/>
      <c r="CZ27" s="832"/>
      <c r="DA27" s="52">
        <f t="shared" si="0"/>
        <v>90000</v>
      </c>
    </row>
    <row r="28" spans="1:105" ht="23.25">
      <c r="A28" s="16">
        <v>22</v>
      </c>
      <c r="B28" s="843" t="s">
        <v>398</v>
      </c>
      <c r="C28" s="844"/>
      <c r="D28" s="844"/>
      <c r="E28" s="845"/>
      <c r="F28" s="840" t="s">
        <v>369</v>
      </c>
      <c r="G28" s="841"/>
      <c r="H28" s="842"/>
      <c r="I28" s="816" t="s">
        <v>370</v>
      </c>
      <c r="J28" s="818"/>
      <c r="K28" s="827">
        <v>0</v>
      </c>
      <c r="L28" s="829"/>
      <c r="M28" s="827">
        <v>0</v>
      </c>
      <c r="N28" s="829"/>
      <c r="O28" s="846">
        <v>0</v>
      </c>
      <c r="P28" s="847"/>
      <c r="Q28" s="833">
        <v>0</v>
      </c>
      <c r="R28" s="835"/>
      <c r="S28" s="827">
        <v>0</v>
      </c>
      <c r="T28" s="829"/>
      <c r="U28" s="827">
        <v>0</v>
      </c>
      <c r="V28" s="828"/>
      <c r="W28" s="829"/>
      <c r="X28" s="827">
        <v>0</v>
      </c>
      <c r="Y28" s="828"/>
      <c r="Z28" s="829"/>
      <c r="AA28" s="825">
        <v>0</v>
      </c>
      <c r="AB28" s="826"/>
      <c r="AC28" s="825">
        <v>0</v>
      </c>
      <c r="AD28" s="826"/>
      <c r="AE28" s="825">
        <v>0</v>
      </c>
      <c r="AF28" s="826"/>
      <c r="AG28" s="833">
        <v>0</v>
      </c>
      <c r="AH28" s="835"/>
      <c r="AI28" s="827">
        <v>0</v>
      </c>
      <c r="AJ28" s="829"/>
      <c r="AK28" s="825">
        <v>0</v>
      </c>
      <c r="AL28" s="826"/>
      <c r="AM28" s="827">
        <v>0</v>
      </c>
      <c r="AN28" s="829"/>
      <c r="AO28" s="827">
        <v>0</v>
      </c>
      <c r="AP28" s="828"/>
      <c r="AQ28" s="828"/>
      <c r="AR28" s="829"/>
      <c r="AS28" s="827">
        <v>0</v>
      </c>
      <c r="AT28" s="828"/>
      <c r="AU28" s="829"/>
      <c r="AV28" s="827">
        <v>7</v>
      </c>
      <c r="AW28" s="829"/>
      <c r="AX28" s="833">
        <v>302</v>
      </c>
      <c r="AY28" s="835"/>
      <c r="AZ28" s="18">
        <v>253</v>
      </c>
      <c r="BA28" s="827">
        <v>555</v>
      </c>
      <c r="BB28" s="829"/>
      <c r="BC28" s="16">
        <v>6</v>
      </c>
      <c r="BD28" s="825">
        <v>233</v>
      </c>
      <c r="BE28" s="836"/>
      <c r="BF28" s="826"/>
      <c r="BG28" s="825">
        <v>172</v>
      </c>
      <c r="BH28" s="826"/>
      <c r="BI28" s="833">
        <v>405</v>
      </c>
      <c r="BJ28" s="834"/>
      <c r="BK28" s="834"/>
      <c r="BL28" s="835"/>
      <c r="BM28" s="825">
        <v>8</v>
      </c>
      <c r="BN28" s="826"/>
      <c r="BO28" s="827">
        <v>189</v>
      </c>
      <c r="BP28" s="828"/>
      <c r="BQ28" s="829"/>
      <c r="BR28" s="825">
        <v>202</v>
      </c>
      <c r="BS28" s="826"/>
      <c r="BT28" s="17">
        <v>391</v>
      </c>
      <c r="BU28" s="827">
        <v>21</v>
      </c>
      <c r="BV28" s="828"/>
      <c r="BW28" s="829"/>
      <c r="BX28" s="827">
        <v>724</v>
      </c>
      <c r="BY28" s="829"/>
      <c r="BZ28" s="827">
        <v>627</v>
      </c>
      <c r="CA28" s="829"/>
      <c r="CB28" s="833">
        <v>1351</v>
      </c>
      <c r="CC28" s="834"/>
      <c r="CD28" s="835"/>
      <c r="CE28" s="827">
        <v>21</v>
      </c>
      <c r="CF28" s="828"/>
      <c r="CG28" s="829"/>
      <c r="CH28" s="833">
        <v>724</v>
      </c>
      <c r="CI28" s="834"/>
      <c r="CJ28" s="835"/>
      <c r="CK28" s="827">
        <v>627</v>
      </c>
      <c r="CL28" s="828"/>
      <c r="CM28" s="829"/>
      <c r="CN28" s="827">
        <v>1351</v>
      </c>
      <c r="CO28" s="829"/>
      <c r="CP28" s="825">
        <v>15</v>
      </c>
      <c r="CQ28" s="836"/>
      <c r="CR28" s="826"/>
      <c r="CS28" s="825">
        <v>21</v>
      </c>
      <c r="CT28" s="826"/>
      <c r="CU28" s="827">
        <v>36</v>
      </c>
      <c r="CV28" s="829"/>
      <c r="CW28" s="830" t="s">
        <v>35</v>
      </c>
      <c r="CX28" s="831"/>
      <c r="CY28" s="831"/>
      <c r="CZ28" s="832"/>
      <c r="DA28" s="52">
        <f t="shared" si="0"/>
        <v>150000</v>
      </c>
    </row>
    <row r="29" spans="1:105" ht="23.25">
      <c r="A29" s="16">
        <v>23</v>
      </c>
      <c r="B29" s="843" t="s">
        <v>399</v>
      </c>
      <c r="C29" s="844"/>
      <c r="D29" s="844"/>
      <c r="E29" s="845"/>
      <c r="F29" s="840" t="s">
        <v>369</v>
      </c>
      <c r="G29" s="841"/>
      <c r="H29" s="842"/>
      <c r="I29" s="816" t="s">
        <v>400</v>
      </c>
      <c r="J29" s="818"/>
      <c r="K29" s="827">
        <v>2</v>
      </c>
      <c r="L29" s="829"/>
      <c r="M29" s="827">
        <v>45</v>
      </c>
      <c r="N29" s="829"/>
      <c r="O29" s="833">
        <v>29</v>
      </c>
      <c r="P29" s="835"/>
      <c r="Q29" s="833">
        <v>74</v>
      </c>
      <c r="R29" s="835"/>
      <c r="S29" s="827">
        <v>1</v>
      </c>
      <c r="T29" s="829"/>
      <c r="U29" s="827">
        <v>29</v>
      </c>
      <c r="V29" s="828"/>
      <c r="W29" s="829"/>
      <c r="X29" s="827">
        <v>36</v>
      </c>
      <c r="Y29" s="828"/>
      <c r="Z29" s="829"/>
      <c r="AA29" s="825">
        <v>65</v>
      </c>
      <c r="AB29" s="826"/>
      <c r="AC29" s="825">
        <v>1</v>
      </c>
      <c r="AD29" s="826"/>
      <c r="AE29" s="825">
        <v>24</v>
      </c>
      <c r="AF29" s="826"/>
      <c r="AG29" s="833">
        <v>25</v>
      </c>
      <c r="AH29" s="835"/>
      <c r="AI29" s="827">
        <v>49</v>
      </c>
      <c r="AJ29" s="829"/>
      <c r="AK29" s="825">
        <v>4</v>
      </c>
      <c r="AL29" s="826"/>
      <c r="AM29" s="827">
        <v>98</v>
      </c>
      <c r="AN29" s="829"/>
      <c r="AO29" s="827">
        <v>90</v>
      </c>
      <c r="AP29" s="828"/>
      <c r="AQ29" s="828"/>
      <c r="AR29" s="829"/>
      <c r="AS29" s="827">
        <v>188</v>
      </c>
      <c r="AT29" s="828"/>
      <c r="AU29" s="829"/>
      <c r="AV29" s="827">
        <v>1</v>
      </c>
      <c r="AW29" s="829"/>
      <c r="AX29" s="833">
        <v>24</v>
      </c>
      <c r="AY29" s="835"/>
      <c r="AZ29" s="18">
        <v>17</v>
      </c>
      <c r="BA29" s="827">
        <v>41</v>
      </c>
      <c r="BB29" s="829"/>
      <c r="BC29" s="16">
        <v>1</v>
      </c>
      <c r="BD29" s="825">
        <v>31</v>
      </c>
      <c r="BE29" s="836"/>
      <c r="BF29" s="826"/>
      <c r="BG29" s="825">
        <v>27</v>
      </c>
      <c r="BH29" s="826"/>
      <c r="BI29" s="833">
        <v>58</v>
      </c>
      <c r="BJ29" s="834"/>
      <c r="BK29" s="834"/>
      <c r="BL29" s="835"/>
      <c r="BM29" s="825">
        <v>1</v>
      </c>
      <c r="BN29" s="826"/>
      <c r="BO29" s="827">
        <v>9</v>
      </c>
      <c r="BP29" s="828"/>
      <c r="BQ29" s="829"/>
      <c r="BR29" s="825">
        <v>16</v>
      </c>
      <c r="BS29" s="826"/>
      <c r="BT29" s="17">
        <v>25</v>
      </c>
      <c r="BU29" s="827">
        <v>3</v>
      </c>
      <c r="BV29" s="828"/>
      <c r="BW29" s="829"/>
      <c r="BX29" s="827">
        <v>64</v>
      </c>
      <c r="BY29" s="829"/>
      <c r="BZ29" s="827">
        <v>60</v>
      </c>
      <c r="CA29" s="829"/>
      <c r="CB29" s="833">
        <v>124</v>
      </c>
      <c r="CC29" s="834"/>
      <c r="CD29" s="835"/>
      <c r="CE29" s="827">
        <v>7</v>
      </c>
      <c r="CF29" s="828"/>
      <c r="CG29" s="829"/>
      <c r="CH29" s="833">
        <v>162</v>
      </c>
      <c r="CI29" s="834"/>
      <c r="CJ29" s="835"/>
      <c r="CK29" s="827">
        <v>150</v>
      </c>
      <c r="CL29" s="828"/>
      <c r="CM29" s="829"/>
      <c r="CN29" s="827">
        <v>312</v>
      </c>
      <c r="CO29" s="829"/>
      <c r="CP29" s="825">
        <v>4</v>
      </c>
      <c r="CQ29" s="836"/>
      <c r="CR29" s="826"/>
      <c r="CS29" s="825">
        <v>2</v>
      </c>
      <c r="CT29" s="826"/>
      <c r="CU29" s="827">
        <v>6</v>
      </c>
      <c r="CV29" s="829"/>
      <c r="CW29" s="830" t="s">
        <v>35</v>
      </c>
      <c r="CX29" s="831"/>
      <c r="CY29" s="831"/>
      <c r="CZ29" s="832"/>
      <c r="DA29" s="52">
        <f t="shared" si="0"/>
        <v>90000</v>
      </c>
    </row>
    <row r="30" spans="1:105" hidden="1">
      <c r="A30" s="16">
        <v>24</v>
      </c>
      <c r="B30" s="837" t="s">
        <v>401</v>
      </c>
      <c r="C30" s="838"/>
      <c r="D30" s="838"/>
      <c r="E30" s="839"/>
      <c r="F30" s="840" t="s">
        <v>369</v>
      </c>
      <c r="G30" s="841"/>
      <c r="H30" s="842"/>
      <c r="I30" s="816" t="s">
        <v>377</v>
      </c>
      <c r="J30" s="818"/>
      <c r="K30" s="827">
        <v>2</v>
      </c>
      <c r="L30" s="829"/>
      <c r="M30" s="827">
        <v>75</v>
      </c>
      <c r="N30" s="829"/>
      <c r="O30" s="833">
        <v>53</v>
      </c>
      <c r="P30" s="835"/>
      <c r="Q30" s="833">
        <v>128</v>
      </c>
      <c r="R30" s="835"/>
      <c r="S30" s="827">
        <v>2</v>
      </c>
      <c r="T30" s="829"/>
      <c r="U30" s="827">
        <v>97</v>
      </c>
      <c r="V30" s="828"/>
      <c r="W30" s="829"/>
      <c r="X30" s="827">
        <v>63</v>
      </c>
      <c r="Y30" s="828"/>
      <c r="Z30" s="829"/>
      <c r="AA30" s="825">
        <v>160</v>
      </c>
      <c r="AB30" s="826"/>
      <c r="AC30" s="825">
        <v>2</v>
      </c>
      <c r="AD30" s="826"/>
      <c r="AE30" s="825">
        <v>51</v>
      </c>
      <c r="AF30" s="826"/>
      <c r="AG30" s="833">
        <v>52</v>
      </c>
      <c r="AH30" s="835"/>
      <c r="AI30" s="827">
        <v>103</v>
      </c>
      <c r="AJ30" s="829"/>
      <c r="AK30" s="825">
        <v>6</v>
      </c>
      <c r="AL30" s="826"/>
      <c r="AM30" s="827">
        <v>223</v>
      </c>
      <c r="AN30" s="829"/>
      <c r="AO30" s="827">
        <v>168</v>
      </c>
      <c r="AP30" s="828"/>
      <c r="AQ30" s="828"/>
      <c r="AR30" s="829"/>
      <c r="AS30" s="827">
        <v>391</v>
      </c>
      <c r="AT30" s="828"/>
      <c r="AU30" s="829"/>
      <c r="AV30" s="827">
        <v>2</v>
      </c>
      <c r="AW30" s="829"/>
      <c r="AX30" s="833">
        <v>56</v>
      </c>
      <c r="AY30" s="835"/>
      <c r="AZ30" s="18">
        <v>78</v>
      </c>
      <c r="BA30" s="827">
        <v>134</v>
      </c>
      <c r="BB30" s="829"/>
      <c r="BC30" s="16">
        <v>2</v>
      </c>
      <c r="BD30" s="825">
        <v>52</v>
      </c>
      <c r="BE30" s="836"/>
      <c r="BF30" s="826"/>
      <c r="BG30" s="825">
        <v>34</v>
      </c>
      <c r="BH30" s="826"/>
      <c r="BI30" s="833">
        <v>86</v>
      </c>
      <c r="BJ30" s="834"/>
      <c r="BK30" s="834"/>
      <c r="BL30" s="835"/>
      <c r="BM30" s="825">
        <v>1</v>
      </c>
      <c r="BN30" s="826"/>
      <c r="BO30" s="827">
        <v>38</v>
      </c>
      <c r="BP30" s="828"/>
      <c r="BQ30" s="829"/>
      <c r="BR30" s="825">
        <v>37</v>
      </c>
      <c r="BS30" s="826"/>
      <c r="BT30" s="17">
        <v>75</v>
      </c>
      <c r="BU30" s="827">
        <v>5</v>
      </c>
      <c r="BV30" s="828"/>
      <c r="BW30" s="829"/>
      <c r="BX30" s="827">
        <v>146</v>
      </c>
      <c r="BY30" s="829"/>
      <c r="BZ30" s="827">
        <v>149</v>
      </c>
      <c r="CA30" s="829"/>
      <c r="CB30" s="833">
        <v>295</v>
      </c>
      <c r="CC30" s="834"/>
      <c r="CD30" s="835"/>
      <c r="CE30" s="827">
        <v>11</v>
      </c>
      <c r="CF30" s="828"/>
      <c r="CG30" s="829"/>
      <c r="CH30" s="833">
        <v>369</v>
      </c>
      <c r="CI30" s="834"/>
      <c r="CJ30" s="835"/>
      <c r="CK30" s="827">
        <v>317</v>
      </c>
      <c r="CL30" s="828"/>
      <c r="CM30" s="829"/>
      <c r="CN30" s="827">
        <v>686</v>
      </c>
      <c r="CO30" s="829"/>
      <c r="CP30" s="825">
        <v>6</v>
      </c>
      <c r="CQ30" s="836"/>
      <c r="CR30" s="826"/>
      <c r="CS30" s="825">
        <v>11</v>
      </c>
      <c r="CT30" s="826"/>
      <c r="CU30" s="827">
        <v>17</v>
      </c>
      <c r="CV30" s="829"/>
      <c r="CW30" s="830" t="s">
        <v>35</v>
      </c>
      <c r="CX30" s="831"/>
      <c r="CY30" s="831"/>
      <c r="CZ30" s="832"/>
      <c r="DA30" s="47">
        <f t="shared" ref="DA30:DA33" si="1">CN30*150</f>
        <v>102900</v>
      </c>
    </row>
    <row r="31" spans="1:105" hidden="1">
      <c r="A31" s="16">
        <v>25</v>
      </c>
      <c r="B31" s="837" t="s">
        <v>402</v>
      </c>
      <c r="C31" s="838"/>
      <c r="D31" s="838"/>
      <c r="E31" s="839"/>
      <c r="F31" s="840" t="s">
        <v>369</v>
      </c>
      <c r="G31" s="841"/>
      <c r="H31" s="842"/>
      <c r="I31" s="816" t="s">
        <v>400</v>
      </c>
      <c r="J31" s="818"/>
      <c r="K31" s="827">
        <v>1</v>
      </c>
      <c r="L31" s="829"/>
      <c r="M31" s="827">
        <v>31</v>
      </c>
      <c r="N31" s="829"/>
      <c r="O31" s="833">
        <v>19</v>
      </c>
      <c r="P31" s="835"/>
      <c r="Q31" s="833">
        <v>50</v>
      </c>
      <c r="R31" s="835"/>
      <c r="S31" s="827">
        <v>1</v>
      </c>
      <c r="T31" s="829"/>
      <c r="U31" s="827">
        <v>29</v>
      </c>
      <c r="V31" s="828"/>
      <c r="W31" s="829"/>
      <c r="X31" s="827">
        <v>26</v>
      </c>
      <c r="Y31" s="828"/>
      <c r="Z31" s="829"/>
      <c r="AA31" s="825">
        <v>55</v>
      </c>
      <c r="AB31" s="826"/>
      <c r="AC31" s="825">
        <v>1</v>
      </c>
      <c r="AD31" s="826"/>
      <c r="AE31" s="825">
        <v>31</v>
      </c>
      <c r="AF31" s="826"/>
      <c r="AG31" s="833">
        <v>27</v>
      </c>
      <c r="AH31" s="835"/>
      <c r="AI31" s="827">
        <v>58</v>
      </c>
      <c r="AJ31" s="829"/>
      <c r="AK31" s="825">
        <v>3</v>
      </c>
      <c r="AL31" s="826"/>
      <c r="AM31" s="827">
        <v>91</v>
      </c>
      <c r="AN31" s="829"/>
      <c r="AO31" s="827">
        <v>72</v>
      </c>
      <c r="AP31" s="828"/>
      <c r="AQ31" s="828"/>
      <c r="AR31" s="829"/>
      <c r="AS31" s="827">
        <v>163</v>
      </c>
      <c r="AT31" s="828"/>
      <c r="AU31" s="829"/>
      <c r="AV31" s="827">
        <v>1</v>
      </c>
      <c r="AW31" s="829"/>
      <c r="AX31" s="833">
        <v>22</v>
      </c>
      <c r="AY31" s="835"/>
      <c r="AZ31" s="18">
        <v>23</v>
      </c>
      <c r="BA31" s="827">
        <v>45</v>
      </c>
      <c r="BB31" s="829"/>
      <c r="BC31" s="16">
        <v>1</v>
      </c>
      <c r="BD31" s="825">
        <v>27</v>
      </c>
      <c r="BE31" s="836"/>
      <c r="BF31" s="826"/>
      <c r="BG31" s="825">
        <v>23</v>
      </c>
      <c r="BH31" s="826"/>
      <c r="BI31" s="833">
        <v>50</v>
      </c>
      <c r="BJ31" s="834"/>
      <c r="BK31" s="834"/>
      <c r="BL31" s="835"/>
      <c r="BM31" s="825">
        <v>1</v>
      </c>
      <c r="BN31" s="826"/>
      <c r="BO31" s="827">
        <v>32</v>
      </c>
      <c r="BP31" s="828"/>
      <c r="BQ31" s="829"/>
      <c r="BR31" s="825">
        <v>18</v>
      </c>
      <c r="BS31" s="826"/>
      <c r="BT31" s="17">
        <v>50</v>
      </c>
      <c r="BU31" s="827">
        <v>3</v>
      </c>
      <c r="BV31" s="828"/>
      <c r="BW31" s="829"/>
      <c r="BX31" s="827">
        <v>81</v>
      </c>
      <c r="BY31" s="829"/>
      <c r="BZ31" s="827">
        <v>64</v>
      </c>
      <c r="CA31" s="829"/>
      <c r="CB31" s="833">
        <v>145</v>
      </c>
      <c r="CC31" s="834"/>
      <c r="CD31" s="835"/>
      <c r="CE31" s="827">
        <v>6</v>
      </c>
      <c r="CF31" s="828"/>
      <c r="CG31" s="829"/>
      <c r="CH31" s="833">
        <v>172</v>
      </c>
      <c r="CI31" s="834"/>
      <c r="CJ31" s="835"/>
      <c r="CK31" s="827">
        <v>136</v>
      </c>
      <c r="CL31" s="828"/>
      <c r="CM31" s="829"/>
      <c r="CN31" s="827">
        <v>308</v>
      </c>
      <c r="CO31" s="829"/>
      <c r="CP31" s="825">
        <v>5</v>
      </c>
      <c r="CQ31" s="836"/>
      <c r="CR31" s="826"/>
      <c r="CS31" s="825">
        <v>2</v>
      </c>
      <c r="CT31" s="826"/>
      <c r="CU31" s="827">
        <v>7</v>
      </c>
      <c r="CV31" s="829"/>
      <c r="CW31" s="830" t="s">
        <v>35</v>
      </c>
      <c r="CX31" s="831"/>
      <c r="CY31" s="831"/>
      <c r="CZ31" s="832"/>
      <c r="DA31" s="47">
        <f t="shared" si="1"/>
        <v>46200</v>
      </c>
    </row>
    <row r="32" spans="1:105" hidden="1">
      <c r="A32" s="16">
        <v>26</v>
      </c>
      <c r="B32" s="837" t="s">
        <v>403</v>
      </c>
      <c r="C32" s="838"/>
      <c r="D32" s="838"/>
      <c r="E32" s="839"/>
      <c r="F32" s="840" t="s">
        <v>372</v>
      </c>
      <c r="G32" s="841"/>
      <c r="H32" s="842"/>
      <c r="I32" s="816" t="s">
        <v>383</v>
      </c>
      <c r="J32" s="818"/>
      <c r="K32" s="827">
        <v>3</v>
      </c>
      <c r="L32" s="829"/>
      <c r="M32" s="827">
        <v>102</v>
      </c>
      <c r="N32" s="829"/>
      <c r="O32" s="833">
        <v>89</v>
      </c>
      <c r="P32" s="835"/>
      <c r="Q32" s="833">
        <v>191</v>
      </c>
      <c r="R32" s="835"/>
      <c r="S32" s="827">
        <v>3</v>
      </c>
      <c r="T32" s="829"/>
      <c r="U32" s="827">
        <v>84</v>
      </c>
      <c r="V32" s="828"/>
      <c r="W32" s="829"/>
      <c r="X32" s="827">
        <v>80</v>
      </c>
      <c r="Y32" s="828"/>
      <c r="Z32" s="829"/>
      <c r="AA32" s="825">
        <v>164</v>
      </c>
      <c r="AB32" s="826"/>
      <c r="AC32" s="825">
        <v>2</v>
      </c>
      <c r="AD32" s="826"/>
      <c r="AE32" s="825">
        <v>62</v>
      </c>
      <c r="AF32" s="826"/>
      <c r="AG32" s="833">
        <v>68</v>
      </c>
      <c r="AH32" s="835"/>
      <c r="AI32" s="827">
        <v>130</v>
      </c>
      <c r="AJ32" s="829"/>
      <c r="AK32" s="825">
        <v>8</v>
      </c>
      <c r="AL32" s="826"/>
      <c r="AM32" s="827">
        <v>248</v>
      </c>
      <c r="AN32" s="829"/>
      <c r="AO32" s="827">
        <v>237</v>
      </c>
      <c r="AP32" s="828"/>
      <c r="AQ32" s="828"/>
      <c r="AR32" s="829"/>
      <c r="AS32" s="827">
        <v>485</v>
      </c>
      <c r="AT32" s="828"/>
      <c r="AU32" s="829"/>
      <c r="AV32" s="827">
        <v>3</v>
      </c>
      <c r="AW32" s="829"/>
      <c r="AX32" s="833">
        <v>101</v>
      </c>
      <c r="AY32" s="835"/>
      <c r="AZ32" s="18">
        <v>77</v>
      </c>
      <c r="BA32" s="827">
        <v>178</v>
      </c>
      <c r="BB32" s="829"/>
      <c r="BC32" s="16">
        <v>2</v>
      </c>
      <c r="BD32" s="825">
        <v>74</v>
      </c>
      <c r="BE32" s="836"/>
      <c r="BF32" s="826"/>
      <c r="BG32" s="825">
        <v>81</v>
      </c>
      <c r="BH32" s="826"/>
      <c r="BI32" s="833">
        <v>155</v>
      </c>
      <c r="BJ32" s="834"/>
      <c r="BK32" s="834"/>
      <c r="BL32" s="835"/>
      <c r="BM32" s="825">
        <v>2</v>
      </c>
      <c r="BN32" s="826"/>
      <c r="BO32" s="827">
        <v>38</v>
      </c>
      <c r="BP32" s="828"/>
      <c r="BQ32" s="829"/>
      <c r="BR32" s="825">
        <v>48</v>
      </c>
      <c r="BS32" s="826"/>
      <c r="BT32" s="17">
        <v>86</v>
      </c>
      <c r="BU32" s="827">
        <v>7</v>
      </c>
      <c r="BV32" s="828"/>
      <c r="BW32" s="829"/>
      <c r="BX32" s="827">
        <v>213</v>
      </c>
      <c r="BY32" s="829"/>
      <c r="BZ32" s="827">
        <v>206</v>
      </c>
      <c r="CA32" s="829"/>
      <c r="CB32" s="833">
        <v>419</v>
      </c>
      <c r="CC32" s="834"/>
      <c r="CD32" s="835"/>
      <c r="CE32" s="827">
        <v>15</v>
      </c>
      <c r="CF32" s="828"/>
      <c r="CG32" s="829"/>
      <c r="CH32" s="833">
        <v>461</v>
      </c>
      <c r="CI32" s="834"/>
      <c r="CJ32" s="835"/>
      <c r="CK32" s="827">
        <v>443</v>
      </c>
      <c r="CL32" s="828"/>
      <c r="CM32" s="829"/>
      <c r="CN32" s="827">
        <v>904</v>
      </c>
      <c r="CO32" s="829"/>
      <c r="CP32" s="825">
        <v>15</v>
      </c>
      <c r="CQ32" s="836"/>
      <c r="CR32" s="826"/>
      <c r="CS32" s="825">
        <v>5</v>
      </c>
      <c r="CT32" s="826"/>
      <c r="CU32" s="827">
        <v>20</v>
      </c>
      <c r="CV32" s="829"/>
      <c r="CW32" s="830" t="s">
        <v>35</v>
      </c>
      <c r="CX32" s="831"/>
      <c r="CY32" s="831"/>
      <c r="CZ32" s="832"/>
      <c r="DA32" s="47">
        <f t="shared" si="1"/>
        <v>135600</v>
      </c>
    </row>
    <row r="33" spans="1:105" hidden="1">
      <c r="A33" s="16">
        <v>27</v>
      </c>
      <c r="B33" s="837" t="s">
        <v>404</v>
      </c>
      <c r="C33" s="838"/>
      <c r="D33" s="838"/>
      <c r="E33" s="839"/>
      <c r="F33" s="840" t="s">
        <v>372</v>
      </c>
      <c r="G33" s="841"/>
      <c r="H33" s="842"/>
      <c r="I33" s="816" t="s">
        <v>405</v>
      </c>
      <c r="J33" s="818"/>
      <c r="K33" s="827">
        <v>1</v>
      </c>
      <c r="L33" s="829"/>
      <c r="M33" s="827">
        <v>30</v>
      </c>
      <c r="N33" s="829"/>
      <c r="O33" s="833">
        <v>31</v>
      </c>
      <c r="P33" s="835"/>
      <c r="Q33" s="833">
        <v>61</v>
      </c>
      <c r="R33" s="835"/>
      <c r="S33" s="827">
        <v>1</v>
      </c>
      <c r="T33" s="829"/>
      <c r="U33" s="827">
        <v>36</v>
      </c>
      <c r="V33" s="828"/>
      <c r="W33" s="829"/>
      <c r="X33" s="827">
        <v>26</v>
      </c>
      <c r="Y33" s="828"/>
      <c r="Z33" s="829"/>
      <c r="AA33" s="825">
        <v>62</v>
      </c>
      <c r="AB33" s="826"/>
      <c r="AC33" s="825">
        <v>1</v>
      </c>
      <c r="AD33" s="826"/>
      <c r="AE33" s="825">
        <v>23</v>
      </c>
      <c r="AF33" s="826"/>
      <c r="AG33" s="833">
        <v>20</v>
      </c>
      <c r="AH33" s="835"/>
      <c r="AI33" s="827">
        <v>43</v>
      </c>
      <c r="AJ33" s="829"/>
      <c r="AK33" s="825">
        <v>3</v>
      </c>
      <c r="AL33" s="826"/>
      <c r="AM33" s="827">
        <v>89</v>
      </c>
      <c r="AN33" s="829"/>
      <c r="AO33" s="827">
        <v>77</v>
      </c>
      <c r="AP33" s="828"/>
      <c r="AQ33" s="828"/>
      <c r="AR33" s="829"/>
      <c r="AS33" s="827">
        <v>166</v>
      </c>
      <c r="AT33" s="828"/>
      <c r="AU33" s="829"/>
      <c r="AV33" s="827">
        <v>1</v>
      </c>
      <c r="AW33" s="829"/>
      <c r="AX33" s="833">
        <v>24</v>
      </c>
      <c r="AY33" s="835"/>
      <c r="AZ33" s="18">
        <v>16</v>
      </c>
      <c r="BA33" s="827">
        <v>40</v>
      </c>
      <c r="BB33" s="829"/>
      <c r="BC33" s="16">
        <v>1</v>
      </c>
      <c r="BD33" s="825">
        <v>17</v>
      </c>
      <c r="BE33" s="836"/>
      <c r="BF33" s="826"/>
      <c r="BG33" s="825">
        <v>18</v>
      </c>
      <c r="BH33" s="826"/>
      <c r="BI33" s="833">
        <v>35</v>
      </c>
      <c r="BJ33" s="834"/>
      <c r="BK33" s="834"/>
      <c r="BL33" s="835"/>
      <c r="BM33" s="825">
        <v>1</v>
      </c>
      <c r="BN33" s="826"/>
      <c r="BO33" s="827">
        <v>19</v>
      </c>
      <c r="BP33" s="828"/>
      <c r="BQ33" s="829"/>
      <c r="BR33" s="825">
        <v>9</v>
      </c>
      <c r="BS33" s="826"/>
      <c r="BT33" s="17">
        <v>28</v>
      </c>
      <c r="BU33" s="827">
        <v>3</v>
      </c>
      <c r="BV33" s="828"/>
      <c r="BW33" s="829"/>
      <c r="BX33" s="827">
        <v>60</v>
      </c>
      <c r="BY33" s="829"/>
      <c r="BZ33" s="827">
        <v>43</v>
      </c>
      <c r="CA33" s="829"/>
      <c r="CB33" s="833">
        <v>103</v>
      </c>
      <c r="CC33" s="834"/>
      <c r="CD33" s="835"/>
      <c r="CE33" s="827">
        <v>6</v>
      </c>
      <c r="CF33" s="828"/>
      <c r="CG33" s="829"/>
      <c r="CH33" s="833">
        <v>149</v>
      </c>
      <c r="CI33" s="834"/>
      <c r="CJ33" s="835"/>
      <c r="CK33" s="827">
        <v>120</v>
      </c>
      <c r="CL33" s="828"/>
      <c r="CM33" s="829"/>
      <c r="CN33" s="827">
        <v>269</v>
      </c>
      <c r="CO33" s="829"/>
      <c r="CP33" s="825">
        <v>7</v>
      </c>
      <c r="CQ33" s="836"/>
      <c r="CR33" s="826"/>
      <c r="CS33" s="825">
        <v>1</v>
      </c>
      <c r="CT33" s="826"/>
      <c r="CU33" s="827">
        <v>8</v>
      </c>
      <c r="CV33" s="829"/>
      <c r="CW33" s="830" t="s">
        <v>35</v>
      </c>
      <c r="CX33" s="831"/>
      <c r="CY33" s="831"/>
      <c r="CZ33" s="832"/>
      <c r="DA33" s="47">
        <f t="shared" si="1"/>
        <v>40350</v>
      </c>
    </row>
    <row r="34" spans="1:105" hidden="1">
      <c r="A34" s="16">
        <v>28</v>
      </c>
      <c r="B34" s="822"/>
      <c r="C34" s="824"/>
      <c r="D34" s="824"/>
      <c r="E34" s="823"/>
      <c r="F34" s="822"/>
      <c r="G34" s="824"/>
      <c r="H34" s="823"/>
      <c r="I34" s="822"/>
      <c r="J34" s="823"/>
      <c r="K34" s="822"/>
      <c r="L34" s="823"/>
      <c r="M34" s="822"/>
      <c r="N34" s="823"/>
      <c r="O34" s="822"/>
      <c r="P34" s="823"/>
      <c r="Q34" s="822"/>
      <c r="R34" s="823"/>
      <c r="S34" s="822"/>
      <c r="T34" s="823"/>
      <c r="U34" s="822"/>
      <c r="V34" s="824"/>
      <c r="W34" s="823"/>
      <c r="X34" s="822"/>
      <c r="Y34" s="824"/>
      <c r="Z34" s="823"/>
      <c r="AA34" s="822"/>
      <c r="AB34" s="823"/>
      <c r="AC34" s="822"/>
      <c r="AD34" s="823"/>
      <c r="AE34" s="822"/>
      <c r="AF34" s="823"/>
      <c r="AG34" s="822"/>
      <c r="AH34" s="823"/>
      <c r="AI34" s="822"/>
      <c r="AJ34" s="823"/>
      <c r="AK34" s="822"/>
      <c r="AL34" s="823"/>
      <c r="AM34" s="822"/>
      <c r="AN34" s="823"/>
      <c r="AO34" s="822"/>
      <c r="AP34" s="824"/>
      <c r="AQ34" s="824"/>
      <c r="AR34" s="823"/>
      <c r="AS34" s="822"/>
      <c r="AT34" s="824"/>
      <c r="AU34" s="823"/>
      <c r="AV34" s="822"/>
      <c r="AW34" s="823"/>
      <c r="AX34" s="822"/>
      <c r="AY34" s="823"/>
      <c r="AZ34" s="37"/>
      <c r="BA34" s="822"/>
      <c r="BB34" s="823"/>
      <c r="BC34" s="37"/>
      <c r="BD34" s="822"/>
      <c r="BE34" s="824"/>
      <c r="BF34" s="823"/>
      <c r="BG34" s="822"/>
      <c r="BH34" s="823"/>
      <c r="BI34" s="822"/>
      <c r="BJ34" s="824"/>
      <c r="BK34" s="824"/>
      <c r="BL34" s="823"/>
      <c r="BM34" s="822"/>
      <c r="BN34" s="823"/>
      <c r="BO34" s="822"/>
      <c r="BP34" s="824"/>
      <c r="BQ34" s="823"/>
      <c r="BR34" s="822"/>
      <c r="BS34" s="823"/>
      <c r="BT34" s="37"/>
      <c r="BU34" s="822"/>
      <c r="BV34" s="824"/>
      <c r="BW34" s="823"/>
      <c r="BX34" s="822"/>
      <c r="BY34" s="823"/>
      <c r="BZ34" s="822"/>
      <c r="CA34" s="823"/>
      <c r="CB34" s="822"/>
      <c r="CC34" s="824"/>
      <c r="CD34" s="823"/>
      <c r="CE34" s="822"/>
      <c r="CF34" s="824"/>
      <c r="CG34" s="823"/>
      <c r="CH34" s="822"/>
      <c r="CI34" s="824"/>
      <c r="CJ34" s="823"/>
      <c r="CK34" s="822"/>
      <c r="CL34" s="824"/>
      <c r="CM34" s="823"/>
      <c r="CN34" s="822"/>
      <c r="CO34" s="823"/>
      <c r="CP34" s="822"/>
      <c r="CQ34" s="824"/>
      <c r="CR34" s="823"/>
      <c r="CS34" s="822"/>
      <c r="CT34" s="823"/>
      <c r="CU34" s="822"/>
      <c r="CV34" s="823"/>
      <c r="CW34" s="822"/>
      <c r="CX34" s="824"/>
      <c r="CY34" s="824"/>
      <c r="CZ34" s="823"/>
      <c r="DA34" s="47"/>
    </row>
    <row r="35" spans="1:105" hidden="1">
      <c r="A35" s="16">
        <v>29</v>
      </c>
      <c r="B35" s="822"/>
      <c r="C35" s="824"/>
      <c r="D35" s="824"/>
      <c r="E35" s="823"/>
      <c r="F35" s="822"/>
      <c r="G35" s="824"/>
      <c r="H35" s="823"/>
      <c r="I35" s="822"/>
      <c r="J35" s="823"/>
      <c r="K35" s="822"/>
      <c r="L35" s="823"/>
      <c r="M35" s="822"/>
      <c r="N35" s="823"/>
      <c r="O35" s="822"/>
      <c r="P35" s="823"/>
      <c r="Q35" s="822"/>
      <c r="R35" s="823"/>
      <c r="S35" s="822"/>
      <c r="T35" s="823"/>
      <c r="U35" s="822"/>
      <c r="V35" s="824"/>
      <c r="W35" s="823"/>
      <c r="X35" s="822"/>
      <c r="Y35" s="824"/>
      <c r="Z35" s="823"/>
      <c r="AA35" s="822"/>
      <c r="AB35" s="823"/>
      <c r="AC35" s="822"/>
      <c r="AD35" s="823"/>
      <c r="AE35" s="822"/>
      <c r="AF35" s="823"/>
      <c r="AG35" s="822"/>
      <c r="AH35" s="823"/>
      <c r="AI35" s="822"/>
      <c r="AJ35" s="823"/>
      <c r="AK35" s="822"/>
      <c r="AL35" s="823"/>
      <c r="AM35" s="822"/>
      <c r="AN35" s="823"/>
      <c r="AO35" s="822"/>
      <c r="AP35" s="824"/>
      <c r="AQ35" s="824"/>
      <c r="AR35" s="823"/>
      <c r="AS35" s="822"/>
      <c r="AT35" s="824"/>
      <c r="AU35" s="823"/>
      <c r="AV35" s="822"/>
      <c r="AW35" s="823"/>
      <c r="AX35" s="822"/>
      <c r="AY35" s="823"/>
      <c r="AZ35" s="37"/>
      <c r="BA35" s="822"/>
      <c r="BB35" s="823"/>
      <c r="BC35" s="37"/>
      <c r="BD35" s="822"/>
      <c r="BE35" s="824"/>
      <c r="BF35" s="823"/>
      <c r="BG35" s="822"/>
      <c r="BH35" s="823"/>
      <c r="BI35" s="822"/>
      <c r="BJ35" s="824"/>
      <c r="BK35" s="824"/>
      <c r="BL35" s="823"/>
      <c r="BM35" s="822"/>
      <c r="BN35" s="823"/>
      <c r="BO35" s="822"/>
      <c r="BP35" s="824"/>
      <c r="BQ35" s="823"/>
      <c r="BR35" s="822"/>
      <c r="BS35" s="823"/>
      <c r="BT35" s="37"/>
      <c r="BU35" s="822"/>
      <c r="BV35" s="824"/>
      <c r="BW35" s="823"/>
      <c r="BX35" s="822"/>
      <c r="BY35" s="823"/>
      <c r="BZ35" s="822"/>
      <c r="CA35" s="823"/>
      <c r="CB35" s="822"/>
      <c r="CC35" s="824"/>
      <c r="CD35" s="823"/>
      <c r="CE35" s="822"/>
      <c r="CF35" s="824"/>
      <c r="CG35" s="823"/>
      <c r="CH35" s="822"/>
      <c r="CI35" s="824"/>
      <c r="CJ35" s="823"/>
      <c r="CK35" s="822"/>
      <c r="CL35" s="824"/>
      <c r="CM35" s="823"/>
      <c r="CN35" s="822"/>
      <c r="CO35" s="823"/>
      <c r="CP35" s="822"/>
      <c r="CQ35" s="824"/>
      <c r="CR35" s="823"/>
      <c r="CS35" s="822"/>
      <c r="CT35" s="823"/>
      <c r="CU35" s="822"/>
      <c r="CV35" s="823"/>
      <c r="CW35" s="822"/>
      <c r="CX35" s="824"/>
      <c r="CY35" s="824"/>
      <c r="CZ35" s="823"/>
      <c r="DA35" s="47"/>
    </row>
    <row r="36" spans="1:105" hidden="1">
      <c r="A36" s="16">
        <v>30</v>
      </c>
      <c r="B36" s="822"/>
      <c r="C36" s="824"/>
      <c r="D36" s="824"/>
      <c r="E36" s="823"/>
      <c r="F36" s="822"/>
      <c r="G36" s="824"/>
      <c r="H36" s="823"/>
      <c r="I36" s="822"/>
      <c r="J36" s="823"/>
      <c r="K36" s="822"/>
      <c r="L36" s="823"/>
      <c r="M36" s="822"/>
      <c r="N36" s="823"/>
      <c r="O36" s="822"/>
      <c r="P36" s="823"/>
      <c r="Q36" s="822"/>
      <c r="R36" s="823"/>
      <c r="S36" s="822"/>
      <c r="T36" s="823"/>
      <c r="U36" s="822"/>
      <c r="V36" s="824"/>
      <c r="W36" s="823"/>
      <c r="X36" s="822"/>
      <c r="Y36" s="824"/>
      <c r="Z36" s="823"/>
      <c r="AA36" s="822"/>
      <c r="AB36" s="823"/>
      <c r="AC36" s="822"/>
      <c r="AD36" s="823"/>
      <c r="AE36" s="822"/>
      <c r="AF36" s="823"/>
      <c r="AG36" s="822"/>
      <c r="AH36" s="823"/>
      <c r="AI36" s="822"/>
      <c r="AJ36" s="823"/>
      <c r="AK36" s="822"/>
      <c r="AL36" s="823"/>
      <c r="AM36" s="822"/>
      <c r="AN36" s="823"/>
      <c r="AO36" s="822"/>
      <c r="AP36" s="824"/>
      <c r="AQ36" s="824"/>
      <c r="AR36" s="823"/>
      <c r="AS36" s="822"/>
      <c r="AT36" s="824"/>
      <c r="AU36" s="823"/>
      <c r="AV36" s="822"/>
      <c r="AW36" s="823"/>
      <c r="AX36" s="822"/>
      <c r="AY36" s="823"/>
      <c r="AZ36" s="37"/>
      <c r="BA36" s="822"/>
      <c r="BB36" s="823"/>
      <c r="BC36" s="37"/>
      <c r="BD36" s="822"/>
      <c r="BE36" s="824"/>
      <c r="BF36" s="823"/>
      <c r="BG36" s="822"/>
      <c r="BH36" s="823"/>
      <c r="BI36" s="822"/>
      <c r="BJ36" s="824"/>
      <c r="BK36" s="824"/>
      <c r="BL36" s="823"/>
      <c r="BM36" s="822"/>
      <c r="BN36" s="823"/>
      <c r="BO36" s="822"/>
      <c r="BP36" s="824"/>
      <c r="BQ36" s="823"/>
      <c r="BR36" s="822"/>
      <c r="BS36" s="823"/>
      <c r="BT36" s="37"/>
      <c r="BU36" s="822"/>
      <c r="BV36" s="824"/>
      <c r="BW36" s="823"/>
      <c r="BX36" s="822"/>
      <c r="BY36" s="823"/>
      <c r="BZ36" s="822"/>
      <c r="CA36" s="823"/>
      <c r="CB36" s="822"/>
      <c r="CC36" s="824"/>
      <c r="CD36" s="823"/>
      <c r="CE36" s="822"/>
      <c r="CF36" s="824"/>
      <c r="CG36" s="823"/>
      <c r="CH36" s="822"/>
      <c r="CI36" s="824"/>
      <c r="CJ36" s="823"/>
      <c r="CK36" s="822"/>
      <c r="CL36" s="824"/>
      <c r="CM36" s="823"/>
      <c r="CN36" s="822"/>
      <c r="CO36" s="823"/>
      <c r="CP36" s="822"/>
      <c r="CQ36" s="824"/>
      <c r="CR36" s="823"/>
      <c r="CS36" s="822"/>
      <c r="CT36" s="823"/>
      <c r="CU36" s="822"/>
      <c r="CV36" s="823"/>
      <c r="CW36" s="822"/>
      <c r="CX36" s="824"/>
      <c r="CY36" s="824"/>
      <c r="CZ36" s="823"/>
      <c r="DA36" s="47"/>
    </row>
    <row r="37" spans="1:105" hidden="1">
      <c r="A37" s="16">
        <v>31</v>
      </c>
      <c r="B37" s="822"/>
      <c r="C37" s="824"/>
      <c r="D37" s="824"/>
      <c r="E37" s="823"/>
      <c r="F37" s="822"/>
      <c r="G37" s="824"/>
      <c r="H37" s="823"/>
      <c r="I37" s="822"/>
      <c r="J37" s="823"/>
      <c r="K37" s="822"/>
      <c r="L37" s="823"/>
      <c r="M37" s="822"/>
      <c r="N37" s="823"/>
      <c r="O37" s="822"/>
      <c r="P37" s="823"/>
      <c r="Q37" s="822"/>
      <c r="R37" s="823"/>
      <c r="S37" s="822"/>
      <c r="T37" s="823"/>
      <c r="U37" s="822"/>
      <c r="V37" s="824"/>
      <c r="W37" s="823"/>
      <c r="X37" s="822"/>
      <c r="Y37" s="824"/>
      <c r="Z37" s="823"/>
      <c r="AA37" s="822"/>
      <c r="AB37" s="823"/>
      <c r="AC37" s="822"/>
      <c r="AD37" s="823"/>
      <c r="AE37" s="822"/>
      <c r="AF37" s="823"/>
      <c r="AG37" s="822"/>
      <c r="AH37" s="823"/>
      <c r="AI37" s="822"/>
      <c r="AJ37" s="823"/>
      <c r="AK37" s="822"/>
      <c r="AL37" s="823"/>
      <c r="AM37" s="822"/>
      <c r="AN37" s="823"/>
      <c r="AO37" s="822"/>
      <c r="AP37" s="824"/>
      <c r="AQ37" s="824"/>
      <c r="AR37" s="823"/>
      <c r="AS37" s="822"/>
      <c r="AT37" s="824"/>
      <c r="AU37" s="823"/>
      <c r="AV37" s="822"/>
      <c r="AW37" s="823"/>
      <c r="AX37" s="822"/>
      <c r="AY37" s="823"/>
      <c r="AZ37" s="37"/>
      <c r="BA37" s="822"/>
      <c r="BB37" s="823"/>
      <c r="BC37" s="37"/>
      <c r="BD37" s="822"/>
      <c r="BE37" s="824"/>
      <c r="BF37" s="823"/>
      <c r="BG37" s="822"/>
      <c r="BH37" s="823"/>
      <c r="BI37" s="822"/>
      <c r="BJ37" s="824"/>
      <c r="BK37" s="824"/>
      <c r="BL37" s="823"/>
      <c r="BM37" s="822"/>
      <c r="BN37" s="823"/>
      <c r="BO37" s="822"/>
      <c r="BP37" s="824"/>
      <c r="BQ37" s="823"/>
      <c r="BR37" s="822"/>
      <c r="BS37" s="823"/>
      <c r="BT37" s="37"/>
      <c r="BU37" s="822"/>
      <c r="BV37" s="824"/>
      <c r="BW37" s="823"/>
      <c r="BX37" s="822"/>
      <c r="BY37" s="823"/>
      <c r="BZ37" s="822"/>
      <c r="CA37" s="823"/>
      <c r="CB37" s="822"/>
      <c r="CC37" s="824"/>
      <c r="CD37" s="823"/>
      <c r="CE37" s="822"/>
      <c r="CF37" s="824"/>
      <c r="CG37" s="823"/>
      <c r="CH37" s="822"/>
      <c r="CI37" s="824"/>
      <c r="CJ37" s="823"/>
      <c r="CK37" s="822"/>
      <c r="CL37" s="824"/>
      <c r="CM37" s="823"/>
      <c r="CN37" s="822"/>
      <c r="CO37" s="823"/>
      <c r="CP37" s="822"/>
      <c r="CQ37" s="824"/>
      <c r="CR37" s="823"/>
      <c r="CS37" s="822"/>
      <c r="CT37" s="823"/>
      <c r="CU37" s="822"/>
      <c r="CV37" s="823"/>
      <c r="CW37" s="822"/>
      <c r="CX37" s="824"/>
      <c r="CY37" s="824"/>
      <c r="CZ37" s="823"/>
      <c r="DA37" s="47"/>
    </row>
    <row r="38" spans="1:105" hidden="1">
      <c r="A38" s="16">
        <v>32</v>
      </c>
      <c r="B38" s="822"/>
      <c r="C38" s="824"/>
      <c r="D38" s="824"/>
      <c r="E38" s="823"/>
      <c r="F38" s="822"/>
      <c r="G38" s="824"/>
      <c r="H38" s="823"/>
      <c r="I38" s="822"/>
      <c r="J38" s="823"/>
      <c r="K38" s="822"/>
      <c r="L38" s="823"/>
      <c r="M38" s="822"/>
      <c r="N38" s="823"/>
      <c r="O38" s="822"/>
      <c r="P38" s="823"/>
      <c r="Q38" s="822"/>
      <c r="R38" s="823"/>
      <c r="S38" s="822"/>
      <c r="T38" s="823"/>
      <c r="U38" s="822"/>
      <c r="V38" s="824"/>
      <c r="W38" s="823"/>
      <c r="X38" s="822"/>
      <c r="Y38" s="824"/>
      <c r="Z38" s="823"/>
      <c r="AA38" s="822"/>
      <c r="AB38" s="823"/>
      <c r="AC38" s="822"/>
      <c r="AD38" s="823"/>
      <c r="AE38" s="822"/>
      <c r="AF38" s="823"/>
      <c r="AG38" s="822"/>
      <c r="AH38" s="823"/>
      <c r="AI38" s="822"/>
      <c r="AJ38" s="823"/>
      <c r="AK38" s="822"/>
      <c r="AL38" s="823"/>
      <c r="AM38" s="822"/>
      <c r="AN38" s="823"/>
      <c r="AO38" s="822"/>
      <c r="AP38" s="824"/>
      <c r="AQ38" s="824"/>
      <c r="AR38" s="823"/>
      <c r="AS38" s="822"/>
      <c r="AT38" s="824"/>
      <c r="AU38" s="823"/>
      <c r="AV38" s="822"/>
      <c r="AW38" s="823"/>
      <c r="AX38" s="822"/>
      <c r="AY38" s="823"/>
      <c r="AZ38" s="37"/>
      <c r="BA38" s="822"/>
      <c r="BB38" s="823"/>
      <c r="BC38" s="37"/>
      <c r="BD38" s="822"/>
      <c r="BE38" s="824"/>
      <c r="BF38" s="823"/>
      <c r="BG38" s="822"/>
      <c r="BH38" s="823"/>
      <c r="BI38" s="822"/>
      <c r="BJ38" s="824"/>
      <c r="BK38" s="824"/>
      <c r="BL38" s="823"/>
      <c r="BM38" s="822"/>
      <c r="BN38" s="823"/>
      <c r="BO38" s="822"/>
      <c r="BP38" s="824"/>
      <c r="BQ38" s="823"/>
      <c r="BR38" s="822"/>
      <c r="BS38" s="823"/>
      <c r="BT38" s="37"/>
      <c r="BU38" s="822"/>
      <c r="BV38" s="824"/>
      <c r="BW38" s="823"/>
      <c r="BX38" s="822"/>
      <c r="BY38" s="823"/>
      <c r="BZ38" s="822"/>
      <c r="CA38" s="823"/>
      <c r="CB38" s="822"/>
      <c r="CC38" s="824"/>
      <c r="CD38" s="823"/>
      <c r="CE38" s="822"/>
      <c r="CF38" s="824"/>
      <c r="CG38" s="823"/>
      <c r="CH38" s="822"/>
      <c r="CI38" s="824"/>
      <c r="CJ38" s="823"/>
      <c r="CK38" s="822"/>
      <c r="CL38" s="824"/>
      <c r="CM38" s="823"/>
      <c r="CN38" s="822"/>
      <c r="CO38" s="823"/>
      <c r="CP38" s="822"/>
      <c r="CQ38" s="824"/>
      <c r="CR38" s="823"/>
      <c r="CS38" s="822"/>
      <c r="CT38" s="823"/>
      <c r="CU38" s="822"/>
      <c r="CV38" s="823"/>
      <c r="CW38" s="822"/>
      <c r="CX38" s="824"/>
      <c r="CY38" s="824"/>
      <c r="CZ38" s="823"/>
      <c r="DA38" s="47"/>
    </row>
    <row r="39" spans="1:105" hidden="1">
      <c r="A39" s="16">
        <v>33</v>
      </c>
      <c r="B39" s="822"/>
      <c r="C39" s="824"/>
      <c r="D39" s="824"/>
      <c r="E39" s="823"/>
      <c r="F39" s="822"/>
      <c r="G39" s="824"/>
      <c r="H39" s="823"/>
      <c r="I39" s="822"/>
      <c r="J39" s="823"/>
      <c r="K39" s="822"/>
      <c r="L39" s="823"/>
      <c r="M39" s="822"/>
      <c r="N39" s="823"/>
      <c r="O39" s="822"/>
      <c r="P39" s="823"/>
      <c r="Q39" s="822"/>
      <c r="R39" s="823"/>
      <c r="S39" s="822"/>
      <c r="T39" s="823"/>
      <c r="U39" s="822"/>
      <c r="V39" s="824"/>
      <c r="W39" s="823"/>
      <c r="X39" s="822"/>
      <c r="Y39" s="824"/>
      <c r="Z39" s="823"/>
      <c r="AA39" s="822"/>
      <c r="AB39" s="823"/>
      <c r="AC39" s="822"/>
      <c r="AD39" s="823"/>
      <c r="AE39" s="822"/>
      <c r="AF39" s="823"/>
      <c r="AG39" s="822"/>
      <c r="AH39" s="823"/>
      <c r="AI39" s="822"/>
      <c r="AJ39" s="823"/>
      <c r="AK39" s="822"/>
      <c r="AL39" s="823"/>
      <c r="AM39" s="822"/>
      <c r="AN39" s="823"/>
      <c r="AO39" s="822"/>
      <c r="AP39" s="824"/>
      <c r="AQ39" s="824"/>
      <c r="AR39" s="823"/>
      <c r="AS39" s="822"/>
      <c r="AT39" s="824"/>
      <c r="AU39" s="823"/>
      <c r="AV39" s="822"/>
      <c r="AW39" s="823"/>
      <c r="AX39" s="822"/>
      <c r="AY39" s="823"/>
      <c r="AZ39" s="37"/>
      <c r="BA39" s="822"/>
      <c r="BB39" s="823"/>
      <c r="BC39" s="37"/>
      <c r="BD39" s="822"/>
      <c r="BE39" s="824"/>
      <c r="BF39" s="823"/>
      <c r="BG39" s="822"/>
      <c r="BH39" s="823"/>
      <c r="BI39" s="822"/>
      <c r="BJ39" s="824"/>
      <c r="BK39" s="824"/>
      <c r="BL39" s="823"/>
      <c r="BM39" s="822"/>
      <c r="BN39" s="823"/>
      <c r="BO39" s="822"/>
      <c r="BP39" s="824"/>
      <c r="BQ39" s="823"/>
      <c r="BR39" s="822"/>
      <c r="BS39" s="823"/>
      <c r="BT39" s="37"/>
      <c r="BU39" s="822"/>
      <c r="BV39" s="824"/>
      <c r="BW39" s="823"/>
      <c r="BX39" s="822"/>
      <c r="BY39" s="823"/>
      <c r="BZ39" s="822"/>
      <c r="CA39" s="823"/>
      <c r="CB39" s="822"/>
      <c r="CC39" s="824"/>
      <c r="CD39" s="823"/>
      <c r="CE39" s="822"/>
      <c r="CF39" s="824"/>
      <c r="CG39" s="823"/>
      <c r="CH39" s="822"/>
      <c r="CI39" s="824"/>
      <c r="CJ39" s="823"/>
      <c r="CK39" s="822"/>
      <c r="CL39" s="824"/>
      <c r="CM39" s="823"/>
      <c r="CN39" s="822"/>
      <c r="CO39" s="823"/>
      <c r="CP39" s="822"/>
      <c r="CQ39" s="824"/>
      <c r="CR39" s="823"/>
      <c r="CS39" s="822"/>
      <c r="CT39" s="823"/>
      <c r="CU39" s="822"/>
      <c r="CV39" s="823"/>
      <c r="CW39" s="822"/>
      <c r="CX39" s="824"/>
      <c r="CY39" s="824"/>
      <c r="CZ39" s="823"/>
      <c r="DA39" s="47"/>
    </row>
    <row r="40" spans="1:105" hidden="1">
      <c r="A40" s="16">
        <v>34</v>
      </c>
      <c r="B40" s="822"/>
      <c r="C40" s="824"/>
      <c r="D40" s="824"/>
      <c r="E40" s="823"/>
      <c r="F40" s="822"/>
      <c r="G40" s="824"/>
      <c r="H40" s="823"/>
      <c r="I40" s="822"/>
      <c r="J40" s="823"/>
      <c r="K40" s="822"/>
      <c r="L40" s="823"/>
      <c r="M40" s="822"/>
      <c r="N40" s="823"/>
      <c r="O40" s="822"/>
      <c r="P40" s="823"/>
      <c r="Q40" s="822"/>
      <c r="R40" s="823"/>
      <c r="S40" s="822"/>
      <c r="T40" s="823"/>
      <c r="U40" s="822"/>
      <c r="V40" s="824"/>
      <c r="W40" s="823"/>
      <c r="X40" s="822"/>
      <c r="Y40" s="824"/>
      <c r="Z40" s="823"/>
      <c r="AA40" s="822"/>
      <c r="AB40" s="823"/>
      <c r="AC40" s="822"/>
      <c r="AD40" s="823"/>
      <c r="AE40" s="822"/>
      <c r="AF40" s="823"/>
      <c r="AG40" s="822"/>
      <c r="AH40" s="823"/>
      <c r="AI40" s="822"/>
      <c r="AJ40" s="823"/>
      <c r="AK40" s="822"/>
      <c r="AL40" s="823"/>
      <c r="AM40" s="822"/>
      <c r="AN40" s="823"/>
      <c r="AO40" s="822"/>
      <c r="AP40" s="824"/>
      <c r="AQ40" s="824"/>
      <c r="AR40" s="823"/>
      <c r="AS40" s="822"/>
      <c r="AT40" s="824"/>
      <c r="AU40" s="823"/>
      <c r="AV40" s="822"/>
      <c r="AW40" s="823"/>
      <c r="AX40" s="822"/>
      <c r="AY40" s="823"/>
      <c r="AZ40" s="37"/>
      <c r="BA40" s="822"/>
      <c r="BB40" s="823"/>
      <c r="BC40" s="37"/>
      <c r="BD40" s="822"/>
      <c r="BE40" s="824"/>
      <c r="BF40" s="823"/>
      <c r="BG40" s="822"/>
      <c r="BH40" s="823"/>
      <c r="BI40" s="822"/>
      <c r="BJ40" s="824"/>
      <c r="BK40" s="824"/>
      <c r="BL40" s="823"/>
      <c r="BM40" s="822"/>
      <c r="BN40" s="823"/>
      <c r="BO40" s="822"/>
      <c r="BP40" s="824"/>
      <c r="BQ40" s="823"/>
      <c r="BR40" s="822"/>
      <c r="BS40" s="823"/>
      <c r="BT40" s="37"/>
      <c r="BU40" s="822"/>
      <c r="BV40" s="824"/>
      <c r="BW40" s="823"/>
      <c r="BX40" s="822"/>
      <c r="BY40" s="823"/>
      <c r="BZ40" s="822"/>
      <c r="CA40" s="823"/>
      <c r="CB40" s="822"/>
      <c r="CC40" s="824"/>
      <c r="CD40" s="823"/>
      <c r="CE40" s="822"/>
      <c r="CF40" s="824"/>
      <c r="CG40" s="823"/>
      <c r="CH40" s="822"/>
      <c r="CI40" s="824"/>
      <c r="CJ40" s="823"/>
      <c r="CK40" s="822"/>
      <c r="CL40" s="824"/>
      <c r="CM40" s="823"/>
      <c r="CN40" s="822"/>
      <c r="CO40" s="823"/>
      <c r="CP40" s="822"/>
      <c r="CQ40" s="824"/>
      <c r="CR40" s="823"/>
      <c r="CS40" s="822"/>
      <c r="CT40" s="823"/>
      <c r="CU40" s="822"/>
      <c r="CV40" s="823"/>
      <c r="CW40" s="822"/>
      <c r="CX40" s="824"/>
      <c r="CY40" s="824"/>
      <c r="CZ40" s="823"/>
      <c r="DA40" s="47"/>
    </row>
    <row r="41" spans="1:105" hidden="1">
      <c r="A41" s="16">
        <v>35</v>
      </c>
      <c r="B41" s="822"/>
      <c r="C41" s="824"/>
      <c r="D41" s="824"/>
      <c r="E41" s="823"/>
      <c r="F41" s="822"/>
      <c r="G41" s="824"/>
      <c r="H41" s="823"/>
      <c r="I41" s="822"/>
      <c r="J41" s="823"/>
      <c r="K41" s="822"/>
      <c r="L41" s="823"/>
      <c r="M41" s="822"/>
      <c r="N41" s="823"/>
      <c r="O41" s="822"/>
      <c r="P41" s="823"/>
      <c r="Q41" s="822"/>
      <c r="R41" s="823"/>
      <c r="S41" s="822"/>
      <c r="T41" s="823"/>
      <c r="U41" s="822"/>
      <c r="V41" s="824"/>
      <c r="W41" s="823"/>
      <c r="X41" s="822"/>
      <c r="Y41" s="824"/>
      <c r="Z41" s="823"/>
      <c r="AA41" s="822"/>
      <c r="AB41" s="823"/>
      <c r="AC41" s="822"/>
      <c r="AD41" s="823"/>
      <c r="AE41" s="822"/>
      <c r="AF41" s="823"/>
      <c r="AG41" s="822"/>
      <c r="AH41" s="823"/>
      <c r="AI41" s="822"/>
      <c r="AJ41" s="823"/>
      <c r="AK41" s="822"/>
      <c r="AL41" s="823"/>
      <c r="AM41" s="822"/>
      <c r="AN41" s="823"/>
      <c r="AO41" s="822"/>
      <c r="AP41" s="824"/>
      <c r="AQ41" s="824"/>
      <c r="AR41" s="823"/>
      <c r="AS41" s="822"/>
      <c r="AT41" s="824"/>
      <c r="AU41" s="823"/>
      <c r="AV41" s="822"/>
      <c r="AW41" s="823"/>
      <c r="AX41" s="822"/>
      <c r="AY41" s="823"/>
      <c r="AZ41" s="37"/>
      <c r="BA41" s="822"/>
      <c r="BB41" s="823"/>
      <c r="BC41" s="37"/>
      <c r="BD41" s="822"/>
      <c r="BE41" s="824"/>
      <c r="BF41" s="823"/>
      <c r="BG41" s="822"/>
      <c r="BH41" s="823"/>
      <c r="BI41" s="822"/>
      <c r="BJ41" s="824"/>
      <c r="BK41" s="824"/>
      <c r="BL41" s="823"/>
      <c r="BM41" s="822"/>
      <c r="BN41" s="823"/>
      <c r="BO41" s="822"/>
      <c r="BP41" s="824"/>
      <c r="BQ41" s="823"/>
      <c r="BR41" s="822"/>
      <c r="BS41" s="823"/>
      <c r="BT41" s="37"/>
      <c r="BU41" s="822"/>
      <c r="BV41" s="824"/>
      <c r="BW41" s="823"/>
      <c r="BX41" s="822"/>
      <c r="BY41" s="823"/>
      <c r="BZ41" s="822"/>
      <c r="CA41" s="823"/>
      <c r="CB41" s="822"/>
      <c r="CC41" s="824"/>
      <c r="CD41" s="823"/>
      <c r="CE41" s="822"/>
      <c r="CF41" s="824"/>
      <c r="CG41" s="823"/>
      <c r="CH41" s="822"/>
      <c r="CI41" s="824"/>
      <c r="CJ41" s="823"/>
      <c r="CK41" s="822"/>
      <c r="CL41" s="824"/>
      <c r="CM41" s="823"/>
      <c r="CN41" s="822"/>
      <c r="CO41" s="823"/>
      <c r="CP41" s="822"/>
      <c r="CQ41" s="824"/>
      <c r="CR41" s="823"/>
      <c r="CS41" s="822"/>
      <c r="CT41" s="823"/>
      <c r="CU41" s="822"/>
      <c r="CV41" s="823"/>
      <c r="CW41" s="822"/>
      <c r="CX41" s="824"/>
      <c r="CY41" s="824"/>
      <c r="CZ41" s="823"/>
      <c r="DA41" s="47"/>
    </row>
    <row r="42" spans="1:105" hidden="1">
      <c r="A42" s="16">
        <v>36</v>
      </c>
      <c r="B42" s="822"/>
      <c r="C42" s="824"/>
      <c r="D42" s="824"/>
      <c r="E42" s="823"/>
      <c r="F42" s="822"/>
      <c r="G42" s="824"/>
      <c r="H42" s="823"/>
      <c r="I42" s="822"/>
      <c r="J42" s="823"/>
      <c r="K42" s="822"/>
      <c r="L42" s="823"/>
      <c r="M42" s="822"/>
      <c r="N42" s="823"/>
      <c r="O42" s="822"/>
      <c r="P42" s="823"/>
      <c r="Q42" s="822"/>
      <c r="R42" s="823"/>
      <c r="S42" s="822"/>
      <c r="T42" s="823"/>
      <c r="U42" s="822"/>
      <c r="V42" s="824"/>
      <c r="W42" s="823"/>
      <c r="X42" s="822"/>
      <c r="Y42" s="824"/>
      <c r="Z42" s="823"/>
      <c r="AA42" s="822"/>
      <c r="AB42" s="823"/>
      <c r="AC42" s="822"/>
      <c r="AD42" s="823"/>
      <c r="AE42" s="822"/>
      <c r="AF42" s="823"/>
      <c r="AG42" s="822"/>
      <c r="AH42" s="823"/>
      <c r="AI42" s="822"/>
      <c r="AJ42" s="823"/>
      <c r="AK42" s="822"/>
      <c r="AL42" s="823"/>
      <c r="AM42" s="822"/>
      <c r="AN42" s="823"/>
      <c r="AO42" s="822"/>
      <c r="AP42" s="824"/>
      <c r="AQ42" s="824"/>
      <c r="AR42" s="823"/>
      <c r="AS42" s="822"/>
      <c r="AT42" s="824"/>
      <c r="AU42" s="823"/>
      <c r="AV42" s="822"/>
      <c r="AW42" s="823"/>
      <c r="AX42" s="822"/>
      <c r="AY42" s="823"/>
      <c r="AZ42" s="37"/>
      <c r="BA42" s="822"/>
      <c r="BB42" s="823"/>
      <c r="BC42" s="37"/>
      <c r="BD42" s="822"/>
      <c r="BE42" s="824"/>
      <c r="BF42" s="823"/>
      <c r="BG42" s="822"/>
      <c r="BH42" s="823"/>
      <c r="BI42" s="822"/>
      <c r="BJ42" s="824"/>
      <c r="BK42" s="824"/>
      <c r="BL42" s="823"/>
      <c r="BM42" s="822"/>
      <c r="BN42" s="823"/>
      <c r="BO42" s="822"/>
      <c r="BP42" s="824"/>
      <c r="BQ42" s="823"/>
      <c r="BR42" s="822"/>
      <c r="BS42" s="823"/>
      <c r="BT42" s="37"/>
      <c r="BU42" s="822"/>
      <c r="BV42" s="824"/>
      <c r="BW42" s="823"/>
      <c r="BX42" s="822"/>
      <c r="BY42" s="823"/>
      <c r="BZ42" s="822"/>
      <c r="CA42" s="823"/>
      <c r="CB42" s="822"/>
      <c r="CC42" s="824"/>
      <c r="CD42" s="823"/>
      <c r="CE42" s="822"/>
      <c r="CF42" s="824"/>
      <c r="CG42" s="823"/>
      <c r="CH42" s="822"/>
      <c r="CI42" s="824"/>
      <c r="CJ42" s="823"/>
      <c r="CK42" s="822"/>
      <c r="CL42" s="824"/>
      <c r="CM42" s="823"/>
      <c r="CN42" s="822"/>
      <c r="CO42" s="823"/>
      <c r="CP42" s="822"/>
      <c r="CQ42" s="824"/>
      <c r="CR42" s="823"/>
      <c r="CS42" s="822"/>
      <c r="CT42" s="823"/>
      <c r="CU42" s="822"/>
      <c r="CV42" s="823"/>
      <c r="CW42" s="822"/>
      <c r="CX42" s="824"/>
      <c r="CY42" s="824"/>
      <c r="CZ42" s="823"/>
      <c r="DA42" s="47"/>
    </row>
    <row r="43" spans="1:105" hidden="1">
      <c r="A43" s="16">
        <v>37</v>
      </c>
      <c r="B43" s="822"/>
      <c r="C43" s="824"/>
      <c r="D43" s="824"/>
      <c r="E43" s="823"/>
      <c r="F43" s="822"/>
      <c r="G43" s="824"/>
      <c r="H43" s="823"/>
      <c r="I43" s="822"/>
      <c r="J43" s="823"/>
      <c r="K43" s="822"/>
      <c r="L43" s="823"/>
      <c r="M43" s="822"/>
      <c r="N43" s="823"/>
      <c r="O43" s="822"/>
      <c r="P43" s="823"/>
      <c r="Q43" s="822"/>
      <c r="R43" s="823"/>
      <c r="S43" s="822"/>
      <c r="T43" s="823"/>
      <c r="U43" s="822"/>
      <c r="V43" s="824"/>
      <c r="W43" s="823"/>
      <c r="X43" s="822"/>
      <c r="Y43" s="824"/>
      <c r="Z43" s="823"/>
      <c r="AA43" s="822"/>
      <c r="AB43" s="823"/>
      <c r="AC43" s="822"/>
      <c r="AD43" s="823"/>
      <c r="AE43" s="822"/>
      <c r="AF43" s="823"/>
      <c r="AG43" s="822"/>
      <c r="AH43" s="823"/>
      <c r="AI43" s="822"/>
      <c r="AJ43" s="823"/>
      <c r="AK43" s="822"/>
      <c r="AL43" s="823"/>
      <c r="AM43" s="822"/>
      <c r="AN43" s="823"/>
      <c r="AO43" s="822"/>
      <c r="AP43" s="824"/>
      <c r="AQ43" s="824"/>
      <c r="AR43" s="823"/>
      <c r="AS43" s="822"/>
      <c r="AT43" s="824"/>
      <c r="AU43" s="823"/>
      <c r="AV43" s="822"/>
      <c r="AW43" s="823"/>
      <c r="AX43" s="822"/>
      <c r="AY43" s="823"/>
      <c r="AZ43" s="37"/>
      <c r="BA43" s="822"/>
      <c r="BB43" s="823"/>
      <c r="BC43" s="37"/>
      <c r="BD43" s="822"/>
      <c r="BE43" s="824"/>
      <c r="BF43" s="823"/>
      <c r="BG43" s="822"/>
      <c r="BH43" s="823"/>
      <c r="BI43" s="822"/>
      <c r="BJ43" s="824"/>
      <c r="BK43" s="824"/>
      <c r="BL43" s="823"/>
      <c r="BM43" s="822"/>
      <c r="BN43" s="823"/>
      <c r="BO43" s="822"/>
      <c r="BP43" s="824"/>
      <c r="BQ43" s="823"/>
      <c r="BR43" s="822"/>
      <c r="BS43" s="823"/>
      <c r="BT43" s="37"/>
      <c r="BU43" s="822"/>
      <c r="BV43" s="824"/>
      <c r="BW43" s="823"/>
      <c r="BX43" s="822"/>
      <c r="BY43" s="823"/>
      <c r="BZ43" s="822"/>
      <c r="CA43" s="823"/>
      <c r="CB43" s="822"/>
      <c r="CC43" s="824"/>
      <c r="CD43" s="823"/>
      <c r="CE43" s="822"/>
      <c r="CF43" s="824"/>
      <c r="CG43" s="823"/>
      <c r="CH43" s="822"/>
      <c r="CI43" s="824"/>
      <c r="CJ43" s="823"/>
      <c r="CK43" s="822"/>
      <c r="CL43" s="824"/>
      <c r="CM43" s="823"/>
      <c r="CN43" s="822"/>
      <c r="CO43" s="823"/>
      <c r="CP43" s="822"/>
      <c r="CQ43" s="824"/>
      <c r="CR43" s="823"/>
      <c r="CS43" s="822"/>
      <c r="CT43" s="823"/>
      <c r="CU43" s="822"/>
      <c r="CV43" s="823"/>
      <c r="CW43" s="822"/>
      <c r="CX43" s="824"/>
      <c r="CY43" s="824"/>
      <c r="CZ43" s="823"/>
      <c r="DA43" s="47"/>
    </row>
    <row r="44" spans="1:105" hidden="1">
      <c r="A44" s="16">
        <v>38</v>
      </c>
      <c r="B44" s="822"/>
      <c r="C44" s="824"/>
      <c r="D44" s="824"/>
      <c r="E44" s="823"/>
      <c r="F44" s="822"/>
      <c r="G44" s="824"/>
      <c r="H44" s="823"/>
      <c r="I44" s="822"/>
      <c r="J44" s="823"/>
      <c r="K44" s="822"/>
      <c r="L44" s="823"/>
      <c r="M44" s="822"/>
      <c r="N44" s="823"/>
      <c r="O44" s="822"/>
      <c r="P44" s="823"/>
      <c r="Q44" s="822"/>
      <c r="R44" s="823"/>
      <c r="S44" s="822"/>
      <c r="T44" s="823"/>
      <c r="U44" s="822"/>
      <c r="V44" s="824"/>
      <c r="W44" s="823"/>
      <c r="X44" s="822"/>
      <c r="Y44" s="824"/>
      <c r="Z44" s="823"/>
      <c r="AA44" s="822"/>
      <c r="AB44" s="823"/>
      <c r="AC44" s="822"/>
      <c r="AD44" s="823"/>
      <c r="AE44" s="822"/>
      <c r="AF44" s="823"/>
      <c r="AG44" s="822"/>
      <c r="AH44" s="823"/>
      <c r="AI44" s="822"/>
      <c r="AJ44" s="823"/>
      <c r="AK44" s="822"/>
      <c r="AL44" s="823"/>
      <c r="AM44" s="822"/>
      <c r="AN44" s="823"/>
      <c r="AO44" s="822"/>
      <c r="AP44" s="824"/>
      <c r="AQ44" s="824"/>
      <c r="AR44" s="823"/>
      <c r="AS44" s="822"/>
      <c r="AT44" s="824"/>
      <c r="AU44" s="823"/>
      <c r="AV44" s="822"/>
      <c r="AW44" s="823"/>
      <c r="AX44" s="822"/>
      <c r="AY44" s="823"/>
      <c r="AZ44" s="37"/>
      <c r="BA44" s="822"/>
      <c r="BB44" s="823"/>
      <c r="BC44" s="37"/>
      <c r="BD44" s="822"/>
      <c r="BE44" s="824"/>
      <c r="BF44" s="823"/>
      <c r="BG44" s="822"/>
      <c r="BH44" s="823"/>
      <c r="BI44" s="822"/>
      <c r="BJ44" s="824"/>
      <c r="BK44" s="824"/>
      <c r="BL44" s="823"/>
      <c r="BM44" s="822"/>
      <c r="BN44" s="823"/>
      <c r="BO44" s="822"/>
      <c r="BP44" s="824"/>
      <c r="BQ44" s="823"/>
      <c r="BR44" s="822"/>
      <c r="BS44" s="823"/>
      <c r="BT44" s="37"/>
      <c r="BU44" s="822"/>
      <c r="BV44" s="824"/>
      <c r="BW44" s="823"/>
      <c r="BX44" s="822"/>
      <c r="BY44" s="823"/>
      <c r="BZ44" s="822"/>
      <c r="CA44" s="823"/>
      <c r="CB44" s="822"/>
      <c r="CC44" s="824"/>
      <c r="CD44" s="823"/>
      <c r="CE44" s="822"/>
      <c r="CF44" s="824"/>
      <c r="CG44" s="823"/>
      <c r="CH44" s="822"/>
      <c r="CI44" s="824"/>
      <c r="CJ44" s="823"/>
      <c r="CK44" s="822"/>
      <c r="CL44" s="824"/>
      <c r="CM44" s="823"/>
      <c r="CN44" s="822"/>
      <c r="CO44" s="823"/>
      <c r="CP44" s="822"/>
      <c r="CQ44" s="824"/>
      <c r="CR44" s="823"/>
      <c r="CS44" s="822"/>
      <c r="CT44" s="823"/>
      <c r="CU44" s="822"/>
      <c r="CV44" s="823"/>
      <c r="CW44" s="822"/>
      <c r="CX44" s="824"/>
      <c r="CY44" s="824"/>
      <c r="CZ44" s="823"/>
      <c r="DA44" s="47"/>
    </row>
    <row r="45" spans="1:105" hidden="1">
      <c r="A45" s="16">
        <v>39</v>
      </c>
      <c r="B45" s="822"/>
      <c r="C45" s="824"/>
      <c r="D45" s="824"/>
      <c r="E45" s="823"/>
      <c r="F45" s="822"/>
      <c r="G45" s="824"/>
      <c r="H45" s="823"/>
      <c r="I45" s="822"/>
      <c r="J45" s="823"/>
      <c r="K45" s="822"/>
      <c r="L45" s="823"/>
      <c r="M45" s="822"/>
      <c r="N45" s="823"/>
      <c r="O45" s="822"/>
      <c r="P45" s="823"/>
      <c r="Q45" s="822"/>
      <c r="R45" s="823"/>
      <c r="S45" s="822"/>
      <c r="T45" s="823"/>
      <c r="U45" s="822"/>
      <c r="V45" s="824"/>
      <c r="W45" s="823"/>
      <c r="X45" s="822"/>
      <c r="Y45" s="824"/>
      <c r="Z45" s="823"/>
      <c r="AA45" s="822"/>
      <c r="AB45" s="823"/>
      <c r="AC45" s="822"/>
      <c r="AD45" s="823"/>
      <c r="AE45" s="822"/>
      <c r="AF45" s="823"/>
      <c r="AG45" s="822"/>
      <c r="AH45" s="823"/>
      <c r="AI45" s="822"/>
      <c r="AJ45" s="823"/>
      <c r="AK45" s="822"/>
      <c r="AL45" s="823"/>
      <c r="AM45" s="822"/>
      <c r="AN45" s="823"/>
      <c r="AO45" s="822"/>
      <c r="AP45" s="824"/>
      <c r="AQ45" s="824"/>
      <c r="AR45" s="823"/>
      <c r="AS45" s="822"/>
      <c r="AT45" s="824"/>
      <c r="AU45" s="823"/>
      <c r="AV45" s="822"/>
      <c r="AW45" s="823"/>
      <c r="AX45" s="822"/>
      <c r="AY45" s="823"/>
      <c r="AZ45" s="37"/>
      <c r="BA45" s="822"/>
      <c r="BB45" s="823"/>
      <c r="BC45" s="37"/>
      <c r="BD45" s="822"/>
      <c r="BE45" s="824"/>
      <c r="BF45" s="823"/>
      <c r="BG45" s="822"/>
      <c r="BH45" s="823"/>
      <c r="BI45" s="822"/>
      <c r="BJ45" s="824"/>
      <c r="BK45" s="824"/>
      <c r="BL45" s="823"/>
      <c r="BM45" s="822"/>
      <c r="BN45" s="823"/>
      <c r="BO45" s="822"/>
      <c r="BP45" s="824"/>
      <c r="BQ45" s="823"/>
      <c r="BR45" s="822"/>
      <c r="BS45" s="823"/>
      <c r="BT45" s="37"/>
      <c r="BU45" s="822"/>
      <c r="BV45" s="824"/>
      <c r="BW45" s="823"/>
      <c r="BX45" s="822"/>
      <c r="BY45" s="823"/>
      <c r="BZ45" s="822"/>
      <c r="CA45" s="823"/>
      <c r="CB45" s="822"/>
      <c r="CC45" s="824"/>
      <c r="CD45" s="823"/>
      <c r="CE45" s="822"/>
      <c r="CF45" s="824"/>
      <c r="CG45" s="823"/>
      <c r="CH45" s="822"/>
      <c r="CI45" s="824"/>
      <c r="CJ45" s="823"/>
      <c r="CK45" s="822"/>
      <c r="CL45" s="824"/>
      <c r="CM45" s="823"/>
      <c r="CN45" s="822"/>
      <c r="CO45" s="823"/>
      <c r="CP45" s="822"/>
      <c r="CQ45" s="824"/>
      <c r="CR45" s="823"/>
      <c r="CS45" s="822"/>
      <c r="CT45" s="823"/>
      <c r="CU45" s="822"/>
      <c r="CV45" s="823"/>
      <c r="CW45" s="822"/>
      <c r="CX45" s="824"/>
      <c r="CY45" s="824"/>
      <c r="CZ45" s="823"/>
      <c r="DA45" s="47"/>
    </row>
    <row r="46" spans="1:105" hidden="1">
      <c r="A46" s="16">
        <v>40</v>
      </c>
      <c r="B46" s="822"/>
      <c r="C46" s="824"/>
      <c r="D46" s="824"/>
      <c r="E46" s="823"/>
      <c r="F46" s="822"/>
      <c r="G46" s="824"/>
      <c r="H46" s="823"/>
      <c r="I46" s="822"/>
      <c r="J46" s="823"/>
      <c r="K46" s="822"/>
      <c r="L46" s="823"/>
      <c r="M46" s="822"/>
      <c r="N46" s="823"/>
      <c r="O46" s="822"/>
      <c r="P46" s="823"/>
      <c r="Q46" s="822"/>
      <c r="R46" s="823"/>
      <c r="S46" s="822"/>
      <c r="T46" s="823"/>
      <c r="U46" s="822"/>
      <c r="V46" s="824"/>
      <c r="W46" s="823"/>
      <c r="X46" s="822"/>
      <c r="Y46" s="824"/>
      <c r="Z46" s="823"/>
      <c r="AA46" s="822"/>
      <c r="AB46" s="823"/>
      <c r="AC46" s="822"/>
      <c r="AD46" s="823"/>
      <c r="AE46" s="822"/>
      <c r="AF46" s="823"/>
      <c r="AG46" s="822"/>
      <c r="AH46" s="823"/>
      <c r="AI46" s="822"/>
      <c r="AJ46" s="823"/>
      <c r="AK46" s="822"/>
      <c r="AL46" s="823"/>
      <c r="AM46" s="822"/>
      <c r="AN46" s="823"/>
      <c r="AO46" s="822"/>
      <c r="AP46" s="824"/>
      <c r="AQ46" s="824"/>
      <c r="AR46" s="823"/>
      <c r="AS46" s="822"/>
      <c r="AT46" s="824"/>
      <c r="AU46" s="823"/>
      <c r="AV46" s="822"/>
      <c r="AW46" s="823"/>
      <c r="AX46" s="822"/>
      <c r="AY46" s="823"/>
      <c r="AZ46" s="37"/>
      <c r="BA46" s="822"/>
      <c r="BB46" s="823"/>
      <c r="BC46" s="37"/>
      <c r="BD46" s="822"/>
      <c r="BE46" s="824"/>
      <c r="BF46" s="823"/>
      <c r="BG46" s="822"/>
      <c r="BH46" s="823"/>
      <c r="BI46" s="822"/>
      <c r="BJ46" s="824"/>
      <c r="BK46" s="824"/>
      <c r="BL46" s="823"/>
      <c r="BM46" s="822"/>
      <c r="BN46" s="823"/>
      <c r="BO46" s="822"/>
      <c r="BP46" s="824"/>
      <c r="BQ46" s="823"/>
      <c r="BR46" s="822"/>
      <c r="BS46" s="823"/>
      <c r="BT46" s="37"/>
      <c r="BU46" s="822"/>
      <c r="BV46" s="824"/>
      <c r="BW46" s="823"/>
      <c r="BX46" s="822"/>
      <c r="BY46" s="823"/>
      <c r="BZ46" s="822"/>
      <c r="CA46" s="823"/>
      <c r="CB46" s="822"/>
      <c r="CC46" s="824"/>
      <c r="CD46" s="823"/>
      <c r="CE46" s="822"/>
      <c r="CF46" s="824"/>
      <c r="CG46" s="823"/>
      <c r="CH46" s="822"/>
      <c r="CI46" s="824"/>
      <c r="CJ46" s="823"/>
      <c r="CK46" s="822"/>
      <c r="CL46" s="824"/>
      <c r="CM46" s="823"/>
      <c r="CN46" s="822"/>
      <c r="CO46" s="823"/>
      <c r="CP46" s="822"/>
      <c r="CQ46" s="824"/>
      <c r="CR46" s="823"/>
      <c r="CS46" s="822"/>
      <c r="CT46" s="823"/>
      <c r="CU46" s="822"/>
      <c r="CV46" s="823"/>
      <c r="CW46" s="822"/>
      <c r="CX46" s="824"/>
      <c r="CY46" s="824"/>
      <c r="CZ46" s="823"/>
      <c r="DA46" s="47"/>
    </row>
    <row r="47" spans="1:105" hidden="1">
      <c r="A47" s="16">
        <v>41</v>
      </c>
      <c r="B47" s="822"/>
      <c r="C47" s="824"/>
      <c r="D47" s="824"/>
      <c r="E47" s="823"/>
      <c r="F47" s="822"/>
      <c r="G47" s="824"/>
      <c r="H47" s="823"/>
      <c r="I47" s="822"/>
      <c r="J47" s="823"/>
      <c r="K47" s="822"/>
      <c r="L47" s="823"/>
      <c r="M47" s="822"/>
      <c r="N47" s="823"/>
      <c r="O47" s="822"/>
      <c r="P47" s="823"/>
      <c r="Q47" s="822"/>
      <c r="R47" s="823"/>
      <c r="S47" s="822"/>
      <c r="T47" s="823"/>
      <c r="U47" s="822"/>
      <c r="V47" s="824"/>
      <c r="W47" s="823"/>
      <c r="X47" s="822"/>
      <c r="Y47" s="824"/>
      <c r="Z47" s="823"/>
      <c r="AA47" s="822"/>
      <c r="AB47" s="823"/>
      <c r="AC47" s="822"/>
      <c r="AD47" s="823"/>
      <c r="AE47" s="822"/>
      <c r="AF47" s="823"/>
      <c r="AG47" s="822"/>
      <c r="AH47" s="823"/>
      <c r="AI47" s="822"/>
      <c r="AJ47" s="823"/>
      <c r="AK47" s="822"/>
      <c r="AL47" s="823"/>
      <c r="AM47" s="822"/>
      <c r="AN47" s="823"/>
      <c r="AO47" s="822"/>
      <c r="AP47" s="824"/>
      <c r="AQ47" s="824"/>
      <c r="AR47" s="823"/>
      <c r="AS47" s="822"/>
      <c r="AT47" s="824"/>
      <c r="AU47" s="823"/>
      <c r="AV47" s="822"/>
      <c r="AW47" s="823"/>
      <c r="AX47" s="822"/>
      <c r="AY47" s="823"/>
      <c r="AZ47" s="37"/>
      <c r="BA47" s="822"/>
      <c r="BB47" s="823"/>
      <c r="BC47" s="37"/>
      <c r="BD47" s="822"/>
      <c r="BE47" s="824"/>
      <c r="BF47" s="823"/>
      <c r="BG47" s="822"/>
      <c r="BH47" s="823"/>
      <c r="BI47" s="822"/>
      <c r="BJ47" s="824"/>
      <c r="BK47" s="824"/>
      <c r="BL47" s="823"/>
      <c r="BM47" s="822"/>
      <c r="BN47" s="823"/>
      <c r="BO47" s="822"/>
      <c r="BP47" s="824"/>
      <c r="BQ47" s="823"/>
      <c r="BR47" s="822"/>
      <c r="BS47" s="823"/>
      <c r="BT47" s="37"/>
      <c r="BU47" s="822"/>
      <c r="BV47" s="824"/>
      <c r="BW47" s="823"/>
      <c r="BX47" s="822"/>
      <c r="BY47" s="823"/>
      <c r="BZ47" s="822"/>
      <c r="CA47" s="823"/>
      <c r="CB47" s="822"/>
      <c r="CC47" s="824"/>
      <c r="CD47" s="823"/>
      <c r="CE47" s="822"/>
      <c r="CF47" s="824"/>
      <c r="CG47" s="823"/>
      <c r="CH47" s="822"/>
      <c r="CI47" s="824"/>
      <c r="CJ47" s="823"/>
      <c r="CK47" s="822"/>
      <c r="CL47" s="824"/>
      <c r="CM47" s="823"/>
      <c r="CN47" s="822"/>
      <c r="CO47" s="823"/>
      <c r="CP47" s="822"/>
      <c r="CQ47" s="824"/>
      <c r="CR47" s="823"/>
      <c r="CS47" s="822"/>
      <c r="CT47" s="823"/>
      <c r="CU47" s="822"/>
      <c r="CV47" s="823"/>
      <c r="CW47" s="822"/>
      <c r="CX47" s="824"/>
      <c r="CY47" s="824"/>
      <c r="CZ47" s="823"/>
      <c r="DA47" s="47"/>
    </row>
    <row r="48" spans="1:105" hidden="1">
      <c r="A48" s="16">
        <v>42</v>
      </c>
      <c r="B48" s="822"/>
      <c r="C48" s="824"/>
      <c r="D48" s="824"/>
      <c r="E48" s="823"/>
      <c r="F48" s="822"/>
      <c r="G48" s="824"/>
      <c r="H48" s="823"/>
      <c r="I48" s="822"/>
      <c r="J48" s="823"/>
      <c r="K48" s="822"/>
      <c r="L48" s="823"/>
      <c r="M48" s="822"/>
      <c r="N48" s="823"/>
      <c r="O48" s="822"/>
      <c r="P48" s="823"/>
      <c r="Q48" s="822"/>
      <c r="R48" s="823"/>
      <c r="S48" s="822"/>
      <c r="T48" s="823"/>
      <c r="U48" s="822"/>
      <c r="V48" s="824"/>
      <c r="W48" s="823"/>
      <c r="X48" s="822"/>
      <c r="Y48" s="824"/>
      <c r="Z48" s="823"/>
      <c r="AA48" s="822"/>
      <c r="AB48" s="823"/>
      <c r="AC48" s="822"/>
      <c r="AD48" s="823"/>
      <c r="AE48" s="822"/>
      <c r="AF48" s="823"/>
      <c r="AG48" s="822"/>
      <c r="AH48" s="823"/>
      <c r="AI48" s="822"/>
      <c r="AJ48" s="823"/>
      <c r="AK48" s="822"/>
      <c r="AL48" s="823"/>
      <c r="AM48" s="822"/>
      <c r="AN48" s="823"/>
      <c r="AO48" s="822"/>
      <c r="AP48" s="824"/>
      <c r="AQ48" s="824"/>
      <c r="AR48" s="823"/>
      <c r="AS48" s="822"/>
      <c r="AT48" s="824"/>
      <c r="AU48" s="823"/>
      <c r="AV48" s="822"/>
      <c r="AW48" s="823"/>
      <c r="AX48" s="822"/>
      <c r="AY48" s="823"/>
      <c r="AZ48" s="37"/>
      <c r="BA48" s="822"/>
      <c r="BB48" s="823"/>
      <c r="BC48" s="37"/>
      <c r="BD48" s="822"/>
      <c r="BE48" s="824"/>
      <c r="BF48" s="823"/>
      <c r="BG48" s="822"/>
      <c r="BH48" s="823"/>
      <c r="BI48" s="822"/>
      <c r="BJ48" s="824"/>
      <c r="BK48" s="824"/>
      <c r="BL48" s="823"/>
      <c r="BM48" s="822"/>
      <c r="BN48" s="823"/>
      <c r="BO48" s="822"/>
      <c r="BP48" s="824"/>
      <c r="BQ48" s="823"/>
      <c r="BR48" s="822"/>
      <c r="BS48" s="823"/>
      <c r="BT48" s="37"/>
      <c r="BU48" s="822"/>
      <c r="BV48" s="824"/>
      <c r="BW48" s="823"/>
      <c r="BX48" s="822"/>
      <c r="BY48" s="823"/>
      <c r="BZ48" s="822"/>
      <c r="CA48" s="823"/>
      <c r="CB48" s="822"/>
      <c r="CC48" s="824"/>
      <c r="CD48" s="823"/>
      <c r="CE48" s="822"/>
      <c r="CF48" s="824"/>
      <c r="CG48" s="823"/>
      <c r="CH48" s="822"/>
      <c r="CI48" s="824"/>
      <c r="CJ48" s="823"/>
      <c r="CK48" s="822"/>
      <c r="CL48" s="824"/>
      <c r="CM48" s="823"/>
      <c r="CN48" s="822"/>
      <c r="CO48" s="823"/>
      <c r="CP48" s="822"/>
      <c r="CQ48" s="824"/>
      <c r="CR48" s="823"/>
      <c r="CS48" s="822"/>
      <c r="CT48" s="823"/>
      <c r="CU48" s="822"/>
      <c r="CV48" s="823"/>
      <c r="CW48" s="822"/>
      <c r="CX48" s="824"/>
      <c r="CY48" s="824"/>
      <c r="CZ48" s="823"/>
      <c r="DA48" s="47"/>
    </row>
    <row r="49" spans="1:105" hidden="1">
      <c r="A49" s="16">
        <v>43</v>
      </c>
      <c r="B49" s="822"/>
      <c r="C49" s="824"/>
      <c r="D49" s="824"/>
      <c r="E49" s="823"/>
      <c r="F49" s="822"/>
      <c r="G49" s="824"/>
      <c r="H49" s="823"/>
      <c r="I49" s="822"/>
      <c r="J49" s="823"/>
      <c r="K49" s="822"/>
      <c r="L49" s="823"/>
      <c r="M49" s="822"/>
      <c r="N49" s="823"/>
      <c r="O49" s="822"/>
      <c r="P49" s="823"/>
      <c r="Q49" s="822"/>
      <c r="R49" s="823"/>
      <c r="S49" s="822"/>
      <c r="T49" s="823"/>
      <c r="U49" s="822"/>
      <c r="V49" s="824"/>
      <c r="W49" s="823"/>
      <c r="X49" s="822"/>
      <c r="Y49" s="824"/>
      <c r="Z49" s="823"/>
      <c r="AA49" s="822"/>
      <c r="AB49" s="823"/>
      <c r="AC49" s="822"/>
      <c r="AD49" s="823"/>
      <c r="AE49" s="822"/>
      <c r="AF49" s="823"/>
      <c r="AG49" s="822"/>
      <c r="AH49" s="823"/>
      <c r="AI49" s="822"/>
      <c r="AJ49" s="823"/>
      <c r="AK49" s="822"/>
      <c r="AL49" s="823"/>
      <c r="AM49" s="822"/>
      <c r="AN49" s="823"/>
      <c r="AO49" s="822"/>
      <c r="AP49" s="824"/>
      <c r="AQ49" s="824"/>
      <c r="AR49" s="823"/>
      <c r="AS49" s="822"/>
      <c r="AT49" s="824"/>
      <c r="AU49" s="823"/>
      <c r="AV49" s="822"/>
      <c r="AW49" s="823"/>
      <c r="AX49" s="822"/>
      <c r="AY49" s="823"/>
      <c r="AZ49" s="37"/>
      <c r="BA49" s="822"/>
      <c r="BB49" s="823"/>
      <c r="BC49" s="37"/>
      <c r="BD49" s="822"/>
      <c r="BE49" s="824"/>
      <c r="BF49" s="823"/>
      <c r="BG49" s="822"/>
      <c r="BH49" s="823"/>
      <c r="BI49" s="822"/>
      <c r="BJ49" s="824"/>
      <c r="BK49" s="824"/>
      <c r="BL49" s="823"/>
      <c r="BM49" s="822"/>
      <c r="BN49" s="823"/>
      <c r="BO49" s="822"/>
      <c r="BP49" s="824"/>
      <c r="BQ49" s="823"/>
      <c r="BR49" s="822"/>
      <c r="BS49" s="823"/>
      <c r="BT49" s="37"/>
      <c r="BU49" s="822"/>
      <c r="BV49" s="824"/>
      <c r="BW49" s="823"/>
      <c r="BX49" s="822"/>
      <c r="BY49" s="823"/>
      <c r="BZ49" s="822"/>
      <c r="CA49" s="823"/>
      <c r="CB49" s="822"/>
      <c r="CC49" s="824"/>
      <c r="CD49" s="823"/>
      <c r="CE49" s="822"/>
      <c r="CF49" s="824"/>
      <c r="CG49" s="823"/>
      <c r="CH49" s="822"/>
      <c r="CI49" s="824"/>
      <c r="CJ49" s="823"/>
      <c r="CK49" s="822"/>
      <c r="CL49" s="824"/>
      <c r="CM49" s="823"/>
      <c r="CN49" s="822"/>
      <c r="CO49" s="823"/>
      <c r="CP49" s="822"/>
      <c r="CQ49" s="824"/>
      <c r="CR49" s="823"/>
      <c r="CS49" s="822"/>
      <c r="CT49" s="823"/>
      <c r="CU49" s="822"/>
      <c r="CV49" s="823"/>
      <c r="CW49" s="822"/>
      <c r="CX49" s="824"/>
      <c r="CY49" s="824"/>
      <c r="CZ49" s="823"/>
      <c r="DA49" s="47"/>
    </row>
    <row r="50" spans="1:105" hidden="1">
      <c r="A50" s="16">
        <v>44</v>
      </c>
      <c r="B50" s="822"/>
      <c r="C50" s="824"/>
      <c r="D50" s="824"/>
      <c r="E50" s="823"/>
      <c r="F50" s="822"/>
      <c r="G50" s="824"/>
      <c r="H50" s="823"/>
      <c r="I50" s="822"/>
      <c r="J50" s="823"/>
      <c r="K50" s="822"/>
      <c r="L50" s="823"/>
      <c r="M50" s="822"/>
      <c r="N50" s="823"/>
      <c r="O50" s="822"/>
      <c r="P50" s="823"/>
      <c r="Q50" s="822"/>
      <c r="R50" s="823"/>
      <c r="S50" s="822"/>
      <c r="T50" s="823"/>
      <c r="U50" s="822"/>
      <c r="V50" s="824"/>
      <c r="W50" s="823"/>
      <c r="X50" s="822"/>
      <c r="Y50" s="824"/>
      <c r="Z50" s="823"/>
      <c r="AA50" s="822"/>
      <c r="AB50" s="823"/>
      <c r="AC50" s="822"/>
      <c r="AD50" s="823"/>
      <c r="AE50" s="822"/>
      <c r="AF50" s="823"/>
      <c r="AG50" s="822"/>
      <c r="AH50" s="823"/>
      <c r="AI50" s="822"/>
      <c r="AJ50" s="823"/>
      <c r="AK50" s="822"/>
      <c r="AL50" s="823"/>
      <c r="AM50" s="822"/>
      <c r="AN50" s="823"/>
      <c r="AO50" s="822"/>
      <c r="AP50" s="824"/>
      <c r="AQ50" s="824"/>
      <c r="AR50" s="823"/>
      <c r="AS50" s="822"/>
      <c r="AT50" s="824"/>
      <c r="AU50" s="823"/>
      <c r="AV50" s="822"/>
      <c r="AW50" s="823"/>
      <c r="AX50" s="822"/>
      <c r="AY50" s="823"/>
      <c r="AZ50" s="37"/>
      <c r="BA50" s="822"/>
      <c r="BB50" s="823"/>
      <c r="BC50" s="37"/>
      <c r="BD50" s="822"/>
      <c r="BE50" s="824"/>
      <c r="BF50" s="823"/>
      <c r="BG50" s="822"/>
      <c r="BH50" s="823"/>
      <c r="BI50" s="822"/>
      <c r="BJ50" s="824"/>
      <c r="BK50" s="824"/>
      <c r="BL50" s="823"/>
      <c r="BM50" s="822"/>
      <c r="BN50" s="823"/>
      <c r="BO50" s="822"/>
      <c r="BP50" s="824"/>
      <c r="BQ50" s="823"/>
      <c r="BR50" s="822"/>
      <c r="BS50" s="823"/>
      <c r="BT50" s="37"/>
      <c r="BU50" s="822"/>
      <c r="BV50" s="824"/>
      <c r="BW50" s="823"/>
      <c r="BX50" s="822"/>
      <c r="BY50" s="823"/>
      <c r="BZ50" s="822"/>
      <c r="CA50" s="823"/>
      <c r="CB50" s="822"/>
      <c r="CC50" s="824"/>
      <c r="CD50" s="823"/>
      <c r="CE50" s="822"/>
      <c r="CF50" s="824"/>
      <c r="CG50" s="823"/>
      <c r="CH50" s="822"/>
      <c r="CI50" s="824"/>
      <c r="CJ50" s="823"/>
      <c r="CK50" s="822"/>
      <c r="CL50" s="824"/>
      <c r="CM50" s="823"/>
      <c r="CN50" s="822"/>
      <c r="CO50" s="823"/>
      <c r="CP50" s="822"/>
      <c r="CQ50" s="824"/>
      <c r="CR50" s="823"/>
      <c r="CS50" s="822"/>
      <c r="CT50" s="823"/>
      <c r="CU50" s="822"/>
      <c r="CV50" s="823"/>
      <c r="CW50" s="822"/>
      <c r="CX50" s="824"/>
      <c r="CY50" s="824"/>
      <c r="CZ50" s="823"/>
      <c r="DA50" s="47"/>
    </row>
    <row r="51" spans="1:105">
      <c r="A51" s="19"/>
      <c r="B51" s="816" t="s">
        <v>421</v>
      </c>
      <c r="C51" s="817"/>
      <c r="D51" s="817"/>
      <c r="E51" s="818"/>
      <c r="F51" s="819"/>
      <c r="G51" s="820"/>
      <c r="H51" s="821"/>
      <c r="I51" s="819"/>
      <c r="J51" s="821"/>
      <c r="K51" s="807">
        <v>60</v>
      </c>
      <c r="L51" s="808"/>
      <c r="M51" s="807">
        <v>2412</v>
      </c>
      <c r="N51" s="808"/>
      <c r="O51" s="811">
        <v>2182</v>
      </c>
      <c r="P51" s="813"/>
      <c r="Q51" s="811">
        <v>4594</v>
      </c>
      <c r="R51" s="813"/>
      <c r="S51" s="807">
        <v>59</v>
      </c>
      <c r="T51" s="808"/>
      <c r="U51" s="807">
        <v>2300</v>
      </c>
      <c r="V51" s="814"/>
      <c r="W51" s="808"/>
      <c r="X51" s="807">
        <v>2284</v>
      </c>
      <c r="Y51" s="814"/>
      <c r="Z51" s="808"/>
      <c r="AA51" s="805">
        <v>4584</v>
      </c>
      <c r="AB51" s="806"/>
      <c r="AC51" s="805">
        <v>55</v>
      </c>
      <c r="AD51" s="806"/>
      <c r="AE51" s="805">
        <v>1970</v>
      </c>
      <c r="AF51" s="806"/>
      <c r="AG51" s="811">
        <v>1987</v>
      </c>
      <c r="AH51" s="813"/>
      <c r="AI51" s="807">
        <v>3957</v>
      </c>
      <c r="AJ51" s="808"/>
      <c r="AK51" s="805">
        <v>174</v>
      </c>
      <c r="AL51" s="806"/>
      <c r="AM51" s="807">
        <v>6682</v>
      </c>
      <c r="AN51" s="808"/>
      <c r="AO51" s="807">
        <v>6453</v>
      </c>
      <c r="AP51" s="814"/>
      <c r="AQ51" s="814"/>
      <c r="AR51" s="808"/>
      <c r="AS51" s="807">
        <v>13135</v>
      </c>
      <c r="AT51" s="814"/>
      <c r="AU51" s="808"/>
      <c r="AV51" s="807">
        <v>56</v>
      </c>
      <c r="AW51" s="808"/>
      <c r="AX51" s="811">
        <v>2013</v>
      </c>
      <c r="AY51" s="813"/>
      <c r="AZ51" s="10">
        <v>1867</v>
      </c>
      <c r="BA51" s="807">
        <v>3880</v>
      </c>
      <c r="BB51" s="808"/>
      <c r="BC51" s="9">
        <v>53</v>
      </c>
      <c r="BD51" s="805">
        <v>1800</v>
      </c>
      <c r="BE51" s="815"/>
      <c r="BF51" s="806"/>
      <c r="BG51" s="805">
        <v>1576</v>
      </c>
      <c r="BH51" s="806"/>
      <c r="BI51" s="811">
        <v>3376</v>
      </c>
      <c r="BJ51" s="812"/>
      <c r="BK51" s="812"/>
      <c r="BL51" s="813"/>
      <c r="BM51" s="805">
        <v>52</v>
      </c>
      <c r="BN51" s="806"/>
      <c r="BO51" s="807">
        <v>1242</v>
      </c>
      <c r="BP51" s="814"/>
      <c r="BQ51" s="808"/>
      <c r="BR51" s="805">
        <v>1278</v>
      </c>
      <c r="BS51" s="806"/>
      <c r="BT51" s="15">
        <v>2520</v>
      </c>
      <c r="BU51" s="807">
        <v>161</v>
      </c>
      <c r="BV51" s="814"/>
      <c r="BW51" s="808"/>
      <c r="BX51" s="807">
        <v>5055</v>
      </c>
      <c r="BY51" s="808"/>
      <c r="BZ51" s="807">
        <v>4721</v>
      </c>
      <c r="CA51" s="808"/>
      <c r="CB51" s="811">
        <v>9776</v>
      </c>
      <c r="CC51" s="812"/>
      <c r="CD51" s="813"/>
      <c r="CE51" s="807">
        <v>335</v>
      </c>
      <c r="CF51" s="814"/>
      <c r="CG51" s="808"/>
      <c r="CH51" s="811">
        <v>11737</v>
      </c>
      <c r="CI51" s="812"/>
      <c r="CJ51" s="813"/>
      <c r="CK51" s="807">
        <v>11174</v>
      </c>
      <c r="CL51" s="814"/>
      <c r="CM51" s="808"/>
      <c r="CN51" s="807">
        <f>SUM(CN7:CO33)</f>
        <v>22911</v>
      </c>
      <c r="CO51" s="808"/>
      <c r="CP51" s="805">
        <v>247</v>
      </c>
      <c r="CQ51" s="815"/>
      <c r="CR51" s="806"/>
      <c r="CS51" s="805">
        <v>277</v>
      </c>
      <c r="CT51" s="806"/>
      <c r="CU51" s="807">
        <v>524</v>
      </c>
      <c r="CV51" s="808"/>
      <c r="CW51" s="809">
        <v>27</v>
      </c>
      <c r="CX51" s="810"/>
      <c r="CY51" s="810"/>
      <c r="CZ51" s="810"/>
      <c r="DA51" s="47">
        <f>SUM(DA7:DA29)</f>
        <v>2610000</v>
      </c>
    </row>
    <row r="52" spans="1:105">
      <c r="CH52" s="13" t="s">
        <v>423</v>
      </c>
      <c r="DA52" s="47">
        <f>CN51*20</f>
        <v>458220</v>
      </c>
    </row>
    <row r="53" spans="1:105" ht="34.5">
      <c r="A53" s="871" t="s">
        <v>525</v>
      </c>
      <c r="B53" s="871"/>
      <c r="C53" s="871"/>
      <c r="D53" s="871"/>
      <c r="E53" s="871"/>
      <c r="F53" s="871"/>
      <c r="G53" s="871"/>
      <c r="H53" s="871"/>
      <c r="I53" s="871"/>
      <c r="J53" s="871"/>
      <c r="K53" s="871"/>
      <c r="L53" s="871"/>
      <c r="M53" s="871"/>
      <c r="N53" s="871"/>
      <c r="O53" s="871"/>
      <c r="P53" s="871"/>
      <c r="Q53" s="871"/>
      <c r="R53" s="871"/>
      <c r="S53" s="871"/>
      <c r="T53" s="871"/>
      <c r="U53" s="871"/>
      <c r="V53" s="871"/>
      <c r="W53" s="871"/>
      <c r="X53" s="871"/>
      <c r="Y53" s="871"/>
      <c r="Z53" s="871"/>
      <c r="AA53" s="871"/>
      <c r="AB53" s="871"/>
      <c r="AC53" s="871"/>
      <c r="AD53" s="871"/>
      <c r="AE53" s="871"/>
      <c r="AF53" s="871"/>
      <c r="AG53" s="871"/>
      <c r="AH53" s="871"/>
      <c r="AI53" s="871"/>
      <c r="AJ53" s="871"/>
      <c r="AK53" s="871"/>
      <c r="AL53" s="871"/>
      <c r="AM53" s="871"/>
      <c r="AN53" s="871"/>
      <c r="AO53" s="871"/>
      <c r="AP53" s="871"/>
      <c r="AQ53" s="871"/>
      <c r="AR53" s="871"/>
      <c r="AS53" s="871"/>
      <c r="AT53" s="871"/>
      <c r="AU53" s="871"/>
      <c r="AV53" s="871"/>
      <c r="AW53" s="871"/>
      <c r="AX53" s="871"/>
      <c r="AY53" s="871"/>
      <c r="AZ53" s="871"/>
      <c r="BA53" s="871"/>
      <c r="BB53" s="871"/>
      <c r="BC53" s="871"/>
      <c r="BD53" s="871"/>
      <c r="BE53" s="871"/>
      <c r="BF53" s="871"/>
      <c r="BG53" s="871"/>
      <c r="BH53" s="871"/>
      <c r="BI53" s="871"/>
      <c r="BJ53" s="871"/>
      <c r="BK53" s="871"/>
      <c r="BL53" s="871"/>
      <c r="BM53" s="871"/>
      <c r="BN53" s="871"/>
      <c r="BO53" s="871"/>
      <c r="BP53" s="871"/>
      <c r="BQ53" s="871"/>
      <c r="BR53" s="871"/>
      <c r="BS53" s="871"/>
      <c r="BT53" s="871"/>
      <c r="BU53" s="871"/>
      <c r="BV53" s="871"/>
      <c r="BW53" s="871"/>
      <c r="BX53" s="871"/>
      <c r="BY53" s="871"/>
      <c r="BZ53" s="871"/>
      <c r="CA53" s="871"/>
      <c r="CB53" s="871"/>
      <c r="CC53" s="871"/>
      <c r="CD53" s="871"/>
      <c r="CE53" s="871"/>
      <c r="CF53" s="871"/>
      <c r="CG53" s="871"/>
      <c r="CH53" s="871"/>
      <c r="CI53" s="871"/>
      <c r="CJ53" s="871"/>
      <c r="CK53" s="871"/>
      <c r="CL53" s="871"/>
      <c r="CM53" s="871"/>
      <c r="CN53" s="871"/>
      <c r="CO53" s="871"/>
      <c r="DA53" s="128">
        <f>DA52+DA51</f>
        <v>3068220</v>
      </c>
    </row>
    <row r="54" spans="1:105" ht="40.5" customHeight="1">
      <c r="CK54" s="88">
        <f>COUNTIF(CN7:CO29, "&lt;1000")</f>
        <v>14</v>
      </c>
      <c r="CL54" s="88">
        <f>COUNTIF(CN7:CO29, "&gt;1000")</f>
        <v>9</v>
      </c>
    </row>
    <row r="55" spans="1:105">
      <c r="B55" s="51">
        <f>COUNTA(B7:E33)-COUNTIF(B29:F50,"GOVERNMENT SCIENCE")</f>
        <v>27</v>
      </c>
      <c r="C55" s="51">
        <f>COUNTIF(B7:E33,"GOVERNMENT SCIENCE")</f>
        <v>0</v>
      </c>
    </row>
  </sheetData>
  <mergeCells count="1856">
    <mergeCell ref="CW7:CZ7"/>
    <mergeCell ref="BD6:BF6"/>
    <mergeCell ref="BG6:BH6"/>
    <mergeCell ref="AE6:AF6"/>
    <mergeCell ref="AG6:AH6"/>
    <mergeCell ref="AI6:AJ6"/>
    <mergeCell ref="AK6:AL6"/>
    <mergeCell ref="AM6:AN6"/>
    <mergeCell ref="BA7:BB7"/>
    <mergeCell ref="BD7:BF7"/>
    <mergeCell ref="BG7:BH7"/>
    <mergeCell ref="BI7:BL7"/>
    <mergeCell ref="AG7:AH7"/>
    <mergeCell ref="AI7:AJ7"/>
    <mergeCell ref="AK7:AL7"/>
    <mergeCell ref="F7:H7"/>
    <mergeCell ref="I7:J7"/>
    <mergeCell ref="K7:L7"/>
    <mergeCell ref="M7:N7"/>
    <mergeCell ref="CS6:CT6"/>
    <mergeCell ref="CU6:CV6"/>
    <mergeCell ref="K6:L6"/>
    <mergeCell ref="CP6:CR6"/>
    <mergeCell ref="AO6:AR6"/>
    <mergeCell ref="CS7:CT7"/>
    <mergeCell ref="CU7:CV7"/>
    <mergeCell ref="BZ6:CA6"/>
    <mergeCell ref="CB6:CD6"/>
    <mergeCell ref="CE6:CG6"/>
    <mergeCell ref="CH6:CJ6"/>
    <mergeCell ref="CK6:CM6"/>
    <mergeCell ref="CN6:CO6"/>
    <mergeCell ref="BI6:BL6"/>
    <mergeCell ref="BM6:BN6"/>
    <mergeCell ref="BO6:BQ6"/>
    <mergeCell ref="BR6:BS6"/>
    <mergeCell ref="A53:CO53"/>
    <mergeCell ref="A5:A6"/>
    <mergeCell ref="B5:E6"/>
    <mergeCell ref="F5:H6"/>
    <mergeCell ref="I5:J6"/>
    <mergeCell ref="K5:R5"/>
    <mergeCell ref="S5:AB5"/>
    <mergeCell ref="AC5:AJ5"/>
    <mergeCell ref="AK5:AU5"/>
    <mergeCell ref="B7:E7"/>
    <mergeCell ref="CW5:CZ6"/>
    <mergeCell ref="CH7:CJ7"/>
    <mergeCell ref="CK7:CM7"/>
    <mergeCell ref="CN7:CO7"/>
    <mergeCell ref="CP7:CR7"/>
    <mergeCell ref="BM7:BN7"/>
    <mergeCell ref="BO7:BQ7"/>
    <mergeCell ref="BR7:BS7"/>
    <mergeCell ref="BU7:BW7"/>
    <mergeCell ref="BX7:BY7"/>
    <mergeCell ref="BZ7:CA7"/>
    <mergeCell ref="AV7:AW7"/>
    <mergeCell ref="AX7:AY7"/>
    <mergeCell ref="CB7:CD7"/>
    <mergeCell ref="CE7:CG7"/>
    <mergeCell ref="M6:N6"/>
    <mergeCell ref="O6:P6"/>
    <mergeCell ref="Q6:R6"/>
    <mergeCell ref="S6:T6"/>
    <mergeCell ref="U6:W6"/>
    <mergeCell ref="X6:Z6"/>
    <mergeCell ref="AA6:AB6"/>
    <mergeCell ref="AC6:AD6"/>
    <mergeCell ref="AV5:BB5"/>
    <mergeCell ref="BC5:BL5"/>
    <mergeCell ref="BM5:BT5"/>
    <mergeCell ref="BU5:CD5"/>
    <mergeCell ref="CE5:CO5"/>
    <mergeCell ref="CP5:CV5"/>
    <mergeCell ref="X7:Z7"/>
    <mergeCell ref="AA7:AB7"/>
    <mergeCell ref="AC7:AD7"/>
    <mergeCell ref="B8:E8"/>
    <mergeCell ref="F8:H8"/>
    <mergeCell ref="I8:J8"/>
    <mergeCell ref="K8:L8"/>
    <mergeCell ref="M8:N8"/>
    <mergeCell ref="O8:P8"/>
    <mergeCell ref="Q8:R8"/>
    <mergeCell ref="S8:T8"/>
    <mergeCell ref="U8:W8"/>
    <mergeCell ref="X8:Z8"/>
    <mergeCell ref="AA8:AB8"/>
    <mergeCell ref="AC8:AD8"/>
    <mergeCell ref="AE8:AF8"/>
    <mergeCell ref="BU6:BW6"/>
    <mergeCell ref="BX6:BY6"/>
    <mergeCell ref="AS6:AU6"/>
    <mergeCell ref="AV6:AW6"/>
    <mergeCell ref="AX6:AY6"/>
    <mergeCell ref="BA6:BB6"/>
    <mergeCell ref="AE7:AF7"/>
    <mergeCell ref="O7:P7"/>
    <mergeCell ref="Q7:R7"/>
    <mergeCell ref="BD9:BF9"/>
    <mergeCell ref="BG9:BH9"/>
    <mergeCell ref="BI9:BL9"/>
    <mergeCell ref="AG9:AH9"/>
    <mergeCell ref="AI9:AJ9"/>
    <mergeCell ref="AK9:AL9"/>
    <mergeCell ref="AM9:AN9"/>
    <mergeCell ref="AO9:AR9"/>
    <mergeCell ref="CS8:CT8"/>
    <mergeCell ref="CU8:CV8"/>
    <mergeCell ref="CW8:CZ8"/>
    <mergeCell ref="AM7:AN7"/>
    <mergeCell ref="AO7:AR7"/>
    <mergeCell ref="AS7:AU7"/>
    <mergeCell ref="S7:T7"/>
    <mergeCell ref="U7:W7"/>
    <mergeCell ref="CU9:CV9"/>
    <mergeCell ref="CW9:CZ9"/>
    <mergeCell ref="BI8:BL8"/>
    <mergeCell ref="AG8:AH8"/>
    <mergeCell ref="AI8:AJ8"/>
    <mergeCell ref="AK8:AL8"/>
    <mergeCell ref="AM8:AN8"/>
    <mergeCell ref="AO8:AR8"/>
    <mergeCell ref="AS8:AU8"/>
    <mergeCell ref="BU8:BW8"/>
    <mergeCell ref="BX8:BY8"/>
    <mergeCell ref="BZ8:CA8"/>
    <mergeCell ref="AV8:AW8"/>
    <mergeCell ref="AX8:AY8"/>
    <mergeCell ref="CB8:CD8"/>
    <mergeCell ref="CE8:CG8"/>
    <mergeCell ref="CH8:CJ8"/>
    <mergeCell ref="CK8:CM8"/>
    <mergeCell ref="CN8:CO8"/>
    <mergeCell ref="CP8:CR8"/>
    <mergeCell ref="BM8:BN8"/>
    <mergeCell ref="BO8:BQ8"/>
    <mergeCell ref="BR8:BS8"/>
    <mergeCell ref="CS9:CT9"/>
    <mergeCell ref="AS9:AU9"/>
    <mergeCell ref="S9:T9"/>
    <mergeCell ref="U9:W9"/>
    <mergeCell ref="X9:Z9"/>
    <mergeCell ref="AA9:AB9"/>
    <mergeCell ref="AC9:AD9"/>
    <mergeCell ref="AE9:AF9"/>
    <mergeCell ref="BA8:BB8"/>
    <mergeCell ref="BD8:BF8"/>
    <mergeCell ref="BG8:BH8"/>
    <mergeCell ref="B10:E10"/>
    <mergeCell ref="F10:H10"/>
    <mergeCell ref="I10:J10"/>
    <mergeCell ref="K10:L10"/>
    <mergeCell ref="M10:N10"/>
    <mergeCell ref="O10:P10"/>
    <mergeCell ref="Q10:R10"/>
    <mergeCell ref="CB9:CD9"/>
    <mergeCell ref="CE9:CG9"/>
    <mergeCell ref="CH9:CJ9"/>
    <mergeCell ref="CK9:CM9"/>
    <mergeCell ref="CN9:CO9"/>
    <mergeCell ref="CP9:CR9"/>
    <mergeCell ref="BM9:BN9"/>
    <mergeCell ref="BO9:BQ9"/>
    <mergeCell ref="BR9:BS9"/>
    <mergeCell ref="BU9:BW9"/>
    <mergeCell ref="BX9:BY9"/>
    <mergeCell ref="BZ9:CA9"/>
    <mergeCell ref="AV9:AW9"/>
    <mergeCell ref="AX9:AY9"/>
    <mergeCell ref="BA9:BB9"/>
    <mergeCell ref="B9:E9"/>
    <mergeCell ref="F9:H9"/>
    <mergeCell ref="I9:J9"/>
    <mergeCell ref="K9:L9"/>
    <mergeCell ref="M9:N9"/>
    <mergeCell ref="O9:P9"/>
    <mergeCell ref="Q9:R9"/>
    <mergeCell ref="CU10:CV10"/>
    <mergeCell ref="CW10:CZ10"/>
    <mergeCell ref="B11:E11"/>
    <mergeCell ref="F11:H11"/>
    <mergeCell ref="I11:J11"/>
    <mergeCell ref="K11:L11"/>
    <mergeCell ref="M11:N11"/>
    <mergeCell ref="O11:P11"/>
    <mergeCell ref="Q11:R11"/>
    <mergeCell ref="CB10:CD10"/>
    <mergeCell ref="CE10:CG10"/>
    <mergeCell ref="CH10:CJ10"/>
    <mergeCell ref="CK10:CM10"/>
    <mergeCell ref="CN10:CO10"/>
    <mergeCell ref="CP10:CR10"/>
    <mergeCell ref="BM10:BN10"/>
    <mergeCell ref="BO10:BQ10"/>
    <mergeCell ref="BR10:BS10"/>
    <mergeCell ref="BU10:BW10"/>
    <mergeCell ref="BX10:BY10"/>
    <mergeCell ref="BZ10:CA10"/>
    <mergeCell ref="AV10:AW10"/>
    <mergeCell ref="AX10:AY10"/>
    <mergeCell ref="BA10:BB10"/>
    <mergeCell ref="BD10:BF10"/>
    <mergeCell ref="BG10:BH10"/>
    <mergeCell ref="BI10:BL10"/>
    <mergeCell ref="AG10:AH10"/>
    <mergeCell ref="AI10:AJ10"/>
    <mergeCell ref="AK10:AL10"/>
    <mergeCell ref="AM10:AN10"/>
    <mergeCell ref="AO10:AR10"/>
    <mergeCell ref="BA11:BB11"/>
    <mergeCell ref="BD11:BF11"/>
    <mergeCell ref="BG11:BH11"/>
    <mergeCell ref="BI11:BL11"/>
    <mergeCell ref="AG11:AH11"/>
    <mergeCell ref="AI11:AJ11"/>
    <mergeCell ref="AK11:AL11"/>
    <mergeCell ref="AM11:AN11"/>
    <mergeCell ref="AO11:AR11"/>
    <mergeCell ref="AS11:AU11"/>
    <mergeCell ref="S11:T11"/>
    <mergeCell ref="U11:W11"/>
    <mergeCell ref="X11:Z11"/>
    <mergeCell ref="AA11:AB11"/>
    <mergeCell ref="AC11:AD11"/>
    <mergeCell ref="AE11:AF11"/>
    <mergeCell ref="CS10:CT10"/>
    <mergeCell ref="AS10:AU10"/>
    <mergeCell ref="S10:T10"/>
    <mergeCell ref="U10:W10"/>
    <mergeCell ref="X10:Z10"/>
    <mergeCell ref="AA10:AB10"/>
    <mergeCell ref="AC10:AD10"/>
    <mergeCell ref="AE10:AF10"/>
    <mergeCell ref="BD12:BF12"/>
    <mergeCell ref="BG12:BH12"/>
    <mergeCell ref="BI12:BL12"/>
    <mergeCell ref="AG12:AH12"/>
    <mergeCell ref="AI12:AJ12"/>
    <mergeCell ref="AK12:AL12"/>
    <mergeCell ref="AM12:AN12"/>
    <mergeCell ref="AO12:AR12"/>
    <mergeCell ref="CS11:CT11"/>
    <mergeCell ref="CU11:CV11"/>
    <mergeCell ref="CW11:CZ11"/>
    <mergeCell ref="B12:E12"/>
    <mergeCell ref="F12:H12"/>
    <mergeCell ref="I12:J12"/>
    <mergeCell ref="K12:L12"/>
    <mergeCell ref="M12:N12"/>
    <mergeCell ref="O12:P12"/>
    <mergeCell ref="Q12:R12"/>
    <mergeCell ref="CB11:CD11"/>
    <mergeCell ref="CE11:CG11"/>
    <mergeCell ref="CH11:CJ11"/>
    <mergeCell ref="CK11:CM11"/>
    <mergeCell ref="CN11:CO11"/>
    <mergeCell ref="CP11:CR11"/>
    <mergeCell ref="BM11:BN11"/>
    <mergeCell ref="BO11:BQ11"/>
    <mergeCell ref="BR11:BS11"/>
    <mergeCell ref="BU11:BW11"/>
    <mergeCell ref="BX11:BY11"/>
    <mergeCell ref="BZ11:CA11"/>
    <mergeCell ref="AV11:AW11"/>
    <mergeCell ref="AX11:AY11"/>
    <mergeCell ref="CS12:CT12"/>
    <mergeCell ref="AS12:AU12"/>
    <mergeCell ref="S12:T12"/>
    <mergeCell ref="U12:W12"/>
    <mergeCell ref="X12:Z12"/>
    <mergeCell ref="AA12:AB12"/>
    <mergeCell ref="AC12:AD12"/>
    <mergeCell ref="AE12:AF12"/>
    <mergeCell ref="CU12:CV12"/>
    <mergeCell ref="CW12:CZ12"/>
    <mergeCell ref="B13:E13"/>
    <mergeCell ref="F13:H13"/>
    <mergeCell ref="I13:J13"/>
    <mergeCell ref="K13:L13"/>
    <mergeCell ref="M13:N13"/>
    <mergeCell ref="O13:P13"/>
    <mergeCell ref="Q13:R13"/>
    <mergeCell ref="CB12:CD12"/>
    <mergeCell ref="CE12:CG12"/>
    <mergeCell ref="CH12:CJ12"/>
    <mergeCell ref="CK12:CM12"/>
    <mergeCell ref="CN12:CO12"/>
    <mergeCell ref="CP12:CR12"/>
    <mergeCell ref="BM12:BN12"/>
    <mergeCell ref="BO12:BQ12"/>
    <mergeCell ref="BR12:BS12"/>
    <mergeCell ref="BU12:BW12"/>
    <mergeCell ref="BX12:BY12"/>
    <mergeCell ref="BZ12:CA12"/>
    <mergeCell ref="AV12:AW12"/>
    <mergeCell ref="AX12:AY12"/>
    <mergeCell ref="BA12:BB12"/>
    <mergeCell ref="CU13:CV13"/>
    <mergeCell ref="CW13:CZ13"/>
    <mergeCell ref="B14:E14"/>
    <mergeCell ref="F14:H14"/>
    <mergeCell ref="I14:J14"/>
    <mergeCell ref="K14:L14"/>
    <mergeCell ref="M14:N14"/>
    <mergeCell ref="O14:P14"/>
    <mergeCell ref="Q14:R14"/>
    <mergeCell ref="CB13:CD13"/>
    <mergeCell ref="CE13:CG13"/>
    <mergeCell ref="CH13:CJ13"/>
    <mergeCell ref="CK13:CM13"/>
    <mergeCell ref="CN13:CO13"/>
    <mergeCell ref="CP13:CR13"/>
    <mergeCell ref="BM13:BN13"/>
    <mergeCell ref="BO13:BQ13"/>
    <mergeCell ref="BR13:BS13"/>
    <mergeCell ref="BU13:BW13"/>
    <mergeCell ref="BX13:BY13"/>
    <mergeCell ref="BZ13:CA13"/>
    <mergeCell ref="AV13:AW13"/>
    <mergeCell ref="AX13:AY13"/>
    <mergeCell ref="BA13:BB13"/>
    <mergeCell ref="BD13:BF13"/>
    <mergeCell ref="BG13:BH13"/>
    <mergeCell ref="BI13:BL13"/>
    <mergeCell ref="AG13:AH13"/>
    <mergeCell ref="AI13:AJ13"/>
    <mergeCell ref="AK13:AL13"/>
    <mergeCell ref="AM13:AN13"/>
    <mergeCell ref="AO13:AR13"/>
    <mergeCell ref="BA14:BB14"/>
    <mergeCell ref="BD14:BF14"/>
    <mergeCell ref="BG14:BH14"/>
    <mergeCell ref="BI14:BL14"/>
    <mergeCell ref="AG14:AH14"/>
    <mergeCell ref="AI14:AJ14"/>
    <mergeCell ref="AK14:AL14"/>
    <mergeCell ref="AM14:AN14"/>
    <mergeCell ref="AO14:AR14"/>
    <mergeCell ref="AS14:AU14"/>
    <mergeCell ref="S14:T14"/>
    <mergeCell ref="U14:W14"/>
    <mergeCell ref="X14:Z14"/>
    <mergeCell ref="AA14:AB14"/>
    <mergeCell ref="AC14:AD14"/>
    <mergeCell ref="AE14:AF14"/>
    <mergeCell ref="CS13:CT13"/>
    <mergeCell ref="AS13:AU13"/>
    <mergeCell ref="S13:T13"/>
    <mergeCell ref="U13:W13"/>
    <mergeCell ref="X13:Z13"/>
    <mergeCell ref="AA13:AB13"/>
    <mergeCell ref="AC13:AD13"/>
    <mergeCell ref="AE13:AF13"/>
    <mergeCell ref="BD15:BF15"/>
    <mergeCell ref="BG15:BH15"/>
    <mergeCell ref="BI15:BL15"/>
    <mergeCell ref="AG15:AH15"/>
    <mergeCell ref="AI15:AJ15"/>
    <mergeCell ref="AK15:AL15"/>
    <mergeCell ref="AM15:AN15"/>
    <mergeCell ref="AO15:AR15"/>
    <mergeCell ref="CS14:CT14"/>
    <mergeCell ref="CU14:CV14"/>
    <mergeCell ref="CW14:CZ14"/>
    <mergeCell ref="B15:E15"/>
    <mergeCell ref="F15:H15"/>
    <mergeCell ref="I15:J15"/>
    <mergeCell ref="K15:L15"/>
    <mergeCell ref="M15:N15"/>
    <mergeCell ref="O15:P15"/>
    <mergeCell ref="Q15:R15"/>
    <mergeCell ref="CB14:CD14"/>
    <mergeCell ref="CE14:CG14"/>
    <mergeCell ref="CH14:CJ14"/>
    <mergeCell ref="CK14:CM14"/>
    <mergeCell ref="CN14:CO14"/>
    <mergeCell ref="CP14:CR14"/>
    <mergeCell ref="BM14:BN14"/>
    <mergeCell ref="BO14:BQ14"/>
    <mergeCell ref="BR14:BS14"/>
    <mergeCell ref="BU14:BW14"/>
    <mergeCell ref="BX14:BY14"/>
    <mergeCell ref="BZ14:CA14"/>
    <mergeCell ref="AV14:AW14"/>
    <mergeCell ref="AX14:AY14"/>
    <mergeCell ref="CS15:CT15"/>
    <mergeCell ref="AS15:AU15"/>
    <mergeCell ref="S15:T15"/>
    <mergeCell ref="U15:W15"/>
    <mergeCell ref="X15:Z15"/>
    <mergeCell ref="AA15:AB15"/>
    <mergeCell ref="AC15:AD15"/>
    <mergeCell ref="AE15:AF15"/>
    <mergeCell ref="CU15:CV15"/>
    <mergeCell ref="CW15:CZ15"/>
    <mergeCell ref="B16:E16"/>
    <mergeCell ref="F16:H16"/>
    <mergeCell ref="I16:J16"/>
    <mergeCell ref="K16:L16"/>
    <mergeCell ref="M16:N16"/>
    <mergeCell ref="O16:P16"/>
    <mergeCell ref="Q16:R16"/>
    <mergeCell ref="CB15:CD15"/>
    <mergeCell ref="CE15:CG15"/>
    <mergeCell ref="CH15:CJ15"/>
    <mergeCell ref="CK15:CM15"/>
    <mergeCell ref="CN15:CO15"/>
    <mergeCell ref="CP15:CR15"/>
    <mergeCell ref="BM15:BN15"/>
    <mergeCell ref="BO15:BQ15"/>
    <mergeCell ref="BR15:BS15"/>
    <mergeCell ref="BU15:BW15"/>
    <mergeCell ref="BX15:BY15"/>
    <mergeCell ref="BZ15:CA15"/>
    <mergeCell ref="AV15:AW15"/>
    <mergeCell ref="AX15:AY15"/>
    <mergeCell ref="BA15:BB15"/>
    <mergeCell ref="CU16:CV16"/>
    <mergeCell ref="CW16:CZ16"/>
    <mergeCell ref="B17:E17"/>
    <mergeCell ref="F17:H17"/>
    <mergeCell ref="I17:J17"/>
    <mergeCell ref="K17:L17"/>
    <mergeCell ref="M17:N17"/>
    <mergeCell ref="O17:P17"/>
    <mergeCell ref="Q17:R17"/>
    <mergeCell ref="CB16:CD16"/>
    <mergeCell ref="CE16:CG16"/>
    <mergeCell ref="CH16:CJ16"/>
    <mergeCell ref="CK16:CM16"/>
    <mergeCell ref="CN16:CO16"/>
    <mergeCell ref="CP16:CR16"/>
    <mergeCell ref="BM16:BN16"/>
    <mergeCell ref="BO16:BQ16"/>
    <mergeCell ref="BR16:BS16"/>
    <mergeCell ref="BU16:BW16"/>
    <mergeCell ref="BX16:BY16"/>
    <mergeCell ref="BZ16:CA16"/>
    <mergeCell ref="AV16:AW16"/>
    <mergeCell ref="AX16:AY16"/>
    <mergeCell ref="BA16:BB16"/>
    <mergeCell ref="BD16:BF16"/>
    <mergeCell ref="BG16:BH16"/>
    <mergeCell ref="BI16:BL16"/>
    <mergeCell ref="AG16:AH16"/>
    <mergeCell ref="AI16:AJ16"/>
    <mergeCell ref="AK16:AL16"/>
    <mergeCell ref="AM16:AN16"/>
    <mergeCell ref="AO16:AR16"/>
    <mergeCell ref="BA17:BB17"/>
    <mergeCell ref="BD17:BF17"/>
    <mergeCell ref="BG17:BH17"/>
    <mergeCell ref="BI17:BL17"/>
    <mergeCell ref="AG17:AH17"/>
    <mergeCell ref="AI17:AJ17"/>
    <mergeCell ref="AK17:AL17"/>
    <mergeCell ref="AM17:AN17"/>
    <mergeCell ref="AO17:AR17"/>
    <mergeCell ref="AS17:AU17"/>
    <mergeCell ref="S17:T17"/>
    <mergeCell ref="U17:W17"/>
    <mergeCell ref="X17:Z17"/>
    <mergeCell ref="AA17:AB17"/>
    <mergeCell ref="AC17:AD17"/>
    <mergeCell ref="AE17:AF17"/>
    <mergeCell ref="CS16:CT16"/>
    <mergeCell ref="AS16:AU16"/>
    <mergeCell ref="S16:T16"/>
    <mergeCell ref="U16:W16"/>
    <mergeCell ref="X16:Z16"/>
    <mergeCell ref="AA16:AB16"/>
    <mergeCell ref="AC16:AD16"/>
    <mergeCell ref="AE16:AF16"/>
    <mergeCell ref="BD18:BF18"/>
    <mergeCell ref="BG18:BH18"/>
    <mergeCell ref="BI18:BL18"/>
    <mergeCell ref="AG18:AH18"/>
    <mergeCell ref="AI18:AJ18"/>
    <mergeCell ref="AK18:AL18"/>
    <mergeCell ref="AM18:AN18"/>
    <mergeCell ref="AO18:AR18"/>
    <mergeCell ref="CS17:CT17"/>
    <mergeCell ref="CU17:CV17"/>
    <mergeCell ref="CW17:CZ17"/>
    <mergeCell ref="B18:E18"/>
    <mergeCell ref="F18:H18"/>
    <mergeCell ref="I18:J18"/>
    <mergeCell ref="K18:L18"/>
    <mergeCell ref="M18:N18"/>
    <mergeCell ref="O18:P18"/>
    <mergeCell ref="Q18:R18"/>
    <mergeCell ref="CB17:CD17"/>
    <mergeCell ref="CE17:CG17"/>
    <mergeCell ref="CH17:CJ17"/>
    <mergeCell ref="CK17:CM17"/>
    <mergeCell ref="CN17:CO17"/>
    <mergeCell ref="CP17:CR17"/>
    <mergeCell ref="BM17:BN17"/>
    <mergeCell ref="BO17:BQ17"/>
    <mergeCell ref="BR17:BS17"/>
    <mergeCell ref="BU17:BW17"/>
    <mergeCell ref="BX17:BY17"/>
    <mergeCell ref="BZ17:CA17"/>
    <mergeCell ref="AV17:AW17"/>
    <mergeCell ref="AX17:AY17"/>
    <mergeCell ref="CS18:CT18"/>
    <mergeCell ref="AS18:AU18"/>
    <mergeCell ref="S18:T18"/>
    <mergeCell ref="U18:W18"/>
    <mergeCell ref="X18:Z18"/>
    <mergeCell ref="AA18:AB18"/>
    <mergeCell ref="AC18:AD18"/>
    <mergeCell ref="AE18:AF18"/>
    <mergeCell ref="CU18:CV18"/>
    <mergeCell ref="CW18:CZ18"/>
    <mergeCell ref="B19:E19"/>
    <mergeCell ref="F19:H19"/>
    <mergeCell ref="I19:J19"/>
    <mergeCell ref="K19:L19"/>
    <mergeCell ref="M19:N19"/>
    <mergeCell ref="O19:P19"/>
    <mergeCell ref="Q19:R19"/>
    <mergeCell ref="CB18:CD18"/>
    <mergeCell ref="CE18:CG18"/>
    <mergeCell ref="CH18:CJ18"/>
    <mergeCell ref="CK18:CM18"/>
    <mergeCell ref="CN18:CO18"/>
    <mergeCell ref="CP18:CR18"/>
    <mergeCell ref="BM18:BN18"/>
    <mergeCell ref="BO18:BQ18"/>
    <mergeCell ref="BR18:BS18"/>
    <mergeCell ref="BU18:BW18"/>
    <mergeCell ref="BX18:BY18"/>
    <mergeCell ref="BZ18:CA18"/>
    <mergeCell ref="AV18:AW18"/>
    <mergeCell ref="AX18:AY18"/>
    <mergeCell ref="BA18:BB18"/>
    <mergeCell ref="CU19:CV19"/>
    <mergeCell ref="CW19:CZ19"/>
    <mergeCell ref="B20:E20"/>
    <mergeCell ref="F20:H20"/>
    <mergeCell ref="I20:J20"/>
    <mergeCell ref="K20:L20"/>
    <mergeCell ref="M20:N20"/>
    <mergeCell ref="O20:P20"/>
    <mergeCell ref="Q20:R20"/>
    <mergeCell ref="CB19:CD19"/>
    <mergeCell ref="CE19:CG19"/>
    <mergeCell ref="CH19:CJ19"/>
    <mergeCell ref="CK19:CM19"/>
    <mergeCell ref="CN19:CO19"/>
    <mergeCell ref="CP19:CR19"/>
    <mergeCell ref="BM19:BN19"/>
    <mergeCell ref="BO19:BQ19"/>
    <mergeCell ref="BR19:BS19"/>
    <mergeCell ref="BU19:BW19"/>
    <mergeCell ref="BX19:BY19"/>
    <mergeCell ref="BZ19:CA19"/>
    <mergeCell ref="AV19:AW19"/>
    <mergeCell ref="AX19:AY19"/>
    <mergeCell ref="BA19:BB19"/>
    <mergeCell ref="BD19:BF19"/>
    <mergeCell ref="BG19:BH19"/>
    <mergeCell ref="BI19:BL19"/>
    <mergeCell ref="AG19:AH19"/>
    <mergeCell ref="AI19:AJ19"/>
    <mergeCell ref="AK19:AL19"/>
    <mergeCell ref="AM19:AN19"/>
    <mergeCell ref="AO19:AR19"/>
    <mergeCell ref="BA20:BB20"/>
    <mergeCell ref="BD20:BF20"/>
    <mergeCell ref="BG20:BH20"/>
    <mergeCell ref="BI20:BL20"/>
    <mergeCell ref="AG20:AH20"/>
    <mergeCell ref="AI20:AJ20"/>
    <mergeCell ref="AK20:AL20"/>
    <mergeCell ref="AM20:AN20"/>
    <mergeCell ref="AO20:AR20"/>
    <mergeCell ref="AS20:AU20"/>
    <mergeCell ref="S20:T20"/>
    <mergeCell ref="U20:W20"/>
    <mergeCell ref="X20:Z20"/>
    <mergeCell ref="AA20:AB20"/>
    <mergeCell ref="AC20:AD20"/>
    <mergeCell ref="AE20:AF20"/>
    <mergeCell ref="CS19:CT19"/>
    <mergeCell ref="AS19:AU19"/>
    <mergeCell ref="S19:T19"/>
    <mergeCell ref="U19:W19"/>
    <mergeCell ref="X19:Z19"/>
    <mergeCell ref="AA19:AB19"/>
    <mergeCell ref="AC19:AD19"/>
    <mergeCell ref="AE19:AF19"/>
    <mergeCell ref="BD21:BF21"/>
    <mergeCell ref="BG21:BH21"/>
    <mergeCell ref="BI21:BL21"/>
    <mergeCell ref="AG21:AH21"/>
    <mergeCell ref="AI21:AJ21"/>
    <mergeCell ref="AK21:AL21"/>
    <mergeCell ref="AM21:AN21"/>
    <mergeCell ref="AO21:AR21"/>
    <mergeCell ref="CS20:CT20"/>
    <mergeCell ref="CU20:CV20"/>
    <mergeCell ref="CW20:CZ20"/>
    <mergeCell ref="B21:E21"/>
    <mergeCell ref="F21:H21"/>
    <mergeCell ref="I21:J21"/>
    <mergeCell ref="K21:L21"/>
    <mergeCell ref="M21:N21"/>
    <mergeCell ref="O21:P21"/>
    <mergeCell ref="Q21:R21"/>
    <mergeCell ref="CB20:CD20"/>
    <mergeCell ref="CE20:CG20"/>
    <mergeCell ref="CH20:CJ20"/>
    <mergeCell ref="CK20:CM20"/>
    <mergeCell ref="CN20:CO20"/>
    <mergeCell ref="CP20:CR20"/>
    <mergeCell ref="BM20:BN20"/>
    <mergeCell ref="BO20:BQ20"/>
    <mergeCell ref="BR20:BS20"/>
    <mergeCell ref="BU20:BW20"/>
    <mergeCell ref="BX20:BY20"/>
    <mergeCell ref="BZ20:CA20"/>
    <mergeCell ref="AV20:AW20"/>
    <mergeCell ref="AX20:AY20"/>
    <mergeCell ref="CS21:CT21"/>
    <mergeCell ref="AS21:AU21"/>
    <mergeCell ref="S21:T21"/>
    <mergeCell ref="U21:W21"/>
    <mergeCell ref="X21:Z21"/>
    <mergeCell ref="AA21:AB21"/>
    <mergeCell ref="AC21:AD21"/>
    <mergeCell ref="AE21:AF21"/>
    <mergeCell ref="CU21:CV21"/>
    <mergeCell ref="CW21:CZ21"/>
    <mergeCell ref="B22:E22"/>
    <mergeCell ref="F22:H22"/>
    <mergeCell ref="I22:J22"/>
    <mergeCell ref="K22:L22"/>
    <mergeCell ref="M22:N22"/>
    <mergeCell ref="O22:P22"/>
    <mergeCell ref="Q22:R22"/>
    <mergeCell ref="CB21:CD21"/>
    <mergeCell ref="CE21:CG21"/>
    <mergeCell ref="CH21:CJ21"/>
    <mergeCell ref="CK21:CM21"/>
    <mergeCell ref="CN21:CO21"/>
    <mergeCell ref="CP21:CR21"/>
    <mergeCell ref="BM21:BN21"/>
    <mergeCell ref="BO21:BQ21"/>
    <mergeCell ref="BR21:BS21"/>
    <mergeCell ref="BU21:BW21"/>
    <mergeCell ref="BX21:BY21"/>
    <mergeCell ref="BZ21:CA21"/>
    <mergeCell ref="AV21:AW21"/>
    <mergeCell ref="AX21:AY21"/>
    <mergeCell ref="BA21:BB21"/>
    <mergeCell ref="CU22:CV22"/>
    <mergeCell ref="CW22:CZ22"/>
    <mergeCell ref="B23:E23"/>
    <mergeCell ref="F23:H23"/>
    <mergeCell ref="I23:J23"/>
    <mergeCell ref="K23:L23"/>
    <mergeCell ref="M23:N23"/>
    <mergeCell ref="O23:P23"/>
    <mergeCell ref="Q23:R23"/>
    <mergeCell ref="CB22:CD22"/>
    <mergeCell ref="CE22:CG22"/>
    <mergeCell ref="CH22:CJ22"/>
    <mergeCell ref="CK22:CM22"/>
    <mergeCell ref="CN22:CO22"/>
    <mergeCell ref="CP22:CR22"/>
    <mergeCell ref="BM22:BN22"/>
    <mergeCell ref="BO22:BQ22"/>
    <mergeCell ref="BR22:BS22"/>
    <mergeCell ref="BU22:BW22"/>
    <mergeCell ref="BX22:BY22"/>
    <mergeCell ref="BZ22:CA22"/>
    <mergeCell ref="AV22:AW22"/>
    <mergeCell ref="AX22:AY22"/>
    <mergeCell ref="BA22:BB22"/>
    <mergeCell ref="BD22:BF22"/>
    <mergeCell ref="BG22:BH22"/>
    <mergeCell ref="BI22:BL22"/>
    <mergeCell ref="AG22:AH22"/>
    <mergeCell ref="AI22:AJ22"/>
    <mergeCell ref="AK22:AL22"/>
    <mergeCell ref="AM22:AN22"/>
    <mergeCell ref="AO22:AR22"/>
    <mergeCell ref="BA23:BB23"/>
    <mergeCell ref="BD23:BF23"/>
    <mergeCell ref="BG23:BH23"/>
    <mergeCell ref="BI23:BL23"/>
    <mergeCell ref="AG23:AH23"/>
    <mergeCell ref="AI23:AJ23"/>
    <mergeCell ref="AK23:AL23"/>
    <mergeCell ref="AM23:AN23"/>
    <mergeCell ref="AO23:AR23"/>
    <mergeCell ref="AS23:AU23"/>
    <mergeCell ref="S23:T23"/>
    <mergeCell ref="U23:W23"/>
    <mergeCell ref="X23:Z23"/>
    <mergeCell ref="AA23:AB23"/>
    <mergeCell ref="AC23:AD23"/>
    <mergeCell ref="AE23:AF23"/>
    <mergeCell ref="CS22:CT22"/>
    <mergeCell ref="AS22:AU22"/>
    <mergeCell ref="S22:T22"/>
    <mergeCell ref="U22:W22"/>
    <mergeCell ref="X22:Z22"/>
    <mergeCell ref="AA22:AB22"/>
    <mergeCell ref="AC22:AD22"/>
    <mergeCell ref="AE22:AF22"/>
    <mergeCell ref="BD24:BF24"/>
    <mergeCell ref="BG24:BH24"/>
    <mergeCell ref="BI24:BL24"/>
    <mergeCell ref="AG24:AH24"/>
    <mergeCell ref="AI24:AJ24"/>
    <mergeCell ref="AK24:AL24"/>
    <mergeCell ref="AM24:AN24"/>
    <mergeCell ref="AO24:AR24"/>
    <mergeCell ref="CS23:CT23"/>
    <mergeCell ref="CU23:CV23"/>
    <mergeCell ref="CW23:CZ23"/>
    <mergeCell ref="B24:E24"/>
    <mergeCell ref="F24:H24"/>
    <mergeCell ref="I24:J24"/>
    <mergeCell ref="K24:L24"/>
    <mergeCell ref="M24:N24"/>
    <mergeCell ref="O24:P24"/>
    <mergeCell ref="Q24:R24"/>
    <mergeCell ref="CB23:CD23"/>
    <mergeCell ref="CE23:CG23"/>
    <mergeCell ref="CH23:CJ23"/>
    <mergeCell ref="CK23:CM23"/>
    <mergeCell ref="CN23:CO23"/>
    <mergeCell ref="CP23:CR23"/>
    <mergeCell ref="BM23:BN23"/>
    <mergeCell ref="BO23:BQ23"/>
    <mergeCell ref="BR23:BS23"/>
    <mergeCell ref="BU23:BW23"/>
    <mergeCell ref="BX23:BY23"/>
    <mergeCell ref="BZ23:CA23"/>
    <mergeCell ref="AV23:AW23"/>
    <mergeCell ref="AX23:AY23"/>
    <mergeCell ref="CS24:CT24"/>
    <mergeCell ref="AS24:AU24"/>
    <mergeCell ref="S24:T24"/>
    <mergeCell ref="U24:W24"/>
    <mergeCell ref="X24:Z24"/>
    <mergeCell ref="AA24:AB24"/>
    <mergeCell ref="AC24:AD24"/>
    <mergeCell ref="AE24:AF24"/>
    <mergeCell ref="CU24:CV24"/>
    <mergeCell ref="CW24:CZ24"/>
    <mergeCell ref="B25:E25"/>
    <mergeCell ref="F25:H25"/>
    <mergeCell ref="I25:J25"/>
    <mergeCell ref="K25:L25"/>
    <mergeCell ref="M25:N25"/>
    <mergeCell ref="O25:P25"/>
    <mergeCell ref="Q25:R25"/>
    <mergeCell ref="CB24:CD24"/>
    <mergeCell ref="CE24:CG24"/>
    <mergeCell ref="CH24:CJ24"/>
    <mergeCell ref="CK24:CM24"/>
    <mergeCell ref="CN24:CO24"/>
    <mergeCell ref="CP24:CR24"/>
    <mergeCell ref="BM24:BN24"/>
    <mergeCell ref="BO24:BQ24"/>
    <mergeCell ref="BR24:BS24"/>
    <mergeCell ref="BU24:BW24"/>
    <mergeCell ref="BX24:BY24"/>
    <mergeCell ref="BZ24:CA24"/>
    <mergeCell ref="AV24:AW24"/>
    <mergeCell ref="AX24:AY24"/>
    <mergeCell ref="BA24:BB24"/>
    <mergeCell ref="CU25:CV25"/>
    <mergeCell ref="CW25:CZ25"/>
    <mergeCell ref="B26:E26"/>
    <mergeCell ref="F26:H26"/>
    <mergeCell ref="I26:J26"/>
    <mergeCell ref="K26:L26"/>
    <mergeCell ref="M26:N26"/>
    <mergeCell ref="O26:P26"/>
    <mergeCell ref="Q26:R26"/>
    <mergeCell ref="CB25:CD25"/>
    <mergeCell ref="CE25:CG25"/>
    <mergeCell ref="CH25:CJ25"/>
    <mergeCell ref="CK25:CM25"/>
    <mergeCell ref="CN25:CO25"/>
    <mergeCell ref="CP25:CR25"/>
    <mergeCell ref="BM25:BN25"/>
    <mergeCell ref="BO25:BQ25"/>
    <mergeCell ref="BR25:BS25"/>
    <mergeCell ref="BU25:BW25"/>
    <mergeCell ref="BX25:BY25"/>
    <mergeCell ref="BZ25:CA25"/>
    <mergeCell ref="AV25:AW25"/>
    <mergeCell ref="AX25:AY25"/>
    <mergeCell ref="BA25:BB25"/>
    <mergeCell ref="BD25:BF25"/>
    <mergeCell ref="BG25:BH25"/>
    <mergeCell ref="BI25:BL25"/>
    <mergeCell ref="AG25:AH25"/>
    <mergeCell ref="AI25:AJ25"/>
    <mergeCell ref="AK25:AL25"/>
    <mergeCell ref="AM25:AN25"/>
    <mergeCell ref="AO25:AR25"/>
    <mergeCell ref="BA26:BB26"/>
    <mergeCell ref="BD26:BF26"/>
    <mergeCell ref="BG26:BH26"/>
    <mergeCell ref="BI26:BL26"/>
    <mergeCell ref="AG26:AH26"/>
    <mergeCell ref="AI26:AJ26"/>
    <mergeCell ref="AK26:AL26"/>
    <mergeCell ref="AM26:AN26"/>
    <mergeCell ref="AO26:AR26"/>
    <mergeCell ref="AS26:AU26"/>
    <mergeCell ref="S26:T26"/>
    <mergeCell ref="U26:W26"/>
    <mergeCell ref="X26:Z26"/>
    <mergeCell ref="AA26:AB26"/>
    <mergeCell ref="AC26:AD26"/>
    <mergeCell ref="AE26:AF26"/>
    <mergeCell ref="CS25:CT25"/>
    <mergeCell ref="AS25:AU25"/>
    <mergeCell ref="S25:T25"/>
    <mergeCell ref="U25:W25"/>
    <mergeCell ref="X25:Z25"/>
    <mergeCell ref="AA25:AB25"/>
    <mergeCell ref="AC25:AD25"/>
    <mergeCell ref="AE25:AF25"/>
    <mergeCell ref="BD27:BF27"/>
    <mergeCell ref="BG27:BH27"/>
    <mergeCell ref="BI27:BL27"/>
    <mergeCell ref="AG27:AH27"/>
    <mergeCell ref="AI27:AJ27"/>
    <mergeCell ref="AK27:AL27"/>
    <mergeCell ref="AM27:AN27"/>
    <mergeCell ref="AO27:AR27"/>
    <mergeCell ref="CS26:CT26"/>
    <mergeCell ref="CU26:CV26"/>
    <mergeCell ref="CW26:CZ26"/>
    <mergeCell ref="B27:E27"/>
    <mergeCell ref="F27:H27"/>
    <mergeCell ref="I27:J27"/>
    <mergeCell ref="K27:L27"/>
    <mergeCell ref="M27:N27"/>
    <mergeCell ref="O27:P27"/>
    <mergeCell ref="Q27:R27"/>
    <mergeCell ref="CB26:CD26"/>
    <mergeCell ref="CE26:CG26"/>
    <mergeCell ref="CH26:CJ26"/>
    <mergeCell ref="CK26:CM26"/>
    <mergeCell ref="CN26:CO26"/>
    <mergeCell ref="CP26:CR26"/>
    <mergeCell ref="BM26:BN26"/>
    <mergeCell ref="BO26:BQ26"/>
    <mergeCell ref="BR26:BS26"/>
    <mergeCell ref="BU26:BW26"/>
    <mergeCell ref="BX26:BY26"/>
    <mergeCell ref="BZ26:CA26"/>
    <mergeCell ref="AV26:AW26"/>
    <mergeCell ref="AX26:AY26"/>
    <mergeCell ref="CS27:CT27"/>
    <mergeCell ref="AS27:AU27"/>
    <mergeCell ref="S27:T27"/>
    <mergeCell ref="U27:W27"/>
    <mergeCell ref="X27:Z27"/>
    <mergeCell ref="AA27:AB27"/>
    <mergeCell ref="AC27:AD27"/>
    <mergeCell ref="AE27:AF27"/>
    <mergeCell ref="CU27:CV27"/>
    <mergeCell ref="CW27:CZ27"/>
    <mergeCell ref="B28:E28"/>
    <mergeCell ref="F28:H28"/>
    <mergeCell ref="I28:J28"/>
    <mergeCell ref="K28:L28"/>
    <mergeCell ref="M28:N28"/>
    <mergeCell ref="O28:P28"/>
    <mergeCell ref="Q28:R28"/>
    <mergeCell ref="CB27:CD27"/>
    <mergeCell ref="CE27:CG27"/>
    <mergeCell ref="CH27:CJ27"/>
    <mergeCell ref="CK27:CM27"/>
    <mergeCell ref="CN27:CO27"/>
    <mergeCell ref="CP27:CR27"/>
    <mergeCell ref="BM27:BN27"/>
    <mergeCell ref="BO27:BQ27"/>
    <mergeCell ref="BR27:BS27"/>
    <mergeCell ref="BU27:BW27"/>
    <mergeCell ref="BX27:BY27"/>
    <mergeCell ref="BZ27:CA27"/>
    <mergeCell ref="AV27:AW27"/>
    <mergeCell ref="AX27:AY27"/>
    <mergeCell ref="BA27:BB27"/>
    <mergeCell ref="CU28:CV28"/>
    <mergeCell ref="CW28:CZ28"/>
    <mergeCell ref="B29:E29"/>
    <mergeCell ref="F29:H29"/>
    <mergeCell ref="I29:J29"/>
    <mergeCell ref="K29:L29"/>
    <mergeCell ref="M29:N29"/>
    <mergeCell ref="O29:P29"/>
    <mergeCell ref="Q29:R29"/>
    <mergeCell ref="CB28:CD28"/>
    <mergeCell ref="CE28:CG28"/>
    <mergeCell ref="CH28:CJ28"/>
    <mergeCell ref="CK28:CM28"/>
    <mergeCell ref="CN28:CO28"/>
    <mergeCell ref="CP28:CR28"/>
    <mergeCell ref="BM28:BN28"/>
    <mergeCell ref="BO28:BQ28"/>
    <mergeCell ref="BR28:BS28"/>
    <mergeCell ref="BU28:BW28"/>
    <mergeCell ref="BX28:BY28"/>
    <mergeCell ref="BZ28:CA28"/>
    <mergeCell ref="AV28:AW28"/>
    <mergeCell ref="AX28:AY28"/>
    <mergeCell ref="BA28:BB28"/>
    <mergeCell ref="BD28:BF28"/>
    <mergeCell ref="BG28:BH28"/>
    <mergeCell ref="BI28:BL28"/>
    <mergeCell ref="AG28:AH28"/>
    <mergeCell ref="AI28:AJ28"/>
    <mergeCell ref="AK28:AL28"/>
    <mergeCell ref="AM28:AN28"/>
    <mergeCell ref="AO28:AR28"/>
    <mergeCell ref="BA29:BB29"/>
    <mergeCell ref="BD29:BF29"/>
    <mergeCell ref="BG29:BH29"/>
    <mergeCell ref="BI29:BL29"/>
    <mergeCell ref="AG29:AH29"/>
    <mergeCell ref="AI29:AJ29"/>
    <mergeCell ref="AK29:AL29"/>
    <mergeCell ref="AM29:AN29"/>
    <mergeCell ref="AO29:AR29"/>
    <mergeCell ref="AS29:AU29"/>
    <mergeCell ref="S29:T29"/>
    <mergeCell ref="U29:W29"/>
    <mergeCell ref="X29:Z29"/>
    <mergeCell ref="AA29:AB29"/>
    <mergeCell ref="AC29:AD29"/>
    <mergeCell ref="AE29:AF29"/>
    <mergeCell ref="CS28:CT28"/>
    <mergeCell ref="AS28:AU28"/>
    <mergeCell ref="S28:T28"/>
    <mergeCell ref="U28:W28"/>
    <mergeCell ref="X28:Z28"/>
    <mergeCell ref="AA28:AB28"/>
    <mergeCell ref="AC28:AD28"/>
    <mergeCell ref="AE28:AF28"/>
    <mergeCell ref="BD30:BF30"/>
    <mergeCell ref="BG30:BH30"/>
    <mergeCell ref="BI30:BL30"/>
    <mergeCell ref="AG30:AH30"/>
    <mergeCell ref="AI30:AJ30"/>
    <mergeCell ref="AK30:AL30"/>
    <mergeCell ref="AM30:AN30"/>
    <mergeCell ref="AO30:AR30"/>
    <mergeCell ref="CS29:CT29"/>
    <mergeCell ref="CU29:CV29"/>
    <mergeCell ref="CW29:CZ29"/>
    <mergeCell ref="B30:E30"/>
    <mergeCell ref="F30:H30"/>
    <mergeCell ref="I30:J30"/>
    <mergeCell ref="K30:L30"/>
    <mergeCell ref="M30:N30"/>
    <mergeCell ref="O30:P30"/>
    <mergeCell ref="Q30:R30"/>
    <mergeCell ref="CB29:CD29"/>
    <mergeCell ref="CE29:CG29"/>
    <mergeCell ref="CH29:CJ29"/>
    <mergeCell ref="CK29:CM29"/>
    <mergeCell ref="CN29:CO29"/>
    <mergeCell ref="CP29:CR29"/>
    <mergeCell ref="BM29:BN29"/>
    <mergeCell ref="BO29:BQ29"/>
    <mergeCell ref="BR29:BS29"/>
    <mergeCell ref="BU29:BW29"/>
    <mergeCell ref="BX29:BY29"/>
    <mergeCell ref="BZ29:CA29"/>
    <mergeCell ref="AV29:AW29"/>
    <mergeCell ref="AX29:AY29"/>
    <mergeCell ref="CS30:CT30"/>
    <mergeCell ref="AS30:AU30"/>
    <mergeCell ref="S30:T30"/>
    <mergeCell ref="U30:W30"/>
    <mergeCell ref="X30:Z30"/>
    <mergeCell ref="AA30:AB30"/>
    <mergeCell ref="AC30:AD30"/>
    <mergeCell ref="AE30:AF30"/>
    <mergeCell ref="CU30:CV30"/>
    <mergeCell ref="CW30:CZ30"/>
    <mergeCell ref="B31:E31"/>
    <mergeCell ref="F31:H31"/>
    <mergeCell ref="I31:J31"/>
    <mergeCell ref="K31:L31"/>
    <mergeCell ref="M31:N31"/>
    <mergeCell ref="O31:P31"/>
    <mergeCell ref="Q31:R31"/>
    <mergeCell ref="CB30:CD30"/>
    <mergeCell ref="CE30:CG30"/>
    <mergeCell ref="CH30:CJ30"/>
    <mergeCell ref="CK30:CM30"/>
    <mergeCell ref="CN30:CO30"/>
    <mergeCell ref="CP30:CR30"/>
    <mergeCell ref="BM30:BN30"/>
    <mergeCell ref="BO30:BQ30"/>
    <mergeCell ref="BR30:BS30"/>
    <mergeCell ref="BU30:BW30"/>
    <mergeCell ref="BX30:BY30"/>
    <mergeCell ref="BZ30:CA30"/>
    <mergeCell ref="AV30:AW30"/>
    <mergeCell ref="AX30:AY30"/>
    <mergeCell ref="BA30:BB30"/>
    <mergeCell ref="CU31:CV31"/>
    <mergeCell ref="CW31:CZ31"/>
    <mergeCell ref="B32:E32"/>
    <mergeCell ref="F32:H32"/>
    <mergeCell ref="I32:J32"/>
    <mergeCell ref="K32:L32"/>
    <mergeCell ref="M32:N32"/>
    <mergeCell ref="O32:P32"/>
    <mergeCell ref="Q32:R32"/>
    <mergeCell ref="CB31:CD31"/>
    <mergeCell ref="CE31:CG31"/>
    <mergeCell ref="CH31:CJ31"/>
    <mergeCell ref="CK31:CM31"/>
    <mergeCell ref="CN31:CO31"/>
    <mergeCell ref="CP31:CR31"/>
    <mergeCell ref="BM31:BN31"/>
    <mergeCell ref="BO31:BQ31"/>
    <mergeCell ref="BR31:BS31"/>
    <mergeCell ref="BU31:BW31"/>
    <mergeCell ref="BX31:BY31"/>
    <mergeCell ref="BZ31:CA31"/>
    <mergeCell ref="AV31:AW31"/>
    <mergeCell ref="AX31:AY31"/>
    <mergeCell ref="BA31:BB31"/>
    <mergeCell ref="BD31:BF31"/>
    <mergeCell ref="BG31:BH31"/>
    <mergeCell ref="BI31:BL31"/>
    <mergeCell ref="AG31:AH31"/>
    <mergeCell ref="AI31:AJ31"/>
    <mergeCell ref="AK31:AL31"/>
    <mergeCell ref="AM31:AN31"/>
    <mergeCell ref="AO31:AR31"/>
    <mergeCell ref="BA32:BB32"/>
    <mergeCell ref="BD32:BF32"/>
    <mergeCell ref="BG32:BH32"/>
    <mergeCell ref="BI32:BL32"/>
    <mergeCell ref="AG32:AH32"/>
    <mergeCell ref="AI32:AJ32"/>
    <mergeCell ref="AK32:AL32"/>
    <mergeCell ref="AM32:AN32"/>
    <mergeCell ref="AO32:AR32"/>
    <mergeCell ref="AS32:AU32"/>
    <mergeCell ref="S32:T32"/>
    <mergeCell ref="U32:W32"/>
    <mergeCell ref="X32:Z32"/>
    <mergeCell ref="AA32:AB32"/>
    <mergeCell ref="AC32:AD32"/>
    <mergeCell ref="AE32:AF32"/>
    <mergeCell ref="CS31:CT31"/>
    <mergeCell ref="AS31:AU31"/>
    <mergeCell ref="S31:T31"/>
    <mergeCell ref="U31:W31"/>
    <mergeCell ref="X31:Z31"/>
    <mergeCell ref="AA31:AB31"/>
    <mergeCell ref="AC31:AD31"/>
    <mergeCell ref="AE31:AF31"/>
    <mergeCell ref="BD33:BF33"/>
    <mergeCell ref="BG33:BH33"/>
    <mergeCell ref="BI33:BL33"/>
    <mergeCell ref="AG33:AH33"/>
    <mergeCell ref="AI33:AJ33"/>
    <mergeCell ref="AK33:AL33"/>
    <mergeCell ref="AM33:AN33"/>
    <mergeCell ref="AO33:AR33"/>
    <mergeCell ref="CS32:CT32"/>
    <mergeCell ref="CU32:CV32"/>
    <mergeCell ref="CW32:CZ32"/>
    <mergeCell ref="B33:E33"/>
    <mergeCell ref="F33:H33"/>
    <mergeCell ref="I33:J33"/>
    <mergeCell ref="K33:L33"/>
    <mergeCell ref="M33:N33"/>
    <mergeCell ref="O33:P33"/>
    <mergeCell ref="Q33:R33"/>
    <mergeCell ref="CB32:CD32"/>
    <mergeCell ref="CE32:CG32"/>
    <mergeCell ref="CH32:CJ32"/>
    <mergeCell ref="CK32:CM32"/>
    <mergeCell ref="CN32:CO32"/>
    <mergeCell ref="CP32:CR32"/>
    <mergeCell ref="BM32:BN32"/>
    <mergeCell ref="BO32:BQ32"/>
    <mergeCell ref="BR32:BS32"/>
    <mergeCell ref="BU32:BW32"/>
    <mergeCell ref="BX32:BY32"/>
    <mergeCell ref="BZ32:CA32"/>
    <mergeCell ref="AV32:AW32"/>
    <mergeCell ref="AX32:AY32"/>
    <mergeCell ref="CS33:CT33"/>
    <mergeCell ref="AS33:AU33"/>
    <mergeCell ref="S33:T33"/>
    <mergeCell ref="U33:W33"/>
    <mergeCell ref="X33:Z33"/>
    <mergeCell ref="AA33:AB33"/>
    <mergeCell ref="AC33:AD33"/>
    <mergeCell ref="AE33:AF33"/>
    <mergeCell ref="CU33:CV33"/>
    <mergeCell ref="CW33:CZ33"/>
    <mergeCell ref="B34:E34"/>
    <mergeCell ref="F34:H34"/>
    <mergeCell ref="I34:J34"/>
    <mergeCell ref="K34:L34"/>
    <mergeCell ref="M34:N34"/>
    <mergeCell ref="O34:P34"/>
    <mergeCell ref="Q34:R34"/>
    <mergeCell ref="CB33:CD33"/>
    <mergeCell ref="CE33:CG33"/>
    <mergeCell ref="CH33:CJ33"/>
    <mergeCell ref="CK33:CM33"/>
    <mergeCell ref="CN33:CO33"/>
    <mergeCell ref="CP33:CR33"/>
    <mergeCell ref="BM33:BN33"/>
    <mergeCell ref="BO33:BQ33"/>
    <mergeCell ref="BR33:BS33"/>
    <mergeCell ref="BU33:BW33"/>
    <mergeCell ref="BX33:BY33"/>
    <mergeCell ref="BZ33:CA33"/>
    <mergeCell ref="AV33:AW33"/>
    <mergeCell ref="AX33:AY33"/>
    <mergeCell ref="BA33:BB33"/>
    <mergeCell ref="CU34:CV34"/>
    <mergeCell ref="CW34:CZ34"/>
    <mergeCell ref="B35:E35"/>
    <mergeCell ref="F35:H35"/>
    <mergeCell ref="I35:J35"/>
    <mergeCell ref="K35:L35"/>
    <mergeCell ref="M35:N35"/>
    <mergeCell ref="O35:P35"/>
    <mergeCell ref="Q35:R35"/>
    <mergeCell ref="CB34:CD34"/>
    <mergeCell ref="CE34:CG34"/>
    <mergeCell ref="CH34:CJ34"/>
    <mergeCell ref="CK34:CM34"/>
    <mergeCell ref="CN34:CO34"/>
    <mergeCell ref="CP34:CR34"/>
    <mergeCell ref="BM34:BN34"/>
    <mergeCell ref="BO34:BQ34"/>
    <mergeCell ref="BR34:BS34"/>
    <mergeCell ref="BU34:BW34"/>
    <mergeCell ref="BX34:BY34"/>
    <mergeCell ref="BZ34:CA34"/>
    <mergeCell ref="AV34:AW34"/>
    <mergeCell ref="AX34:AY34"/>
    <mergeCell ref="BA34:BB34"/>
    <mergeCell ref="BD34:BF34"/>
    <mergeCell ref="BG34:BH34"/>
    <mergeCell ref="BI34:BL34"/>
    <mergeCell ref="AG34:AH34"/>
    <mergeCell ref="AI34:AJ34"/>
    <mergeCell ref="AK34:AL34"/>
    <mergeCell ref="AM34:AN34"/>
    <mergeCell ref="AO34:AR34"/>
    <mergeCell ref="BA35:BB35"/>
    <mergeCell ref="BD35:BF35"/>
    <mergeCell ref="BG35:BH35"/>
    <mergeCell ref="BI35:BL35"/>
    <mergeCell ref="AG35:AH35"/>
    <mergeCell ref="AI35:AJ35"/>
    <mergeCell ref="AK35:AL35"/>
    <mergeCell ref="AM35:AN35"/>
    <mergeCell ref="AO35:AR35"/>
    <mergeCell ref="AS35:AU35"/>
    <mergeCell ref="S35:T35"/>
    <mergeCell ref="U35:W35"/>
    <mergeCell ref="X35:Z35"/>
    <mergeCell ref="AA35:AB35"/>
    <mergeCell ref="AC35:AD35"/>
    <mergeCell ref="AE35:AF35"/>
    <mergeCell ref="CS34:CT34"/>
    <mergeCell ref="AS34:AU34"/>
    <mergeCell ref="S34:T34"/>
    <mergeCell ref="U34:W34"/>
    <mergeCell ref="X34:Z34"/>
    <mergeCell ref="AA34:AB34"/>
    <mergeCell ref="AC34:AD34"/>
    <mergeCell ref="AE34:AF34"/>
    <mergeCell ref="BD36:BF36"/>
    <mergeCell ref="BG36:BH36"/>
    <mergeCell ref="BI36:BL36"/>
    <mergeCell ref="AG36:AH36"/>
    <mergeCell ref="AI36:AJ36"/>
    <mergeCell ref="AK36:AL36"/>
    <mergeCell ref="AM36:AN36"/>
    <mergeCell ref="AO36:AR36"/>
    <mergeCell ref="CS35:CT35"/>
    <mergeCell ref="CU35:CV35"/>
    <mergeCell ref="CW35:CZ35"/>
    <mergeCell ref="B36:E36"/>
    <mergeCell ref="F36:H36"/>
    <mergeCell ref="I36:J36"/>
    <mergeCell ref="K36:L36"/>
    <mergeCell ref="M36:N36"/>
    <mergeCell ref="O36:P36"/>
    <mergeCell ref="Q36:R36"/>
    <mergeCell ref="CB35:CD35"/>
    <mergeCell ref="CE35:CG35"/>
    <mergeCell ref="CH35:CJ35"/>
    <mergeCell ref="CK35:CM35"/>
    <mergeCell ref="CN35:CO35"/>
    <mergeCell ref="CP35:CR35"/>
    <mergeCell ref="BM35:BN35"/>
    <mergeCell ref="BO35:BQ35"/>
    <mergeCell ref="BR35:BS35"/>
    <mergeCell ref="BU35:BW35"/>
    <mergeCell ref="BX35:BY35"/>
    <mergeCell ref="BZ35:CA35"/>
    <mergeCell ref="AV35:AW35"/>
    <mergeCell ref="AX35:AY35"/>
    <mergeCell ref="CS36:CT36"/>
    <mergeCell ref="AS36:AU36"/>
    <mergeCell ref="S36:T36"/>
    <mergeCell ref="U36:W36"/>
    <mergeCell ref="X36:Z36"/>
    <mergeCell ref="AA36:AB36"/>
    <mergeCell ref="AC36:AD36"/>
    <mergeCell ref="AE36:AF36"/>
    <mergeCell ref="CU36:CV36"/>
    <mergeCell ref="CW36:CZ36"/>
    <mergeCell ref="B37:E37"/>
    <mergeCell ref="F37:H37"/>
    <mergeCell ref="I37:J37"/>
    <mergeCell ref="K37:L37"/>
    <mergeCell ref="M37:N37"/>
    <mergeCell ref="O37:P37"/>
    <mergeCell ref="Q37:R37"/>
    <mergeCell ref="CB36:CD36"/>
    <mergeCell ref="CE36:CG36"/>
    <mergeCell ref="CH36:CJ36"/>
    <mergeCell ref="CK36:CM36"/>
    <mergeCell ref="CN36:CO36"/>
    <mergeCell ref="CP36:CR36"/>
    <mergeCell ref="BM36:BN36"/>
    <mergeCell ref="BO36:BQ36"/>
    <mergeCell ref="BR36:BS36"/>
    <mergeCell ref="BU36:BW36"/>
    <mergeCell ref="BX36:BY36"/>
    <mergeCell ref="BZ36:CA36"/>
    <mergeCell ref="AV36:AW36"/>
    <mergeCell ref="AX36:AY36"/>
    <mergeCell ref="BA36:BB36"/>
    <mergeCell ref="CU37:CV37"/>
    <mergeCell ref="CW37:CZ37"/>
    <mergeCell ref="B38:E38"/>
    <mergeCell ref="F38:H38"/>
    <mergeCell ref="I38:J38"/>
    <mergeCell ref="K38:L38"/>
    <mergeCell ref="M38:N38"/>
    <mergeCell ref="O38:P38"/>
    <mergeCell ref="Q38:R38"/>
    <mergeCell ref="CB37:CD37"/>
    <mergeCell ref="CE37:CG37"/>
    <mergeCell ref="CH37:CJ37"/>
    <mergeCell ref="CK37:CM37"/>
    <mergeCell ref="CN37:CO37"/>
    <mergeCell ref="CP37:CR37"/>
    <mergeCell ref="BM37:BN37"/>
    <mergeCell ref="BO37:BQ37"/>
    <mergeCell ref="BR37:BS37"/>
    <mergeCell ref="BU37:BW37"/>
    <mergeCell ref="BX37:BY37"/>
    <mergeCell ref="BZ37:CA37"/>
    <mergeCell ref="AV37:AW37"/>
    <mergeCell ref="AX37:AY37"/>
    <mergeCell ref="BA37:BB37"/>
    <mergeCell ref="BD37:BF37"/>
    <mergeCell ref="BG37:BH37"/>
    <mergeCell ref="BI37:BL37"/>
    <mergeCell ref="AG37:AH37"/>
    <mergeCell ref="AI37:AJ37"/>
    <mergeCell ref="AK37:AL37"/>
    <mergeCell ref="AM37:AN37"/>
    <mergeCell ref="AO37:AR37"/>
    <mergeCell ref="BA38:BB38"/>
    <mergeCell ref="BD38:BF38"/>
    <mergeCell ref="BG38:BH38"/>
    <mergeCell ref="BI38:BL38"/>
    <mergeCell ref="AG38:AH38"/>
    <mergeCell ref="AI38:AJ38"/>
    <mergeCell ref="AK38:AL38"/>
    <mergeCell ref="AM38:AN38"/>
    <mergeCell ref="AO38:AR38"/>
    <mergeCell ref="AS38:AU38"/>
    <mergeCell ref="S38:T38"/>
    <mergeCell ref="U38:W38"/>
    <mergeCell ref="X38:Z38"/>
    <mergeCell ref="AA38:AB38"/>
    <mergeCell ref="AC38:AD38"/>
    <mergeCell ref="AE38:AF38"/>
    <mergeCell ref="CS37:CT37"/>
    <mergeCell ref="AS37:AU37"/>
    <mergeCell ref="S37:T37"/>
    <mergeCell ref="U37:W37"/>
    <mergeCell ref="X37:Z37"/>
    <mergeCell ref="AA37:AB37"/>
    <mergeCell ref="AC37:AD37"/>
    <mergeCell ref="AE37:AF37"/>
    <mergeCell ref="BD39:BF39"/>
    <mergeCell ref="BG39:BH39"/>
    <mergeCell ref="BI39:BL39"/>
    <mergeCell ref="AG39:AH39"/>
    <mergeCell ref="AI39:AJ39"/>
    <mergeCell ref="AK39:AL39"/>
    <mergeCell ref="AM39:AN39"/>
    <mergeCell ref="AO39:AR39"/>
    <mergeCell ref="CS38:CT38"/>
    <mergeCell ref="CU38:CV38"/>
    <mergeCell ref="CW38:CZ38"/>
    <mergeCell ref="B39:E39"/>
    <mergeCell ref="F39:H39"/>
    <mergeCell ref="I39:J39"/>
    <mergeCell ref="K39:L39"/>
    <mergeCell ref="M39:N39"/>
    <mergeCell ref="O39:P39"/>
    <mergeCell ref="Q39:R39"/>
    <mergeCell ref="CB38:CD38"/>
    <mergeCell ref="CE38:CG38"/>
    <mergeCell ref="CH38:CJ38"/>
    <mergeCell ref="CK38:CM38"/>
    <mergeCell ref="CN38:CO38"/>
    <mergeCell ref="CP38:CR38"/>
    <mergeCell ref="BM38:BN38"/>
    <mergeCell ref="BO38:BQ38"/>
    <mergeCell ref="BR38:BS38"/>
    <mergeCell ref="BU38:BW38"/>
    <mergeCell ref="BX38:BY38"/>
    <mergeCell ref="BZ38:CA38"/>
    <mergeCell ref="AV38:AW38"/>
    <mergeCell ref="AX38:AY38"/>
    <mergeCell ref="CS39:CT39"/>
    <mergeCell ref="AS39:AU39"/>
    <mergeCell ref="S39:T39"/>
    <mergeCell ref="U39:W39"/>
    <mergeCell ref="X39:Z39"/>
    <mergeCell ref="AA39:AB39"/>
    <mergeCell ref="AC39:AD39"/>
    <mergeCell ref="AE39:AF39"/>
    <mergeCell ref="CU39:CV39"/>
    <mergeCell ref="CW39:CZ39"/>
    <mergeCell ref="B40:E40"/>
    <mergeCell ref="F40:H40"/>
    <mergeCell ref="I40:J40"/>
    <mergeCell ref="K40:L40"/>
    <mergeCell ref="M40:N40"/>
    <mergeCell ref="O40:P40"/>
    <mergeCell ref="Q40:R40"/>
    <mergeCell ref="CB39:CD39"/>
    <mergeCell ref="CE39:CG39"/>
    <mergeCell ref="CH39:CJ39"/>
    <mergeCell ref="CK39:CM39"/>
    <mergeCell ref="CN39:CO39"/>
    <mergeCell ref="CP39:CR39"/>
    <mergeCell ref="BM39:BN39"/>
    <mergeCell ref="BO39:BQ39"/>
    <mergeCell ref="BR39:BS39"/>
    <mergeCell ref="BU39:BW39"/>
    <mergeCell ref="BX39:BY39"/>
    <mergeCell ref="BZ39:CA39"/>
    <mergeCell ref="AV39:AW39"/>
    <mergeCell ref="AX39:AY39"/>
    <mergeCell ref="BA39:BB39"/>
    <mergeCell ref="CU40:CV40"/>
    <mergeCell ref="CW40:CZ40"/>
    <mergeCell ref="B41:E41"/>
    <mergeCell ref="F41:H41"/>
    <mergeCell ref="I41:J41"/>
    <mergeCell ref="K41:L41"/>
    <mergeCell ref="M41:N41"/>
    <mergeCell ref="O41:P41"/>
    <mergeCell ref="Q41:R41"/>
    <mergeCell ref="CB40:CD40"/>
    <mergeCell ref="CE40:CG40"/>
    <mergeCell ref="CH40:CJ40"/>
    <mergeCell ref="CK40:CM40"/>
    <mergeCell ref="CN40:CO40"/>
    <mergeCell ref="CP40:CR40"/>
    <mergeCell ref="BM40:BN40"/>
    <mergeCell ref="BO40:BQ40"/>
    <mergeCell ref="BR40:BS40"/>
    <mergeCell ref="BU40:BW40"/>
    <mergeCell ref="BX40:BY40"/>
    <mergeCell ref="BZ40:CA40"/>
    <mergeCell ref="AV40:AW40"/>
    <mergeCell ref="AX40:AY40"/>
    <mergeCell ref="BA40:BB40"/>
    <mergeCell ref="BD40:BF40"/>
    <mergeCell ref="BG40:BH40"/>
    <mergeCell ref="BI40:BL40"/>
    <mergeCell ref="AG40:AH40"/>
    <mergeCell ref="AI40:AJ40"/>
    <mergeCell ref="AK40:AL40"/>
    <mergeCell ref="AM40:AN40"/>
    <mergeCell ref="AO40:AR40"/>
    <mergeCell ref="BA41:BB41"/>
    <mergeCell ref="BD41:BF41"/>
    <mergeCell ref="BG41:BH41"/>
    <mergeCell ref="BI41:BL41"/>
    <mergeCell ref="AG41:AH41"/>
    <mergeCell ref="AI41:AJ41"/>
    <mergeCell ref="AK41:AL41"/>
    <mergeCell ref="AM41:AN41"/>
    <mergeCell ref="AO41:AR41"/>
    <mergeCell ref="AS41:AU41"/>
    <mergeCell ref="S41:T41"/>
    <mergeCell ref="U41:W41"/>
    <mergeCell ref="X41:Z41"/>
    <mergeCell ref="AA41:AB41"/>
    <mergeCell ref="AC41:AD41"/>
    <mergeCell ref="AE41:AF41"/>
    <mergeCell ref="CS40:CT40"/>
    <mergeCell ref="AS40:AU40"/>
    <mergeCell ref="S40:T40"/>
    <mergeCell ref="U40:W40"/>
    <mergeCell ref="X40:Z40"/>
    <mergeCell ref="AA40:AB40"/>
    <mergeCell ref="AC40:AD40"/>
    <mergeCell ref="AE40:AF40"/>
    <mergeCell ref="BD42:BF42"/>
    <mergeCell ref="BG42:BH42"/>
    <mergeCell ref="BI42:BL42"/>
    <mergeCell ref="AG42:AH42"/>
    <mergeCell ref="AI42:AJ42"/>
    <mergeCell ref="AK42:AL42"/>
    <mergeCell ref="AM42:AN42"/>
    <mergeCell ref="AO42:AR42"/>
    <mergeCell ref="CS41:CT41"/>
    <mergeCell ref="CU41:CV41"/>
    <mergeCell ref="CW41:CZ41"/>
    <mergeCell ref="B42:E42"/>
    <mergeCell ref="F42:H42"/>
    <mergeCell ref="I42:J42"/>
    <mergeCell ref="K42:L42"/>
    <mergeCell ref="M42:N42"/>
    <mergeCell ref="O42:P42"/>
    <mergeCell ref="Q42:R42"/>
    <mergeCell ref="CB41:CD41"/>
    <mergeCell ref="CE41:CG41"/>
    <mergeCell ref="CH41:CJ41"/>
    <mergeCell ref="CK41:CM41"/>
    <mergeCell ref="CN41:CO41"/>
    <mergeCell ref="CP41:CR41"/>
    <mergeCell ref="BM41:BN41"/>
    <mergeCell ref="BO41:BQ41"/>
    <mergeCell ref="BR41:BS41"/>
    <mergeCell ref="BU41:BW41"/>
    <mergeCell ref="BX41:BY41"/>
    <mergeCell ref="BZ41:CA41"/>
    <mergeCell ref="AV41:AW41"/>
    <mergeCell ref="AX41:AY41"/>
    <mergeCell ref="CS42:CT42"/>
    <mergeCell ref="AS42:AU42"/>
    <mergeCell ref="S42:T42"/>
    <mergeCell ref="U42:W42"/>
    <mergeCell ref="X42:Z42"/>
    <mergeCell ref="AA42:AB42"/>
    <mergeCell ref="AC42:AD42"/>
    <mergeCell ref="AE42:AF42"/>
    <mergeCell ref="CU42:CV42"/>
    <mergeCell ref="CW42:CZ42"/>
    <mergeCell ref="B43:E43"/>
    <mergeCell ref="F43:H43"/>
    <mergeCell ref="I43:J43"/>
    <mergeCell ref="K43:L43"/>
    <mergeCell ref="M43:N43"/>
    <mergeCell ref="O43:P43"/>
    <mergeCell ref="Q43:R43"/>
    <mergeCell ref="CB42:CD42"/>
    <mergeCell ref="CE42:CG42"/>
    <mergeCell ref="CH42:CJ42"/>
    <mergeCell ref="CK42:CM42"/>
    <mergeCell ref="CN42:CO42"/>
    <mergeCell ref="CP42:CR42"/>
    <mergeCell ref="BM42:BN42"/>
    <mergeCell ref="BO42:BQ42"/>
    <mergeCell ref="BR42:BS42"/>
    <mergeCell ref="BU42:BW42"/>
    <mergeCell ref="BX42:BY42"/>
    <mergeCell ref="BZ42:CA42"/>
    <mergeCell ref="AV42:AW42"/>
    <mergeCell ref="AX42:AY42"/>
    <mergeCell ref="BA42:BB42"/>
    <mergeCell ref="CU43:CV43"/>
    <mergeCell ref="CW43:CZ43"/>
    <mergeCell ref="B44:E44"/>
    <mergeCell ref="F44:H44"/>
    <mergeCell ref="I44:J44"/>
    <mergeCell ref="K44:L44"/>
    <mergeCell ref="M44:N44"/>
    <mergeCell ref="O44:P44"/>
    <mergeCell ref="Q44:R44"/>
    <mergeCell ref="CB43:CD43"/>
    <mergeCell ref="CE43:CG43"/>
    <mergeCell ref="CH43:CJ43"/>
    <mergeCell ref="CK43:CM43"/>
    <mergeCell ref="CN43:CO43"/>
    <mergeCell ref="CP43:CR43"/>
    <mergeCell ref="BM43:BN43"/>
    <mergeCell ref="BO43:BQ43"/>
    <mergeCell ref="BR43:BS43"/>
    <mergeCell ref="BU43:BW43"/>
    <mergeCell ref="BX43:BY43"/>
    <mergeCell ref="BZ43:CA43"/>
    <mergeCell ref="AV43:AW43"/>
    <mergeCell ref="AX43:AY43"/>
    <mergeCell ref="BA43:BB43"/>
    <mergeCell ref="BD43:BF43"/>
    <mergeCell ref="BG43:BH43"/>
    <mergeCell ref="BI43:BL43"/>
    <mergeCell ref="AG43:AH43"/>
    <mergeCell ref="AI43:AJ43"/>
    <mergeCell ref="AK43:AL43"/>
    <mergeCell ref="AM43:AN43"/>
    <mergeCell ref="AO43:AR43"/>
    <mergeCell ref="BA44:BB44"/>
    <mergeCell ref="BD44:BF44"/>
    <mergeCell ref="BG44:BH44"/>
    <mergeCell ref="BI44:BL44"/>
    <mergeCell ref="AG44:AH44"/>
    <mergeCell ref="AI44:AJ44"/>
    <mergeCell ref="AK44:AL44"/>
    <mergeCell ref="AM44:AN44"/>
    <mergeCell ref="AO44:AR44"/>
    <mergeCell ref="AS44:AU44"/>
    <mergeCell ref="S44:T44"/>
    <mergeCell ref="U44:W44"/>
    <mergeCell ref="X44:Z44"/>
    <mergeCell ref="AA44:AB44"/>
    <mergeCell ref="AC44:AD44"/>
    <mergeCell ref="AE44:AF44"/>
    <mergeCell ref="CS43:CT43"/>
    <mergeCell ref="AS43:AU43"/>
    <mergeCell ref="S43:T43"/>
    <mergeCell ref="U43:W43"/>
    <mergeCell ref="X43:Z43"/>
    <mergeCell ref="AA43:AB43"/>
    <mergeCell ref="AC43:AD43"/>
    <mergeCell ref="AE43:AF43"/>
    <mergeCell ref="BD45:BF45"/>
    <mergeCell ref="BG45:BH45"/>
    <mergeCell ref="BI45:BL45"/>
    <mergeCell ref="AG45:AH45"/>
    <mergeCell ref="AI45:AJ45"/>
    <mergeCell ref="AK45:AL45"/>
    <mergeCell ref="AM45:AN45"/>
    <mergeCell ref="AO45:AR45"/>
    <mergeCell ref="CS44:CT44"/>
    <mergeCell ref="CU44:CV44"/>
    <mergeCell ref="CW44:CZ44"/>
    <mergeCell ref="B45:E45"/>
    <mergeCell ref="F45:H45"/>
    <mergeCell ref="I45:J45"/>
    <mergeCell ref="K45:L45"/>
    <mergeCell ref="M45:N45"/>
    <mergeCell ref="O45:P45"/>
    <mergeCell ref="Q45:R45"/>
    <mergeCell ref="CB44:CD44"/>
    <mergeCell ref="CE44:CG44"/>
    <mergeCell ref="CH44:CJ44"/>
    <mergeCell ref="CK44:CM44"/>
    <mergeCell ref="CN44:CO44"/>
    <mergeCell ref="CP44:CR44"/>
    <mergeCell ref="BM44:BN44"/>
    <mergeCell ref="BO44:BQ44"/>
    <mergeCell ref="BR44:BS44"/>
    <mergeCell ref="BU44:BW44"/>
    <mergeCell ref="BX44:BY44"/>
    <mergeCell ref="BZ44:CA44"/>
    <mergeCell ref="AV44:AW44"/>
    <mergeCell ref="AX44:AY44"/>
    <mergeCell ref="CS45:CT45"/>
    <mergeCell ref="AS45:AU45"/>
    <mergeCell ref="S45:T45"/>
    <mergeCell ref="U45:W45"/>
    <mergeCell ref="X45:Z45"/>
    <mergeCell ref="AA45:AB45"/>
    <mergeCell ref="AC45:AD45"/>
    <mergeCell ref="AE45:AF45"/>
    <mergeCell ref="CU45:CV45"/>
    <mergeCell ref="CW45:CZ45"/>
    <mergeCell ref="B46:E46"/>
    <mergeCell ref="F46:H46"/>
    <mergeCell ref="I46:J46"/>
    <mergeCell ref="K46:L46"/>
    <mergeCell ref="M46:N46"/>
    <mergeCell ref="O46:P46"/>
    <mergeCell ref="Q46:R46"/>
    <mergeCell ref="CB45:CD45"/>
    <mergeCell ref="CE45:CG45"/>
    <mergeCell ref="CH45:CJ45"/>
    <mergeCell ref="CK45:CM45"/>
    <mergeCell ref="CN45:CO45"/>
    <mergeCell ref="CP45:CR45"/>
    <mergeCell ref="BM45:BN45"/>
    <mergeCell ref="BO45:BQ45"/>
    <mergeCell ref="BR45:BS45"/>
    <mergeCell ref="BU45:BW45"/>
    <mergeCell ref="BX45:BY45"/>
    <mergeCell ref="BZ45:CA45"/>
    <mergeCell ref="AV45:AW45"/>
    <mergeCell ref="AX45:AY45"/>
    <mergeCell ref="BA45:BB45"/>
    <mergeCell ref="CU46:CV46"/>
    <mergeCell ref="CW46:CZ46"/>
    <mergeCell ref="B47:E47"/>
    <mergeCell ref="F47:H47"/>
    <mergeCell ref="I47:J47"/>
    <mergeCell ref="K47:L47"/>
    <mergeCell ref="M47:N47"/>
    <mergeCell ref="O47:P47"/>
    <mergeCell ref="Q47:R47"/>
    <mergeCell ref="CB46:CD46"/>
    <mergeCell ref="CE46:CG46"/>
    <mergeCell ref="CH46:CJ46"/>
    <mergeCell ref="CK46:CM46"/>
    <mergeCell ref="CN46:CO46"/>
    <mergeCell ref="CP46:CR46"/>
    <mergeCell ref="BM46:BN46"/>
    <mergeCell ref="BO46:BQ46"/>
    <mergeCell ref="BR46:BS46"/>
    <mergeCell ref="BU46:BW46"/>
    <mergeCell ref="BX46:BY46"/>
    <mergeCell ref="BZ46:CA46"/>
    <mergeCell ref="AV46:AW46"/>
    <mergeCell ref="AX46:AY46"/>
    <mergeCell ref="BA46:BB46"/>
    <mergeCell ref="BD46:BF46"/>
    <mergeCell ref="BG46:BH46"/>
    <mergeCell ref="BI46:BL46"/>
    <mergeCell ref="AG46:AH46"/>
    <mergeCell ref="AI46:AJ46"/>
    <mergeCell ref="AK46:AL46"/>
    <mergeCell ref="AM46:AN46"/>
    <mergeCell ref="AO46:AR46"/>
    <mergeCell ref="BA47:BB47"/>
    <mergeCell ref="BD47:BF47"/>
    <mergeCell ref="BG47:BH47"/>
    <mergeCell ref="BI47:BL47"/>
    <mergeCell ref="AG47:AH47"/>
    <mergeCell ref="AI47:AJ47"/>
    <mergeCell ref="AK47:AL47"/>
    <mergeCell ref="AM47:AN47"/>
    <mergeCell ref="AO47:AR47"/>
    <mergeCell ref="AS47:AU47"/>
    <mergeCell ref="S47:T47"/>
    <mergeCell ref="U47:W47"/>
    <mergeCell ref="X47:Z47"/>
    <mergeCell ref="AA47:AB47"/>
    <mergeCell ref="AC47:AD47"/>
    <mergeCell ref="AE47:AF47"/>
    <mergeCell ref="CS46:CT46"/>
    <mergeCell ref="AS46:AU46"/>
    <mergeCell ref="S46:T46"/>
    <mergeCell ref="U46:W46"/>
    <mergeCell ref="X46:Z46"/>
    <mergeCell ref="AA46:AB46"/>
    <mergeCell ref="AC46:AD46"/>
    <mergeCell ref="AE46:AF46"/>
    <mergeCell ref="BD48:BF48"/>
    <mergeCell ref="BG48:BH48"/>
    <mergeCell ref="BI48:BL48"/>
    <mergeCell ref="AG48:AH48"/>
    <mergeCell ref="AI48:AJ48"/>
    <mergeCell ref="AK48:AL48"/>
    <mergeCell ref="AM48:AN48"/>
    <mergeCell ref="AO48:AR48"/>
    <mergeCell ref="CS47:CT47"/>
    <mergeCell ref="CU47:CV47"/>
    <mergeCell ref="CW47:CZ47"/>
    <mergeCell ref="B48:E48"/>
    <mergeCell ref="F48:H48"/>
    <mergeCell ref="I48:J48"/>
    <mergeCell ref="K48:L48"/>
    <mergeCell ref="M48:N48"/>
    <mergeCell ref="O48:P48"/>
    <mergeCell ref="Q48:R48"/>
    <mergeCell ref="CB47:CD47"/>
    <mergeCell ref="CE47:CG47"/>
    <mergeCell ref="CH47:CJ47"/>
    <mergeCell ref="CK47:CM47"/>
    <mergeCell ref="CN47:CO47"/>
    <mergeCell ref="CP47:CR47"/>
    <mergeCell ref="BM47:BN47"/>
    <mergeCell ref="BO47:BQ47"/>
    <mergeCell ref="BR47:BS47"/>
    <mergeCell ref="BU47:BW47"/>
    <mergeCell ref="BX47:BY47"/>
    <mergeCell ref="BZ47:CA47"/>
    <mergeCell ref="AV47:AW47"/>
    <mergeCell ref="AX47:AY47"/>
    <mergeCell ref="CS48:CT48"/>
    <mergeCell ref="AS48:AU48"/>
    <mergeCell ref="S48:T48"/>
    <mergeCell ref="U48:W48"/>
    <mergeCell ref="X48:Z48"/>
    <mergeCell ref="AA48:AB48"/>
    <mergeCell ref="AC48:AD48"/>
    <mergeCell ref="AE48:AF48"/>
    <mergeCell ref="CU48:CV48"/>
    <mergeCell ref="CW48:CZ48"/>
    <mergeCell ref="B49:E49"/>
    <mergeCell ref="F49:H49"/>
    <mergeCell ref="I49:J49"/>
    <mergeCell ref="K49:L49"/>
    <mergeCell ref="M49:N49"/>
    <mergeCell ref="O49:P49"/>
    <mergeCell ref="Q49:R49"/>
    <mergeCell ref="CB48:CD48"/>
    <mergeCell ref="CE48:CG48"/>
    <mergeCell ref="CH48:CJ48"/>
    <mergeCell ref="CK48:CM48"/>
    <mergeCell ref="CN48:CO48"/>
    <mergeCell ref="CP48:CR48"/>
    <mergeCell ref="BM48:BN48"/>
    <mergeCell ref="BO48:BQ48"/>
    <mergeCell ref="BR48:BS48"/>
    <mergeCell ref="BU48:BW48"/>
    <mergeCell ref="BX48:BY48"/>
    <mergeCell ref="BZ48:CA48"/>
    <mergeCell ref="AV48:AW48"/>
    <mergeCell ref="AX48:AY48"/>
    <mergeCell ref="BA48:BB48"/>
    <mergeCell ref="BU49:BW49"/>
    <mergeCell ref="BX49:BY49"/>
    <mergeCell ref="BZ49:CA49"/>
    <mergeCell ref="AV49:AW49"/>
    <mergeCell ref="AX49:AY49"/>
    <mergeCell ref="BA49:BB49"/>
    <mergeCell ref="BD49:BF49"/>
    <mergeCell ref="BG49:BH49"/>
    <mergeCell ref="BI49:BL49"/>
    <mergeCell ref="AG49:AH49"/>
    <mergeCell ref="AI49:AJ49"/>
    <mergeCell ref="AK49:AL49"/>
    <mergeCell ref="AM49:AN49"/>
    <mergeCell ref="AO49:AR49"/>
    <mergeCell ref="AS49:AU49"/>
    <mergeCell ref="S49:T49"/>
    <mergeCell ref="U49:W49"/>
    <mergeCell ref="X49:Z49"/>
    <mergeCell ref="AA49:AB49"/>
    <mergeCell ref="AC49:AD49"/>
    <mergeCell ref="AE49:AF49"/>
    <mergeCell ref="BI50:BL50"/>
    <mergeCell ref="AG50:AH50"/>
    <mergeCell ref="AI50:AJ50"/>
    <mergeCell ref="AK50:AL50"/>
    <mergeCell ref="AM50:AN50"/>
    <mergeCell ref="AO50:AR50"/>
    <mergeCell ref="AS50:AU50"/>
    <mergeCell ref="S50:T50"/>
    <mergeCell ref="U50:W50"/>
    <mergeCell ref="X50:Z50"/>
    <mergeCell ref="AA50:AB50"/>
    <mergeCell ref="AC50:AD50"/>
    <mergeCell ref="AE50:AF50"/>
    <mergeCell ref="CS49:CT49"/>
    <mergeCell ref="CU49:CV49"/>
    <mergeCell ref="CW49:CZ49"/>
    <mergeCell ref="B50:E50"/>
    <mergeCell ref="F50:H50"/>
    <mergeCell ref="I50:J50"/>
    <mergeCell ref="K50:L50"/>
    <mergeCell ref="M50:N50"/>
    <mergeCell ref="O50:P50"/>
    <mergeCell ref="Q50:R50"/>
    <mergeCell ref="CB49:CD49"/>
    <mergeCell ref="CE49:CG49"/>
    <mergeCell ref="CH49:CJ49"/>
    <mergeCell ref="CK49:CM49"/>
    <mergeCell ref="CN49:CO49"/>
    <mergeCell ref="CP49:CR49"/>
    <mergeCell ref="BM49:BN49"/>
    <mergeCell ref="BO49:BQ49"/>
    <mergeCell ref="BR49:BS49"/>
    <mergeCell ref="U51:W51"/>
    <mergeCell ref="X51:Z51"/>
    <mergeCell ref="AA51:AB51"/>
    <mergeCell ref="AC51:AD51"/>
    <mergeCell ref="AE51:AF51"/>
    <mergeCell ref="B51:E51"/>
    <mergeCell ref="F51:H51"/>
    <mergeCell ref="I51:J51"/>
    <mergeCell ref="K51:L51"/>
    <mergeCell ref="M51:N51"/>
    <mergeCell ref="O51:P51"/>
    <mergeCell ref="Q51:R51"/>
    <mergeCell ref="CS50:CT50"/>
    <mergeCell ref="CU50:CV50"/>
    <mergeCell ref="CW50:CZ50"/>
    <mergeCell ref="CB50:CD50"/>
    <mergeCell ref="CE50:CG50"/>
    <mergeCell ref="CH50:CJ50"/>
    <mergeCell ref="CK50:CM50"/>
    <mergeCell ref="CN50:CO50"/>
    <mergeCell ref="CP50:CR50"/>
    <mergeCell ref="BM50:BN50"/>
    <mergeCell ref="BO50:BQ50"/>
    <mergeCell ref="BR50:BS50"/>
    <mergeCell ref="BU50:BW50"/>
    <mergeCell ref="BX50:BY50"/>
    <mergeCell ref="BZ50:CA50"/>
    <mergeCell ref="AV50:AW50"/>
    <mergeCell ref="AX50:AY50"/>
    <mergeCell ref="BA50:BB50"/>
    <mergeCell ref="BD50:BF50"/>
    <mergeCell ref="BG50:BH50"/>
    <mergeCell ref="A1:DB1"/>
    <mergeCell ref="A2:DB2"/>
    <mergeCell ref="A3:DB3"/>
    <mergeCell ref="A4:DB4"/>
    <mergeCell ref="CS51:CT51"/>
    <mergeCell ref="CU51:CV51"/>
    <mergeCell ref="CW51:CZ51"/>
    <mergeCell ref="CB51:CD51"/>
    <mergeCell ref="CE51:CG51"/>
    <mergeCell ref="CH51:CJ51"/>
    <mergeCell ref="CK51:CM51"/>
    <mergeCell ref="CN51:CO51"/>
    <mergeCell ref="CP51:CR51"/>
    <mergeCell ref="BM51:BN51"/>
    <mergeCell ref="BO51:BQ51"/>
    <mergeCell ref="BR51:BS51"/>
    <mergeCell ref="BU51:BW51"/>
    <mergeCell ref="BX51:BY51"/>
    <mergeCell ref="BZ51:CA51"/>
    <mergeCell ref="AV51:AW51"/>
    <mergeCell ref="AX51:AY51"/>
    <mergeCell ref="BA51:BB51"/>
    <mergeCell ref="BD51:BF51"/>
    <mergeCell ref="BG51:BH51"/>
    <mergeCell ref="BI51:BL51"/>
    <mergeCell ref="AG51:AH51"/>
    <mergeCell ref="AI51:AJ51"/>
    <mergeCell ref="AK51:AL51"/>
    <mergeCell ref="AM51:AN51"/>
    <mergeCell ref="AO51:AR51"/>
    <mergeCell ref="AS51:AU51"/>
    <mergeCell ref="S51:T51"/>
  </mergeCells>
  <pageMargins left="0.7" right="0.7" top="0.75" bottom="0.75" header="0.3" footer="0.3"/>
  <pageSetup paperSize="9" scale="5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opLeftCell="A32" workbookViewId="0">
      <selection activeCell="A3" sqref="A3:XFD3"/>
    </sheetView>
  </sheetViews>
  <sheetFormatPr defaultRowHeight="14.25"/>
  <cols>
    <col min="1" max="1" width="5" style="470" bestFit="1" customWidth="1"/>
    <col min="2" max="2" width="110.6640625" style="469" bestFit="1" customWidth="1"/>
    <col min="3" max="16384" width="9.33203125" style="469"/>
  </cols>
  <sheetData>
    <row r="1" spans="1:2" s="463" customFormat="1" ht="23.25">
      <c r="A1" s="921" t="s">
        <v>560</v>
      </c>
      <c r="B1" s="921"/>
    </row>
    <row r="2" spans="1:2" s="464" customFormat="1" ht="23.25">
      <c r="A2" s="922" t="s">
        <v>725</v>
      </c>
      <c r="B2" s="922"/>
    </row>
    <row r="3" spans="1:2" s="463" customFormat="1" ht="8.25" hidden="1" customHeight="1">
      <c r="A3" s="923"/>
      <c r="B3" s="923"/>
    </row>
    <row r="4" spans="1:2" s="463" customFormat="1" ht="23.25">
      <c r="A4" s="924" t="s">
        <v>790</v>
      </c>
      <c r="B4" s="924"/>
    </row>
    <row r="5" spans="1:2" s="465" customFormat="1" ht="30.75" customHeight="1">
      <c r="A5" s="925" t="s">
        <v>0</v>
      </c>
      <c r="B5" s="925" t="s">
        <v>551</v>
      </c>
    </row>
    <row r="6" spans="1:2" s="466" customFormat="1" ht="19.5" customHeight="1">
      <c r="A6" s="925"/>
      <c r="B6" s="925"/>
    </row>
    <row r="7" spans="1:2" s="478" customFormat="1" ht="81.75" customHeight="1">
      <c r="A7" s="477"/>
      <c r="B7" s="467" t="s">
        <v>791</v>
      </c>
    </row>
    <row r="8" spans="1:2" s="464" customFormat="1" ht="28.5" customHeight="1">
      <c r="A8" s="474">
        <v>1</v>
      </c>
      <c r="B8" s="475" t="s">
        <v>792</v>
      </c>
    </row>
    <row r="9" spans="1:2" s="464" customFormat="1" ht="18">
      <c r="A9" s="474">
        <v>2</v>
      </c>
      <c r="B9" s="475" t="s">
        <v>793</v>
      </c>
    </row>
    <row r="10" spans="1:2" s="464" customFormat="1" ht="18">
      <c r="A10" s="474">
        <v>3</v>
      </c>
      <c r="B10" s="475" t="s">
        <v>794</v>
      </c>
    </row>
    <row r="11" spans="1:2" s="464" customFormat="1" ht="18">
      <c r="A11" s="474">
        <v>4</v>
      </c>
      <c r="B11" s="475" t="s">
        <v>795</v>
      </c>
    </row>
    <row r="12" spans="1:2" s="464" customFormat="1" ht="18">
      <c r="A12" s="474">
        <v>5</v>
      </c>
      <c r="B12" s="475" t="s">
        <v>796</v>
      </c>
    </row>
    <row r="13" spans="1:2" s="464" customFormat="1" ht="18">
      <c r="A13" s="474">
        <v>6</v>
      </c>
      <c r="B13" s="475" t="s">
        <v>797</v>
      </c>
    </row>
    <row r="14" spans="1:2" s="464" customFormat="1" ht="18">
      <c r="A14" s="474">
        <v>7</v>
      </c>
      <c r="B14" s="475" t="s">
        <v>798</v>
      </c>
    </row>
    <row r="15" spans="1:2" s="464" customFormat="1" ht="18">
      <c r="A15" s="474">
        <v>8</v>
      </c>
      <c r="B15" s="475" t="s">
        <v>799</v>
      </c>
    </row>
    <row r="16" spans="1:2" s="464" customFormat="1" ht="18">
      <c r="A16" s="474">
        <v>9</v>
      </c>
      <c r="B16" s="475" t="s">
        <v>800</v>
      </c>
    </row>
    <row r="17" spans="1:2" s="464" customFormat="1" ht="18">
      <c r="A17" s="474">
        <v>10</v>
      </c>
      <c r="B17" s="475" t="s">
        <v>801</v>
      </c>
    </row>
    <row r="18" spans="1:2" s="464" customFormat="1" ht="18">
      <c r="A18" s="474"/>
      <c r="B18" s="471" t="s">
        <v>802</v>
      </c>
    </row>
    <row r="19" spans="1:2" s="464" customFormat="1" ht="18">
      <c r="A19" s="474">
        <v>11</v>
      </c>
      <c r="B19" s="475" t="s">
        <v>803</v>
      </c>
    </row>
    <row r="20" spans="1:2" s="464" customFormat="1" ht="18">
      <c r="A20" s="474">
        <v>12</v>
      </c>
      <c r="B20" s="475" t="s">
        <v>804</v>
      </c>
    </row>
    <row r="21" spans="1:2" s="464" customFormat="1" ht="18">
      <c r="A21" s="474">
        <v>13</v>
      </c>
      <c r="B21" s="475" t="s">
        <v>805</v>
      </c>
    </row>
    <row r="22" spans="1:2" s="464" customFormat="1" ht="18">
      <c r="A22" s="474">
        <v>14</v>
      </c>
      <c r="B22" s="475" t="s">
        <v>806</v>
      </c>
    </row>
    <row r="23" spans="1:2" s="468" customFormat="1" ht="18">
      <c r="A23" s="474">
        <v>15</v>
      </c>
      <c r="B23" s="475" t="s">
        <v>807</v>
      </c>
    </row>
    <row r="24" spans="1:2" s="464" customFormat="1" ht="18">
      <c r="A24" s="474">
        <v>16</v>
      </c>
      <c r="B24" s="475" t="s">
        <v>808</v>
      </c>
    </row>
    <row r="25" spans="1:2" s="464" customFormat="1" ht="18">
      <c r="A25" s="474">
        <v>17</v>
      </c>
      <c r="B25" s="475" t="s">
        <v>809</v>
      </c>
    </row>
    <row r="26" spans="1:2" ht="18">
      <c r="A26" s="474">
        <v>18</v>
      </c>
      <c r="B26" s="475" t="s">
        <v>810</v>
      </c>
    </row>
    <row r="27" spans="1:2" ht="18">
      <c r="A27" s="474">
        <v>19</v>
      </c>
      <c r="B27" s="475" t="s">
        <v>811</v>
      </c>
    </row>
    <row r="28" spans="1:2" ht="18">
      <c r="A28" s="474">
        <v>20</v>
      </c>
      <c r="B28" s="475" t="s">
        <v>812</v>
      </c>
    </row>
    <row r="29" spans="1:2" ht="18">
      <c r="A29" s="476"/>
      <c r="B29" s="472" t="s">
        <v>813</v>
      </c>
    </row>
    <row r="30" spans="1:2" ht="18">
      <c r="A30" s="471">
        <v>21</v>
      </c>
      <c r="B30" s="475" t="s">
        <v>814</v>
      </c>
    </row>
    <row r="31" spans="1:2" ht="18">
      <c r="A31" s="471">
        <v>22</v>
      </c>
      <c r="B31" s="475" t="s">
        <v>815</v>
      </c>
    </row>
    <row r="32" spans="1:2" ht="18">
      <c r="A32" s="471">
        <v>23</v>
      </c>
      <c r="B32" s="475" t="s">
        <v>816</v>
      </c>
    </row>
    <row r="33" spans="1:2" ht="18">
      <c r="A33" s="471">
        <v>24</v>
      </c>
      <c r="B33" s="475" t="s">
        <v>817</v>
      </c>
    </row>
    <row r="34" spans="1:2" ht="18">
      <c r="A34" s="471">
        <v>25</v>
      </c>
      <c r="B34" s="475" t="s">
        <v>818</v>
      </c>
    </row>
    <row r="35" spans="1:2" ht="18">
      <c r="A35" s="471">
        <v>26</v>
      </c>
      <c r="B35" s="475" t="s">
        <v>819</v>
      </c>
    </row>
    <row r="36" spans="1:2" ht="18">
      <c r="A36" s="471">
        <v>27</v>
      </c>
      <c r="B36" s="475" t="s">
        <v>820</v>
      </c>
    </row>
    <row r="37" spans="1:2" ht="18">
      <c r="A37" s="471">
        <v>28</v>
      </c>
      <c r="B37" s="475" t="s">
        <v>821</v>
      </c>
    </row>
    <row r="38" spans="1:2" ht="18">
      <c r="A38" s="471">
        <v>29</v>
      </c>
      <c r="B38" s="475" t="s">
        <v>822</v>
      </c>
    </row>
    <row r="39" spans="1:2" ht="18">
      <c r="A39" s="471">
        <v>30</v>
      </c>
      <c r="B39" s="475" t="s">
        <v>823</v>
      </c>
    </row>
    <row r="40" spans="1:2" ht="18">
      <c r="A40" s="471">
        <v>31</v>
      </c>
      <c r="B40" s="475" t="s">
        <v>824</v>
      </c>
    </row>
    <row r="41" spans="1:2" ht="18">
      <c r="A41" s="471">
        <v>32</v>
      </c>
      <c r="B41" s="475" t="s">
        <v>825</v>
      </c>
    </row>
    <row r="42" spans="1:2" ht="18">
      <c r="A42" s="471">
        <v>33</v>
      </c>
      <c r="B42" s="475" t="s">
        <v>826</v>
      </c>
    </row>
    <row r="43" spans="1:2" ht="18">
      <c r="A43" s="471">
        <v>34</v>
      </c>
      <c r="B43" s="475" t="s">
        <v>827</v>
      </c>
    </row>
    <row r="44" spans="1:2" ht="18">
      <c r="A44" s="471">
        <v>35</v>
      </c>
      <c r="B44" s="475" t="s">
        <v>828</v>
      </c>
    </row>
    <row r="45" spans="1:2" ht="18">
      <c r="A45" s="479"/>
      <c r="B45" s="473"/>
    </row>
    <row r="46" spans="1:2" ht="34.5" customHeight="1">
      <c r="A46" s="480"/>
      <c r="B46" s="651"/>
    </row>
    <row r="48" spans="1:2">
      <c r="B48" s="469">
        <f>COUNTA(A8:A44)</f>
        <v>35</v>
      </c>
    </row>
  </sheetData>
  <mergeCells count="6">
    <mergeCell ref="A1:B1"/>
    <mergeCell ref="A2:B2"/>
    <mergeCell ref="A3:B3"/>
    <mergeCell ref="A4:B4"/>
    <mergeCell ref="A5:A6"/>
    <mergeCell ref="B5:B6"/>
  </mergeCells>
  <printOptions horizontalCentered="1"/>
  <pageMargins left="0.3" right="0.3" top="0.5" bottom="0.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4"/>
  <sheetViews>
    <sheetView view="pageBreakPreview" zoomScale="60" workbookViewId="0">
      <selection activeCell="CY6" sqref="CY6:CY7"/>
    </sheetView>
  </sheetViews>
  <sheetFormatPr defaultRowHeight="43.5" customHeight="1"/>
  <cols>
    <col min="1" max="1" width="9.33203125" style="13"/>
    <col min="2" max="3" width="46" style="35" customWidth="1"/>
    <col min="4" max="4" width="106" style="35" customWidth="1"/>
    <col min="5" max="80" width="0" style="13" hidden="1" customWidth="1"/>
    <col min="81" max="81" width="16.6640625" style="13" hidden="1" customWidth="1"/>
    <col min="82" max="90" width="9.33203125" style="13"/>
    <col min="91" max="102" width="0" style="13" hidden="1" customWidth="1"/>
    <col min="103" max="103" width="60" style="13" customWidth="1"/>
    <col min="104" max="16384" width="9.33203125" style="13"/>
  </cols>
  <sheetData>
    <row r="1" spans="1:106" s="72" customFormat="1" ht="43.5" customHeight="1">
      <c r="A1" s="802" t="s">
        <v>409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802"/>
      <c r="AD1" s="802"/>
      <c r="AE1" s="802"/>
      <c r="AF1" s="802"/>
      <c r="AG1" s="802"/>
      <c r="AH1" s="802"/>
      <c r="AI1" s="802"/>
      <c r="AJ1" s="802"/>
      <c r="AK1" s="802"/>
      <c r="AL1" s="802"/>
      <c r="AM1" s="802"/>
      <c r="AN1" s="802"/>
      <c r="AO1" s="802"/>
      <c r="AP1" s="802"/>
      <c r="AQ1" s="802"/>
      <c r="AR1" s="802"/>
      <c r="AS1" s="802"/>
      <c r="AT1" s="802"/>
      <c r="AU1" s="802"/>
      <c r="AV1" s="802"/>
      <c r="AW1" s="802"/>
      <c r="AX1" s="802"/>
      <c r="AY1" s="802"/>
      <c r="AZ1" s="802"/>
      <c r="BA1" s="802"/>
      <c r="BB1" s="802"/>
      <c r="BC1" s="802"/>
      <c r="BD1" s="802"/>
      <c r="BE1" s="802"/>
      <c r="BF1" s="802"/>
      <c r="BG1" s="802"/>
      <c r="BH1" s="802"/>
      <c r="BI1" s="802"/>
      <c r="BJ1" s="802"/>
      <c r="BK1" s="802"/>
      <c r="BL1" s="802"/>
      <c r="BM1" s="802"/>
      <c r="BN1" s="802"/>
      <c r="BO1" s="802"/>
      <c r="BP1" s="802"/>
      <c r="BQ1" s="802"/>
      <c r="BR1" s="802"/>
      <c r="BS1" s="802"/>
      <c r="BT1" s="802"/>
      <c r="BU1" s="802"/>
      <c r="BV1" s="802"/>
      <c r="BW1" s="802"/>
      <c r="BX1" s="802"/>
      <c r="BY1" s="802"/>
      <c r="BZ1" s="802"/>
      <c r="CA1" s="802"/>
      <c r="CB1" s="802"/>
      <c r="CC1" s="802"/>
      <c r="CD1" s="802"/>
      <c r="CE1" s="802"/>
      <c r="CF1" s="802"/>
      <c r="CG1" s="802"/>
      <c r="CH1" s="802"/>
      <c r="CI1" s="802"/>
      <c r="CJ1" s="802"/>
      <c r="CK1" s="802"/>
      <c r="CL1" s="802"/>
      <c r="CM1" s="802"/>
      <c r="CN1" s="802"/>
      <c r="CO1" s="802"/>
      <c r="CP1" s="802"/>
      <c r="CQ1" s="802"/>
      <c r="CR1" s="802"/>
      <c r="CS1" s="802"/>
      <c r="CT1" s="802"/>
      <c r="CU1" s="802"/>
      <c r="CV1" s="802"/>
      <c r="CW1" s="802"/>
      <c r="CX1" s="802"/>
      <c r="CY1" s="802"/>
      <c r="CZ1" s="802"/>
      <c r="DA1" s="802"/>
      <c r="DB1" s="802"/>
    </row>
    <row r="2" spans="1:106" s="72" customFormat="1" ht="34.5" customHeight="1">
      <c r="A2" s="803" t="s">
        <v>522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  <c r="AU2" s="802"/>
      <c r="AV2" s="802"/>
      <c r="AW2" s="802"/>
      <c r="AX2" s="802"/>
      <c r="AY2" s="802"/>
      <c r="AZ2" s="802"/>
      <c r="BA2" s="802"/>
      <c r="BB2" s="802"/>
      <c r="BC2" s="802"/>
      <c r="BD2" s="802"/>
      <c r="BE2" s="802"/>
      <c r="BF2" s="802"/>
      <c r="BG2" s="802"/>
      <c r="BH2" s="802"/>
      <c r="BI2" s="802"/>
      <c r="BJ2" s="802"/>
      <c r="BK2" s="802"/>
      <c r="BL2" s="802"/>
      <c r="BM2" s="802"/>
      <c r="BN2" s="802"/>
      <c r="BO2" s="802"/>
      <c r="BP2" s="802"/>
      <c r="BQ2" s="802"/>
      <c r="BR2" s="802"/>
      <c r="BS2" s="802"/>
      <c r="BT2" s="802"/>
      <c r="BU2" s="802"/>
      <c r="BV2" s="802"/>
      <c r="BW2" s="802"/>
      <c r="BX2" s="802"/>
      <c r="BY2" s="802"/>
      <c r="BZ2" s="802"/>
      <c r="CA2" s="802"/>
      <c r="CB2" s="802"/>
      <c r="CC2" s="802"/>
      <c r="CD2" s="802"/>
      <c r="CE2" s="802"/>
      <c r="CF2" s="802"/>
      <c r="CG2" s="802"/>
      <c r="CH2" s="802"/>
      <c r="CI2" s="802"/>
      <c r="CJ2" s="802"/>
      <c r="CK2" s="802"/>
      <c r="CL2" s="802"/>
      <c r="CM2" s="802"/>
      <c r="CN2" s="802"/>
      <c r="CO2" s="802"/>
      <c r="CP2" s="802"/>
      <c r="CQ2" s="802"/>
      <c r="CR2" s="802"/>
      <c r="CS2" s="802"/>
      <c r="CT2" s="802"/>
      <c r="CU2" s="802"/>
      <c r="CV2" s="802"/>
      <c r="CW2" s="802"/>
      <c r="CX2" s="802"/>
      <c r="CY2" s="802"/>
      <c r="CZ2" s="802"/>
      <c r="DA2" s="802"/>
      <c r="DB2" s="802"/>
    </row>
    <row r="3" spans="1:106" s="72" customFormat="1" ht="43.5" customHeight="1">
      <c r="A3" s="798" t="s">
        <v>523</v>
      </c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799"/>
      <c r="AL3" s="799"/>
      <c r="AM3" s="799"/>
      <c r="AN3" s="799"/>
      <c r="AO3" s="799"/>
      <c r="AP3" s="799"/>
      <c r="AQ3" s="799"/>
      <c r="AR3" s="799"/>
      <c r="AS3" s="799"/>
      <c r="AT3" s="799"/>
      <c r="AU3" s="799"/>
      <c r="AV3" s="799"/>
      <c r="AW3" s="799"/>
      <c r="AX3" s="799"/>
      <c r="AY3" s="799"/>
      <c r="AZ3" s="799"/>
      <c r="BA3" s="799"/>
      <c r="BB3" s="799"/>
      <c r="BC3" s="799"/>
      <c r="BD3" s="799"/>
      <c r="BE3" s="799"/>
      <c r="BF3" s="799"/>
      <c r="BG3" s="799"/>
      <c r="BH3" s="799"/>
      <c r="BI3" s="799"/>
      <c r="BJ3" s="799"/>
      <c r="BK3" s="799"/>
      <c r="BL3" s="799"/>
      <c r="BM3" s="799"/>
      <c r="BN3" s="799"/>
      <c r="BO3" s="799"/>
      <c r="BP3" s="799"/>
      <c r="BQ3" s="799"/>
      <c r="BR3" s="799"/>
      <c r="BS3" s="799"/>
      <c r="BT3" s="799"/>
      <c r="BU3" s="799"/>
      <c r="BV3" s="799"/>
      <c r="BW3" s="799"/>
      <c r="BX3" s="799"/>
      <c r="BY3" s="799"/>
      <c r="BZ3" s="799"/>
      <c r="CA3" s="799"/>
      <c r="CB3" s="799"/>
      <c r="CC3" s="799"/>
      <c r="CD3" s="799"/>
      <c r="CE3" s="799"/>
      <c r="CF3" s="799"/>
      <c r="CG3" s="799"/>
      <c r="CH3" s="799"/>
      <c r="CI3" s="799"/>
      <c r="CJ3" s="799"/>
      <c r="CK3" s="799"/>
      <c r="CL3" s="799"/>
      <c r="CM3" s="799"/>
      <c r="CN3" s="799"/>
      <c r="CO3" s="799"/>
      <c r="CP3" s="799"/>
      <c r="CQ3" s="799"/>
      <c r="CR3" s="799"/>
      <c r="CS3" s="799"/>
      <c r="CT3" s="799"/>
      <c r="CU3" s="799"/>
      <c r="CV3" s="799"/>
      <c r="CW3" s="799"/>
      <c r="CX3" s="799"/>
      <c r="CY3" s="799"/>
      <c r="CZ3" s="799"/>
      <c r="DA3" s="799"/>
      <c r="DB3" s="804"/>
    </row>
    <row r="4" spans="1:106" s="72" customFormat="1" ht="43.5" customHeight="1">
      <c r="A4" s="802" t="s">
        <v>23</v>
      </c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802"/>
      <c r="AL4" s="802"/>
      <c r="AM4" s="802"/>
      <c r="AN4" s="802"/>
      <c r="AO4" s="802"/>
      <c r="AP4" s="802"/>
      <c r="AQ4" s="802"/>
      <c r="AR4" s="802"/>
      <c r="AS4" s="802"/>
      <c r="AT4" s="802"/>
      <c r="AU4" s="802"/>
      <c r="AV4" s="802"/>
      <c r="AW4" s="802"/>
      <c r="AX4" s="802"/>
      <c r="AY4" s="802"/>
      <c r="AZ4" s="802"/>
      <c r="BA4" s="802"/>
      <c r="BB4" s="802"/>
      <c r="BC4" s="802"/>
      <c r="BD4" s="802"/>
      <c r="BE4" s="802"/>
      <c r="BF4" s="802"/>
      <c r="BG4" s="802"/>
      <c r="BH4" s="802"/>
      <c r="BI4" s="802"/>
      <c r="BJ4" s="802"/>
      <c r="BK4" s="802"/>
      <c r="BL4" s="802"/>
      <c r="BM4" s="802"/>
      <c r="BN4" s="802"/>
      <c r="BO4" s="802"/>
      <c r="BP4" s="802"/>
      <c r="BQ4" s="802"/>
      <c r="BR4" s="802"/>
      <c r="BS4" s="802"/>
      <c r="BT4" s="802"/>
      <c r="BU4" s="802"/>
      <c r="BV4" s="802"/>
      <c r="BW4" s="802"/>
      <c r="BX4" s="802"/>
      <c r="BY4" s="802"/>
      <c r="BZ4" s="802"/>
      <c r="CA4" s="802"/>
      <c r="CB4" s="802"/>
      <c r="CC4" s="802"/>
      <c r="CD4" s="802"/>
      <c r="CE4" s="802"/>
      <c r="CF4" s="802"/>
      <c r="CG4" s="802"/>
      <c r="CH4" s="802"/>
      <c r="CI4" s="802"/>
      <c r="CJ4" s="802"/>
      <c r="CK4" s="802"/>
      <c r="CL4" s="802"/>
      <c r="CM4" s="802"/>
      <c r="CN4" s="802"/>
      <c r="CO4" s="802"/>
      <c r="CP4" s="802"/>
      <c r="CQ4" s="802"/>
      <c r="CR4" s="802"/>
      <c r="CS4" s="802"/>
      <c r="CT4" s="802"/>
      <c r="CU4" s="802"/>
      <c r="CV4" s="802"/>
      <c r="CW4" s="802"/>
      <c r="CX4" s="802"/>
      <c r="CY4" s="802"/>
      <c r="CZ4" s="802"/>
      <c r="DA4" s="802"/>
      <c r="DB4" s="802"/>
    </row>
    <row r="5" spans="1:106" ht="43.5" hidden="1" customHeight="1">
      <c r="A5" s="1026" t="s">
        <v>26</v>
      </c>
      <c r="B5" s="1026"/>
      <c r="C5" s="1026"/>
      <c r="D5" s="1026"/>
      <c r="E5" s="863" t="s">
        <v>23</v>
      </c>
      <c r="F5" s="863"/>
      <c r="G5" s="863"/>
      <c r="H5" s="863"/>
      <c r="I5" s="863"/>
      <c r="J5" s="997"/>
      <c r="K5" s="997"/>
      <c r="L5" s="997"/>
      <c r="M5" s="997"/>
      <c r="N5" s="997"/>
      <c r="O5" s="997"/>
      <c r="P5" s="997"/>
      <c r="Q5" s="997"/>
      <c r="R5" s="997"/>
      <c r="S5" s="997"/>
      <c r="T5" s="997"/>
      <c r="U5" s="997"/>
      <c r="V5" s="997"/>
      <c r="W5" s="997"/>
      <c r="X5" s="997"/>
      <c r="Y5" s="997"/>
      <c r="Z5" s="997"/>
      <c r="AA5" s="997"/>
      <c r="AB5" s="997"/>
      <c r="AC5" s="863" t="s">
        <v>27</v>
      </c>
      <c r="AD5" s="863"/>
      <c r="AE5" s="863"/>
      <c r="AF5" s="863"/>
      <c r="AG5" s="863"/>
      <c r="AH5" s="863"/>
      <c r="AI5" s="863"/>
      <c r="AJ5" s="863"/>
      <c r="AK5" s="863"/>
      <c r="AL5" s="863"/>
      <c r="AM5" s="1011">
        <v>32</v>
      </c>
      <c r="AN5" s="1011"/>
      <c r="AO5" s="1011"/>
      <c r="AP5" s="997"/>
      <c r="AQ5" s="997"/>
      <c r="AR5" s="997"/>
      <c r="AS5" s="997"/>
      <c r="AT5" s="997"/>
      <c r="AU5" s="997"/>
      <c r="AV5" s="997"/>
      <c r="AW5" s="887" t="s">
        <v>28</v>
      </c>
      <c r="AX5" s="887"/>
      <c r="AY5" s="887"/>
      <c r="AZ5" s="887"/>
      <c r="BA5" s="887"/>
      <c r="BB5" s="887"/>
      <c r="BC5" s="887"/>
      <c r="BD5" s="887"/>
      <c r="BE5" s="887"/>
      <c r="BF5" s="887"/>
      <c r="BG5" s="887"/>
      <c r="BH5" s="887"/>
      <c r="BI5" s="887"/>
      <c r="BJ5" s="887"/>
      <c r="BK5" s="997"/>
      <c r="BL5" s="997"/>
      <c r="BM5" s="996" t="s">
        <v>23</v>
      </c>
      <c r="BN5" s="996"/>
      <c r="BO5" s="996"/>
      <c r="BP5" s="996"/>
      <c r="BQ5" s="996"/>
      <c r="BR5" s="996"/>
      <c r="BS5" s="996"/>
      <c r="BT5" s="996"/>
      <c r="BU5" s="996"/>
      <c r="BV5" s="996"/>
      <c r="BW5" s="996"/>
      <c r="BX5" s="996"/>
      <c r="BY5" s="996"/>
      <c r="BZ5" s="996"/>
      <c r="CA5" s="996"/>
      <c r="CB5" s="996"/>
      <c r="CC5" s="996"/>
      <c r="CD5" s="996"/>
      <c r="CE5" s="996"/>
      <c r="CF5" s="996"/>
      <c r="CG5" s="996"/>
      <c r="CH5" s="996"/>
      <c r="CI5" s="996"/>
      <c r="CJ5" s="997"/>
      <c r="CK5" s="997"/>
      <c r="CL5" s="997"/>
      <c r="CM5" s="997"/>
      <c r="CN5" s="997"/>
      <c r="CO5" s="997"/>
      <c r="CP5" s="997"/>
      <c r="CQ5" s="997"/>
      <c r="CR5" s="997"/>
      <c r="CS5" s="997"/>
      <c r="CT5" s="997"/>
      <c r="CU5" s="997"/>
      <c r="CV5" s="997"/>
      <c r="CW5" s="997"/>
      <c r="CX5" s="997"/>
    </row>
    <row r="6" spans="1:106" ht="43.5" customHeight="1">
      <c r="A6" s="998" t="s">
        <v>0</v>
      </c>
      <c r="B6" s="1000" t="s">
        <v>521</v>
      </c>
      <c r="C6" s="1001"/>
      <c r="D6" s="1002"/>
      <c r="E6" s="720" t="s">
        <v>29</v>
      </c>
      <c r="F6" s="721"/>
      <c r="G6" s="721"/>
      <c r="H6" s="722"/>
      <c r="I6" s="1009" t="s">
        <v>30</v>
      </c>
      <c r="J6" s="705" t="s">
        <v>1</v>
      </c>
      <c r="K6" s="709"/>
      <c r="L6" s="709"/>
      <c r="M6" s="709"/>
      <c r="N6" s="709"/>
      <c r="O6" s="709"/>
      <c r="P6" s="709"/>
      <c r="Q6" s="706"/>
      <c r="R6" s="705" t="s">
        <v>2</v>
      </c>
      <c r="S6" s="709"/>
      <c r="T6" s="709"/>
      <c r="U6" s="709"/>
      <c r="V6" s="709"/>
      <c r="W6" s="709"/>
      <c r="X6" s="709"/>
      <c r="Y6" s="709"/>
      <c r="Z6" s="706"/>
      <c r="AA6" s="705" t="s">
        <v>3</v>
      </c>
      <c r="AB6" s="709"/>
      <c r="AC6" s="709"/>
      <c r="AD6" s="709"/>
      <c r="AE6" s="709"/>
      <c r="AF6" s="709"/>
      <c r="AG6" s="709"/>
      <c r="AH6" s="706"/>
      <c r="AI6" s="707" t="s">
        <v>31</v>
      </c>
      <c r="AJ6" s="710"/>
      <c r="AK6" s="710"/>
      <c r="AL6" s="710"/>
      <c r="AM6" s="710"/>
      <c r="AN6" s="710"/>
      <c r="AO6" s="710"/>
      <c r="AP6" s="710"/>
      <c r="AQ6" s="710"/>
      <c r="AR6" s="708"/>
      <c r="AS6" s="705" t="s">
        <v>4</v>
      </c>
      <c r="AT6" s="709"/>
      <c r="AU6" s="709"/>
      <c r="AV6" s="709"/>
      <c r="AW6" s="709"/>
      <c r="AX6" s="709"/>
      <c r="AY6" s="709"/>
      <c r="AZ6" s="706"/>
      <c r="BA6" s="705" t="s">
        <v>5</v>
      </c>
      <c r="BB6" s="709"/>
      <c r="BC6" s="709"/>
      <c r="BD6" s="709"/>
      <c r="BE6" s="709"/>
      <c r="BF6" s="709"/>
      <c r="BG6" s="709"/>
      <c r="BH6" s="706"/>
      <c r="BI6" s="705" t="s">
        <v>6</v>
      </c>
      <c r="BJ6" s="709"/>
      <c r="BK6" s="709"/>
      <c r="BL6" s="709"/>
      <c r="BM6" s="709"/>
      <c r="BN6" s="709"/>
      <c r="BO6" s="709"/>
      <c r="BP6" s="709"/>
      <c r="BQ6" s="706"/>
      <c r="BR6" s="703" t="s">
        <v>32</v>
      </c>
      <c r="BS6" s="704"/>
      <c r="BT6" s="704"/>
      <c r="BU6" s="704"/>
      <c r="BV6" s="704"/>
      <c r="BW6" s="704"/>
      <c r="BX6" s="704"/>
      <c r="BY6" s="704"/>
      <c r="BZ6" s="711"/>
      <c r="CA6" s="700" t="s">
        <v>518</v>
      </c>
      <c r="CB6" s="701"/>
      <c r="CC6" s="701"/>
      <c r="CD6" s="701"/>
      <c r="CE6" s="701"/>
      <c r="CF6" s="701"/>
      <c r="CG6" s="701"/>
      <c r="CH6" s="701"/>
      <c r="CI6" s="701"/>
      <c r="CJ6" s="701"/>
      <c r="CK6" s="701"/>
      <c r="CL6" s="702"/>
      <c r="CM6" s="703" t="s">
        <v>7</v>
      </c>
      <c r="CN6" s="704"/>
      <c r="CO6" s="704"/>
      <c r="CP6" s="704"/>
      <c r="CQ6" s="704"/>
      <c r="CR6" s="704"/>
      <c r="CS6" s="704"/>
      <c r="CT6" s="704"/>
      <c r="CU6" s="711"/>
      <c r="CV6" s="1027" t="s">
        <v>33</v>
      </c>
      <c r="CW6" s="1028"/>
      <c r="CX6" s="1028"/>
      <c r="CY6" s="1024" t="s">
        <v>544</v>
      </c>
    </row>
    <row r="7" spans="1:106" ht="78" customHeight="1" thickBot="1">
      <c r="A7" s="999"/>
      <c r="B7" s="1003"/>
      <c r="C7" s="1004"/>
      <c r="D7" s="1005"/>
      <c r="E7" s="1006"/>
      <c r="F7" s="1007"/>
      <c r="G7" s="1007"/>
      <c r="H7" s="1008"/>
      <c r="I7" s="1010"/>
      <c r="J7" s="1017" t="s">
        <v>8</v>
      </c>
      <c r="K7" s="1018"/>
      <c r="L7" s="1012" t="s">
        <v>9</v>
      </c>
      <c r="M7" s="1013"/>
      <c r="N7" s="1014" t="s">
        <v>10</v>
      </c>
      <c r="O7" s="1015"/>
      <c r="P7" s="1012" t="s">
        <v>11</v>
      </c>
      <c r="Q7" s="1013"/>
      <c r="R7" s="1023" t="s">
        <v>8</v>
      </c>
      <c r="S7" s="712"/>
      <c r="T7" s="1014" t="s">
        <v>9</v>
      </c>
      <c r="U7" s="1015"/>
      <c r="V7" s="1014" t="s">
        <v>10</v>
      </c>
      <c r="W7" s="1016"/>
      <c r="X7" s="1015"/>
      <c r="Y7" s="1017" t="s">
        <v>11</v>
      </c>
      <c r="Z7" s="1018"/>
      <c r="AA7" s="1017" t="s">
        <v>8</v>
      </c>
      <c r="AB7" s="1018"/>
      <c r="AC7" s="1023" t="s">
        <v>9</v>
      </c>
      <c r="AD7" s="712"/>
      <c r="AE7" s="1023" t="s">
        <v>10</v>
      </c>
      <c r="AF7" s="712"/>
      <c r="AG7" s="1017" t="s">
        <v>11</v>
      </c>
      <c r="AH7" s="1018"/>
      <c r="AI7" s="1023" t="s">
        <v>8</v>
      </c>
      <c r="AJ7" s="712"/>
      <c r="AK7" s="1012" t="s">
        <v>9</v>
      </c>
      <c r="AL7" s="1013"/>
      <c r="AM7" s="1012" t="s">
        <v>10</v>
      </c>
      <c r="AN7" s="1022"/>
      <c r="AO7" s="1013"/>
      <c r="AP7" s="1014" t="s">
        <v>11</v>
      </c>
      <c r="AQ7" s="1016"/>
      <c r="AR7" s="1015"/>
      <c r="AS7" s="1017" t="s">
        <v>8</v>
      </c>
      <c r="AT7" s="1018"/>
      <c r="AU7" s="1023" t="s">
        <v>9</v>
      </c>
      <c r="AV7" s="712"/>
      <c r="AW7" s="1023" t="s">
        <v>10</v>
      </c>
      <c r="AX7" s="712"/>
      <c r="AY7" s="1017" t="s">
        <v>11</v>
      </c>
      <c r="AZ7" s="1018"/>
      <c r="BA7" s="302" t="s">
        <v>8</v>
      </c>
      <c r="BB7" s="1012" t="s">
        <v>9</v>
      </c>
      <c r="BC7" s="1013"/>
      <c r="BD7" s="1012" t="s">
        <v>10</v>
      </c>
      <c r="BE7" s="1013"/>
      <c r="BF7" s="1014" t="s">
        <v>11</v>
      </c>
      <c r="BG7" s="1016"/>
      <c r="BH7" s="1015"/>
      <c r="BI7" s="1012" t="s">
        <v>8</v>
      </c>
      <c r="BJ7" s="1013"/>
      <c r="BK7" s="1012" t="s">
        <v>9</v>
      </c>
      <c r="BL7" s="1013"/>
      <c r="BM7" s="1012" t="s">
        <v>10</v>
      </c>
      <c r="BN7" s="1022"/>
      <c r="BO7" s="1013"/>
      <c r="BP7" s="1012" t="s">
        <v>11</v>
      </c>
      <c r="BQ7" s="1013"/>
      <c r="BR7" s="1012" t="s">
        <v>8</v>
      </c>
      <c r="BS7" s="1013"/>
      <c r="BT7" s="1014" t="s">
        <v>9</v>
      </c>
      <c r="BU7" s="1015"/>
      <c r="BV7" s="1014" t="s">
        <v>10</v>
      </c>
      <c r="BW7" s="1016"/>
      <c r="BX7" s="1015"/>
      <c r="BY7" s="1017" t="s">
        <v>11</v>
      </c>
      <c r="BZ7" s="1018"/>
      <c r="CA7" s="1012" t="s">
        <v>8</v>
      </c>
      <c r="CB7" s="1022"/>
      <c r="CC7" s="1013"/>
      <c r="CD7" s="1012" t="s">
        <v>9</v>
      </c>
      <c r="CE7" s="1022"/>
      <c r="CF7" s="1013"/>
      <c r="CG7" s="1012" t="s">
        <v>10</v>
      </c>
      <c r="CH7" s="1022"/>
      <c r="CI7" s="1013"/>
      <c r="CJ7" s="1014" t="s">
        <v>421</v>
      </c>
      <c r="CK7" s="1016"/>
      <c r="CL7" s="1015"/>
      <c r="CM7" s="1012" t="s">
        <v>9</v>
      </c>
      <c r="CN7" s="1022"/>
      <c r="CO7" s="1013"/>
      <c r="CP7" s="1012" t="s">
        <v>10</v>
      </c>
      <c r="CQ7" s="1022"/>
      <c r="CR7" s="1013"/>
      <c r="CS7" s="1014" t="s">
        <v>11</v>
      </c>
      <c r="CT7" s="1016"/>
      <c r="CU7" s="1015"/>
      <c r="CV7" s="1029"/>
      <c r="CW7" s="1030"/>
      <c r="CX7" s="1030"/>
      <c r="CY7" s="1025"/>
    </row>
    <row r="8" spans="1:106" ht="43.5" customHeight="1">
      <c r="A8" s="303">
        <v>1</v>
      </c>
      <c r="B8" s="1019" t="s">
        <v>319</v>
      </c>
      <c r="C8" s="1020"/>
      <c r="D8" s="1021"/>
      <c r="E8" s="983" t="s">
        <v>320</v>
      </c>
      <c r="F8" s="984"/>
      <c r="G8" s="984"/>
      <c r="H8" s="985"/>
      <c r="I8" s="304" t="s">
        <v>321</v>
      </c>
      <c r="J8" s="991">
        <v>5</v>
      </c>
      <c r="K8" s="992"/>
      <c r="L8" s="977">
        <v>228</v>
      </c>
      <c r="M8" s="979"/>
      <c r="N8" s="980">
        <v>271</v>
      </c>
      <c r="O8" s="982"/>
      <c r="P8" s="977">
        <v>499</v>
      </c>
      <c r="Q8" s="979"/>
      <c r="R8" s="980">
        <v>5</v>
      </c>
      <c r="S8" s="982"/>
      <c r="T8" s="980">
        <v>190</v>
      </c>
      <c r="U8" s="982"/>
      <c r="V8" s="980">
        <v>177</v>
      </c>
      <c r="W8" s="981"/>
      <c r="X8" s="982"/>
      <c r="Y8" s="991">
        <v>367</v>
      </c>
      <c r="Z8" s="992"/>
      <c r="AA8" s="991">
        <v>4</v>
      </c>
      <c r="AB8" s="992"/>
      <c r="AC8" s="980">
        <v>154</v>
      </c>
      <c r="AD8" s="982"/>
      <c r="AE8" s="980">
        <v>148</v>
      </c>
      <c r="AF8" s="982"/>
      <c r="AG8" s="991">
        <v>302</v>
      </c>
      <c r="AH8" s="992"/>
      <c r="AI8" s="980">
        <v>14</v>
      </c>
      <c r="AJ8" s="982"/>
      <c r="AK8" s="977">
        <v>572</v>
      </c>
      <c r="AL8" s="979"/>
      <c r="AM8" s="977">
        <v>596</v>
      </c>
      <c r="AN8" s="978"/>
      <c r="AO8" s="979"/>
      <c r="AP8" s="980">
        <v>1168</v>
      </c>
      <c r="AQ8" s="981"/>
      <c r="AR8" s="982"/>
      <c r="AS8" s="991">
        <v>0</v>
      </c>
      <c r="AT8" s="992"/>
      <c r="AU8" s="980">
        <v>0</v>
      </c>
      <c r="AV8" s="982"/>
      <c r="AW8" s="980">
        <v>0</v>
      </c>
      <c r="AX8" s="982"/>
      <c r="AY8" s="989">
        <v>0</v>
      </c>
      <c r="AZ8" s="990"/>
      <c r="BA8" s="305">
        <v>0</v>
      </c>
      <c r="BB8" s="977">
        <v>0</v>
      </c>
      <c r="BC8" s="979"/>
      <c r="BD8" s="977">
        <v>0</v>
      </c>
      <c r="BE8" s="979"/>
      <c r="BF8" s="986">
        <v>0</v>
      </c>
      <c r="BG8" s="988"/>
      <c r="BH8" s="987"/>
      <c r="BI8" s="977">
        <v>0</v>
      </c>
      <c r="BJ8" s="979"/>
      <c r="BK8" s="977">
        <v>0</v>
      </c>
      <c r="BL8" s="979"/>
      <c r="BM8" s="977">
        <v>0</v>
      </c>
      <c r="BN8" s="978"/>
      <c r="BO8" s="979"/>
      <c r="BP8" s="977">
        <v>0</v>
      </c>
      <c r="BQ8" s="979"/>
      <c r="BR8" s="977">
        <v>0</v>
      </c>
      <c r="BS8" s="979"/>
      <c r="BT8" s="986">
        <v>0</v>
      </c>
      <c r="BU8" s="987"/>
      <c r="BV8" s="986">
        <v>0</v>
      </c>
      <c r="BW8" s="988"/>
      <c r="BX8" s="987"/>
      <c r="BY8" s="989">
        <v>0</v>
      </c>
      <c r="BZ8" s="990"/>
      <c r="CA8" s="977">
        <v>14</v>
      </c>
      <c r="CB8" s="978"/>
      <c r="CC8" s="979"/>
      <c r="CD8" s="977">
        <v>572</v>
      </c>
      <c r="CE8" s="978"/>
      <c r="CF8" s="979"/>
      <c r="CG8" s="977">
        <v>596</v>
      </c>
      <c r="CH8" s="978"/>
      <c r="CI8" s="979"/>
      <c r="CJ8" s="977">
        <v>1168</v>
      </c>
      <c r="CK8" s="978"/>
      <c r="CL8" s="979"/>
      <c r="CM8" s="977">
        <v>17</v>
      </c>
      <c r="CN8" s="978"/>
      <c r="CO8" s="979"/>
      <c r="CP8" s="977">
        <v>12</v>
      </c>
      <c r="CQ8" s="978"/>
      <c r="CR8" s="979"/>
      <c r="CS8" s="980">
        <v>29</v>
      </c>
      <c r="CT8" s="981"/>
      <c r="CU8" s="982"/>
      <c r="CV8" s="983" t="s">
        <v>35</v>
      </c>
      <c r="CW8" s="984"/>
      <c r="CX8" s="985"/>
      <c r="CY8" s="306">
        <f>IF(CJ8&lt;1001,30000 * 3,50000*3)</f>
        <v>150000</v>
      </c>
    </row>
    <row r="9" spans="1:106" ht="56.25" customHeight="1">
      <c r="A9" s="297">
        <v>2</v>
      </c>
      <c r="B9" s="958" t="s">
        <v>322</v>
      </c>
      <c r="C9" s="959"/>
      <c r="D9" s="960"/>
      <c r="E9" s="955" t="s">
        <v>323</v>
      </c>
      <c r="F9" s="956"/>
      <c r="G9" s="956"/>
      <c r="H9" s="957"/>
      <c r="I9" s="90" t="s">
        <v>321</v>
      </c>
      <c r="J9" s="950">
        <v>2</v>
      </c>
      <c r="K9" s="951"/>
      <c r="L9" s="942">
        <v>79</v>
      </c>
      <c r="M9" s="944"/>
      <c r="N9" s="945">
        <v>58</v>
      </c>
      <c r="O9" s="947"/>
      <c r="P9" s="942">
        <v>137</v>
      </c>
      <c r="Q9" s="944"/>
      <c r="R9" s="945">
        <v>2</v>
      </c>
      <c r="S9" s="947"/>
      <c r="T9" s="945">
        <v>55</v>
      </c>
      <c r="U9" s="947"/>
      <c r="V9" s="945">
        <v>39</v>
      </c>
      <c r="W9" s="946"/>
      <c r="X9" s="947"/>
      <c r="Y9" s="950">
        <v>94</v>
      </c>
      <c r="Z9" s="951"/>
      <c r="AA9" s="950">
        <v>2</v>
      </c>
      <c r="AB9" s="951"/>
      <c r="AC9" s="945">
        <v>35</v>
      </c>
      <c r="AD9" s="947"/>
      <c r="AE9" s="945">
        <v>43</v>
      </c>
      <c r="AF9" s="947"/>
      <c r="AG9" s="950">
        <v>78</v>
      </c>
      <c r="AH9" s="951"/>
      <c r="AI9" s="945">
        <v>6</v>
      </c>
      <c r="AJ9" s="947"/>
      <c r="AK9" s="942">
        <v>169</v>
      </c>
      <c r="AL9" s="944"/>
      <c r="AM9" s="942">
        <v>140</v>
      </c>
      <c r="AN9" s="943"/>
      <c r="AO9" s="944"/>
      <c r="AP9" s="945">
        <v>309</v>
      </c>
      <c r="AQ9" s="946"/>
      <c r="AR9" s="947"/>
      <c r="AS9" s="950">
        <v>0</v>
      </c>
      <c r="AT9" s="951"/>
      <c r="AU9" s="945">
        <v>0</v>
      </c>
      <c r="AV9" s="947"/>
      <c r="AW9" s="945">
        <v>0</v>
      </c>
      <c r="AX9" s="947"/>
      <c r="AY9" s="972">
        <v>0</v>
      </c>
      <c r="AZ9" s="973"/>
      <c r="BA9" s="91">
        <v>0</v>
      </c>
      <c r="BB9" s="942">
        <v>0</v>
      </c>
      <c r="BC9" s="944"/>
      <c r="BD9" s="942">
        <v>0</v>
      </c>
      <c r="BE9" s="944"/>
      <c r="BF9" s="952">
        <v>0</v>
      </c>
      <c r="BG9" s="953"/>
      <c r="BH9" s="954"/>
      <c r="BI9" s="942">
        <v>0</v>
      </c>
      <c r="BJ9" s="944"/>
      <c r="BK9" s="942">
        <v>0</v>
      </c>
      <c r="BL9" s="944"/>
      <c r="BM9" s="942">
        <v>0</v>
      </c>
      <c r="BN9" s="943"/>
      <c r="BO9" s="944"/>
      <c r="BP9" s="942">
        <v>0</v>
      </c>
      <c r="BQ9" s="944"/>
      <c r="BR9" s="942">
        <v>0</v>
      </c>
      <c r="BS9" s="944"/>
      <c r="BT9" s="952">
        <v>0</v>
      </c>
      <c r="BU9" s="954"/>
      <c r="BV9" s="952">
        <v>0</v>
      </c>
      <c r="BW9" s="953"/>
      <c r="BX9" s="954"/>
      <c r="BY9" s="972">
        <v>0</v>
      </c>
      <c r="BZ9" s="973"/>
      <c r="CA9" s="942">
        <v>6</v>
      </c>
      <c r="CB9" s="943"/>
      <c r="CC9" s="944"/>
      <c r="CD9" s="942">
        <v>169</v>
      </c>
      <c r="CE9" s="943"/>
      <c r="CF9" s="944"/>
      <c r="CG9" s="942">
        <v>140</v>
      </c>
      <c r="CH9" s="943"/>
      <c r="CI9" s="944"/>
      <c r="CJ9" s="942">
        <v>309</v>
      </c>
      <c r="CK9" s="943"/>
      <c r="CL9" s="944"/>
      <c r="CM9" s="942">
        <v>6</v>
      </c>
      <c r="CN9" s="943"/>
      <c r="CO9" s="944"/>
      <c r="CP9" s="942">
        <v>5</v>
      </c>
      <c r="CQ9" s="943"/>
      <c r="CR9" s="944"/>
      <c r="CS9" s="945">
        <v>11</v>
      </c>
      <c r="CT9" s="946"/>
      <c r="CU9" s="947"/>
      <c r="CV9" s="955" t="s">
        <v>35</v>
      </c>
      <c r="CW9" s="956"/>
      <c r="CX9" s="957"/>
      <c r="CY9" s="239">
        <f t="shared" ref="CY9:CY39" si="0">IF(CJ9&lt;1001,30000 * 3,50000*3)</f>
        <v>90000</v>
      </c>
    </row>
    <row r="10" spans="1:106" ht="43.5" customHeight="1">
      <c r="A10" s="297">
        <v>3</v>
      </c>
      <c r="B10" s="958" t="s">
        <v>324</v>
      </c>
      <c r="C10" s="959"/>
      <c r="D10" s="960"/>
      <c r="E10" s="955" t="s">
        <v>323</v>
      </c>
      <c r="F10" s="956"/>
      <c r="G10" s="956"/>
      <c r="H10" s="957"/>
      <c r="I10" s="150" t="s">
        <v>527</v>
      </c>
      <c r="J10" s="950">
        <v>4</v>
      </c>
      <c r="K10" s="951"/>
      <c r="L10" s="942">
        <v>160</v>
      </c>
      <c r="M10" s="944"/>
      <c r="N10" s="945">
        <v>145</v>
      </c>
      <c r="O10" s="947"/>
      <c r="P10" s="942">
        <v>305</v>
      </c>
      <c r="Q10" s="944"/>
      <c r="R10" s="945">
        <v>4</v>
      </c>
      <c r="S10" s="947"/>
      <c r="T10" s="945">
        <v>186</v>
      </c>
      <c r="U10" s="947"/>
      <c r="V10" s="945">
        <v>133</v>
      </c>
      <c r="W10" s="946"/>
      <c r="X10" s="947"/>
      <c r="Y10" s="950">
        <v>319</v>
      </c>
      <c r="Z10" s="951"/>
      <c r="AA10" s="950">
        <v>3</v>
      </c>
      <c r="AB10" s="951"/>
      <c r="AC10" s="945">
        <v>165</v>
      </c>
      <c r="AD10" s="947"/>
      <c r="AE10" s="945">
        <v>130</v>
      </c>
      <c r="AF10" s="947"/>
      <c r="AG10" s="950">
        <v>295</v>
      </c>
      <c r="AH10" s="951"/>
      <c r="AI10" s="945">
        <v>11</v>
      </c>
      <c r="AJ10" s="947"/>
      <c r="AK10" s="942">
        <v>511</v>
      </c>
      <c r="AL10" s="944"/>
      <c r="AM10" s="942">
        <v>408</v>
      </c>
      <c r="AN10" s="943"/>
      <c r="AO10" s="944"/>
      <c r="AP10" s="945">
        <v>919</v>
      </c>
      <c r="AQ10" s="946"/>
      <c r="AR10" s="947"/>
      <c r="AS10" s="950">
        <v>0</v>
      </c>
      <c r="AT10" s="951"/>
      <c r="AU10" s="945">
        <v>0</v>
      </c>
      <c r="AV10" s="947"/>
      <c r="AW10" s="945">
        <v>0</v>
      </c>
      <c r="AX10" s="947"/>
      <c r="AY10" s="972">
        <v>0</v>
      </c>
      <c r="AZ10" s="973"/>
      <c r="BA10" s="91">
        <v>0</v>
      </c>
      <c r="BB10" s="942">
        <v>0</v>
      </c>
      <c r="BC10" s="944"/>
      <c r="BD10" s="942">
        <v>0</v>
      </c>
      <c r="BE10" s="944"/>
      <c r="BF10" s="952">
        <v>0</v>
      </c>
      <c r="BG10" s="953"/>
      <c r="BH10" s="954"/>
      <c r="BI10" s="942">
        <v>0</v>
      </c>
      <c r="BJ10" s="944"/>
      <c r="BK10" s="942">
        <v>0</v>
      </c>
      <c r="BL10" s="944"/>
      <c r="BM10" s="942">
        <v>0</v>
      </c>
      <c r="BN10" s="943"/>
      <c r="BO10" s="944"/>
      <c r="BP10" s="942">
        <v>0</v>
      </c>
      <c r="BQ10" s="944"/>
      <c r="BR10" s="942">
        <v>0</v>
      </c>
      <c r="BS10" s="944"/>
      <c r="BT10" s="952">
        <v>0</v>
      </c>
      <c r="BU10" s="954"/>
      <c r="BV10" s="952">
        <v>0</v>
      </c>
      <c r="BW10" s="953"/>
      <c r="BX10" s="954"/>
      <c r="BY10" s="972">
        <v>0</v>
      </c>
      <c r="BZ10" s="973"/>
      <c r="CA10" s="942">
        <v>11</v>
      </c>
      <c r="CB10" s="943"/>
      <c r="CC10" s="944"/>
      <c r="CD10" s="942">
        <v>511</v>
      </c>
      <c r="CE10" s="943"/>
      <c r="CF10" s="944"/>
      <c r="CG10" s="942">
        <v>408</v>
      </c>
      <c r="CH10" s="943"/>
      <c r="CI10" s="944"/>
      <c r="CJ10" s="942">
        <v>919</v>
      </c>
      <c r="CK10" s="943"/>
      <c r="CL10" s="944"/>
      <c r="CM10" s="942">
        <v>10</v>
      </c>
      <c r="CN10" s="943"/>
      <c r="CO10" s="944"/>
      <c r="CP10" s="942">
        <v>5</v>
      </c>
      <c r="CQ10" s="943"/>
      <c r="CR10" s="944"/>
      <c r="CS10" s="945">
        <v>15</v>
      </c>
      <c r="CT10" s="946"/>
      <c r="CU10" s="947"/>
      <c r="CV10" s="955" t="s">
        <v>35</v>
      </c>
      <c r="CW10" s="956"/>
      <c r="CX10" s="957"/>
      <c r="CY10" s="239">
        <f t="shared" si="0"/>
        <v>90000</v>
      </c>
    </row>
    <row r="11" spans="1:106" ht="43.5" customHeight="1">
      <c r="A11" s="297">
        <v>4</v>
      </c>
      <c r="B11" s="958" t="s">
        <v>325</v>
      </c>
      <c r="C11" s="959"/>
      <c r="D11" s="960"/>
      <c r="E11" s="955" t="s">
        <v>323</v>
      </c>
      <c r="F11" s="956"/>
      <c r="G11" s="956"/>
      <c r="H11" s="957"/>
      <c r="I11" s="90" t="s">
        <v>321</v>
      </c>
      <c r="J11" s="950">
        <v>4</v>
      </c>
      <c r="K11" s="951"/>
      <c r="L11" s="942">
        <v>131</v>
      </c>
      <c r="M11" s="944"/>
      <c r="N11" s="945">
        <v>143</v>
      </c>
      <c r="O11" s="947"/>
      <c r="P11" s="942">
        <v>274</v>
      </c>
      <c r="Q11" s="944"/>
      <c r="R11" s="945">
        <v>4</v>
      </c>
      <c r="S11" s="947"/>
      <c r="T11" s="945">
        <v>137</v>
      </c>
      <c r="U11" s="947"/>
      <c r="V11" s="945">
        <v>139</v>
      </c>
      <c r="W11" s="946"/>
      <c r="X11" s="947"/>
      <c r="Y11" s="950">
        <v>276</v>
      </c>
      <c r="Z11" s="951"/>
      <c r="AA11" s="950">
        <v>4</v>
      </c>
      <c r="AB11" s="951"/>
      <c r="AC11" s="945">
        <v>126</v>
      </c>
      <c r="AD11" s="947"/>
      <c r="AE11" s="945">
        <v>128</v>
      </c>
      <c r="AF11" s="947"/>
      <c r="AG11" s="950">
        <v>254</v>
      </c>
      <c r="AH11" s="951"/>
      <c r="AI11" s="945">
        <v>12</v>
      </c>
      <c r="AJ11" s="947"/>
      <c r="AK11" s="942">
        <v>394</v>
      </c>
      <c r="AL11" s="944"/>
      <c r="AM11" s="942">
        <v>410</v>
      </c>
      <c r="AN11" s="943"/>
      <c r="AO11" s="944"/>
      <c r="AP11" s="945">
        <v>804</v>
      </c>
      <c r="AQ11" s="946"/>
      <c r="AR11" s="947"/>
      <c r="AS11" s="950">
        <v>0</v>
      </c>
      <c r="AT11" s="951"/>
      <c r="AU11" s="945">
        <v>0</v>
      </c>
      <c r="AV11" s="947"/>
      <c r="AW11" s="945">
        <v>0</v>
      </c>
      <c r="AX11" s="947"/>
      <c r="AY11" s="972">
        <v>0</v>
      </c>
      <c r="AZ11" s="973"/>
      <c r="BA11" s="91">
        <v>0</v>
      </c>
      <c r="BB11" s="942">
        <v>0</v>
      </c>
      <c r="BC11" s="944"/>
      <c r="BD11" s="942">
        <v>0</v>
      </c>
      <c r="BE11" s="944"/>
      <c r="BF11" s="952">
        <v>0</v>
      </c>
      <c r="BG11" s="953"/>
      <c r="BH11" s="954"/>
      <c r="BI11" s="942">
        <v>0</v>
      </c>
      <c r="BJ11" s="944"/>
      <c r="BK11" s="942">
        <v>0</v>
      </c>
      <c r="BL11" s="944"/>
      <c r="BM11" s="942">
        <v>0</v>
      </c>
      <c r="BN11" s="943"/>
      <c r="BO11" s="944"/>
      <c r="BP11" s="942">
        <v>0</v>
      </c>
      <c r="BQ11" s="944"/>
      <c r="BR11" s="942">
        <v>0</v>
      </c>
      <c r="BS11" s="944"/>
      <c r="BT11" s="952">
        <v>0</v>
      </c>
      <c r="BU11" s="954"/>
      <c r="BV11" s="952">
        <v>0</v>
      </c>
      <c r="BW11" s="953"/>
      <c r="BX11" s="954"/>
      <c r="BY11" s="972">
        <v>0</v>
      </c>
      <c r="BZ11" s="973"/>
      <c r="CA11" s="942">
        <v>12</v>
      </c>
      <c r="CB11" s="943"/>
      <c r="CC11" s="944"/>
      <c r="CD11" s="942">
        <v>394</v>
      </c>
      <c r="CE11" s="943"/>
      <c r="CF11" s="944"/>
      <c r="CG11" s="942">
        <v>410</v>
      </c>
      <c r="CH11" s="943"/>
      <c r="CI11" s="944"/>
      <c r="CJ11" s="942">
        <v>804</v>
      </c>
      <c r="CK11" s="943"/>
      <c r="CL11" s="944"/>
      <c r="CM11" s="942">
        <v>7</v>
      </c>
      <c r="CN11" s="943"/>
      <c r="CO11" s="944"/>
      <c r="CP11" s="942">
        <v>7</v>
      </c>
      <c r="CQ11" s="943"/>
      <c r="CR11" s="944"/>
      <c r="CS11" s="945">
        <v>14</v>
      </c>
      <c r="CT11" s="946"/>
      <c r="CU11" s="947"/>
      <c r="CV11" s="955" t="s">
        <v>35</v>
      </c>
      <c r="CW11" s="956"/>
      <c r="CX11" s="957"/>
      <c r="CY11" s="239">
        <f t="shared" si="0"/>
        <v>90000</v>
      </c>
    </row>
    <row r="12" spans="1:106" ht="43.5" customHeight="1">
      <c r="A12" s="297">
        <v>5</v>
      </c>
      <c r="B12" s="958" t="s">
        <v>326</v>
      </c>
      <c r="C12" s="959"/>
      <c r="D12" s="960"/>
      <c r="E12" s="955" t="s">
        <v>327</v>
      </c>
      <c r="F12" s="956"/>
      <c r="G12" s="956"/>
      <c r="H12" s="957"/>
      <c r="I12" s="151" t="s">
        <v>328</v>
      </c>
      <c r="J12" s="950">
        <v>2</v>
      </c>
      <c r="K12" s="951"/>
      <c r="L12" s="942">
        <v>51</v>
      </c>
      <c r="M12" s="944"/>
      <c r="N12" s="945">
        <v>33</v>
      </c>
      <c r="O12" s="947"/>
      <c r="P12" s="942">
        <v>84</v>
      </c>
      <c r="Q12" s="944"/>
      <c r="R12" s="945">
        <v>2</v>
      </c>
      <c r="S12" s="947"/>
      <c r="T12" s="945">
        <v>40</v>
      </c>
      <c r="U12" s="947"/>
      <c r="V12" s="945">
        <v>38</v>
      </c>
      <c r="W12" s="946"/>
      <c r="X12" s="947"/>
      <c r="Y12" s="950">
        <v>78</v>
      </c>
      <c r="Z12" s="951"/>
      <c r="AA12" s="950">
        <v>2</v>
      </c>
      <c r="AB12" s="951"/>
      <c r="AC12" s="945">
        <v>47</v>
      </c>
      <c r="AD12" s="947"/>
      <c r="AE12" s="945">
        <v>50</v>
      </c>
      <c r="AF12" s="947"/>
      <c r="AG12" s="950">
        <v>97</v>
      </c>
      <c r="AH12" s="951"/>
      <c r="AI12" s="945">
        <v>6</v>
      </c>
      <c r="AJ12" s="947"/>
      <c r="AK12" s="942">
        <v>138</v>
      </c>
      <c r="AL12" s="944"/>
      <c r="AM12" s="942">
        <v>121</v>
      </c>
      <c r="AN12" s="943"/>
      <c r="AO12" s="944"/>
      <c r="AP12" s="945">
        <v>259</v>
      </c>
      <c r="AQ12" s="946"/>
      <c r="AR12" s="947"/>
      <c r="AS12" s="950">
        <v>0</v>
      </c>
      <c r="AT12" s="951"/>
      <c r="AU12" s="945">
        <v>0</v>
      </c>
      <c r="AV12" s="947"/>
      <c r="AW12" s="945">
        <v>0</v>
      </c>
      <c r="AX12" s="947"/>
      <c r="AY12" s="972">
        <v>0</v>
      </c>
      <c r="AZ12" s="973"/>
      <c r="BA12" s="91">
        <v>0</v>
      </c>
      <c r="BB12" s="942">
        <v>0</v>
      </c>
      <c r="BC12" s="944"/>
      <c r="BD12" s="942">
        <v>0</v>
      </c>
      <c r="BE12" s="944"/>
      <c r="BF12" s="952">
        <v>0</v>
      </c>
      <c r="BG12" s="953"/>
      <c r="BH12" s="954"/>
      <c r="BI12" s="942">
        <v>0</v>
      </c>
      <c r="BJ12" s="944"/>
      <c r="BK12" s="942">
        <v>0</v>
      </c>
      <c r="BL12" s="944"/>
      <c r="BM12" s="942">
        <v>0</v>
      </c>
      <c r="BN12" s="943"/>
      <c r="BO12" s="944"/>
      <c r="BP12" s="942">
        <v>0</v>
      </c>
      <c r="BQ12" s="944"/>
      <c r="BR12" s="942">
        <v>0</v>
      </c>
      <c r="BS12" s="944"/>
      <c r="BT12" s="952">
        <v>0</v>
      </c>
      <c r="BU12" s="954"/>
      <c r="BV12" s="952">
        <v>0</v>
      </c>
      <c r="BW12" s="953"/>
      <c r="BX12" s="954"/>
      <c r="BY12" s="972">
        <v>0</v>
      </c>
      <c r="BZ12" s="973"/>
      <c r="CA12" s="942">
        <v>6</v>
      </c>
      <c r="CB12" s="943"/>
      <c r="CC12" s="944"/>
      <c r="CD12" s="942">
        <v>138</v>
      </c>
      <c r="CE12" s="943"/>
      <c r="CF12" s="944"/>
      <c r="CG12" s="942">
        <v>121</v>
      </c>
      <c r="CH12" s="943"/>
      <c r="CI12" s="944"/>
      <c r="CJ12" s="942">
        <v>259</v>
      </c>
      <c r="CK12" s="943"/>
      <c r="CL12" s="944"/>
      <c r="CM12" s="942">
        <v>3</v>
      </c>
      <c r="CN12" s="943"/>
      <c r="CO12" s="944"/>
      <c r="CP12" s="942">
        <v>1</v>
      </c>
      <c r="CQ12" s="943"/>
      <c r="CR12" s="944"/>
      <c r="CS12" s="952">
        <v>4</v>
      </c>
      <c r="CT12" s="953"/>
      <c r="CU12" s="954"/>
      <c r="CV12" s="955" t="s">
        <v>35</v>
      </c>
      <c r="CW12" s="956"/>
      <c r="CX12" s="957"/>
      <c r="CY12" s="239">
        <f t="shared" si="0"/>
        <v>90000</v>
      </c>
    </row>
    <row r="13" spans="1:106" ht="43.5" customHeight="1">
      <c r="A13" s="297">
        <v>6</v>
      </c>
      <c r="B13" s="958" t="s">
        <v>329</v>
      </c>
      <c r="C13" s="959"/>
      <c r="D13" s="960"/>
      <c r="E13" s="955" t="s">
        <v>330</v>
      </c>
      <c r="F13" s="956"/>
      <c r="G13" s="956"/>
      <c r="H13" s="957"/>
      <c r="I13" s="151" t="s">
        <v>331</v>
      </c>
      <c r="J13" s="950">
        <v>2</v>
      </c>
      <c r="K13" s="951"/>
      <c r="L13" s="942">
        <v>63</v>
      </c>
      <c r="M13" s="944"/>
      <c r="N13" s="945">
        <v>67</v>
      </c>
      <c r="O13" s="947"/>
      <c r="P13" s="942">
        <v>130</v>
      </c>
      <c r="Q13" s="944"/>
      <c r="R13" s="945">
        <v>2</v>
      </c>
      <c r="S13" s="947"/>
      <c r="T13" s="945">
        <v>71</v>
      </c>
      <c r="U13" s="947"/>
      <c r="V13" s="945">
        <v>55</v>
      </c>
      <c r="W13" s="946"/>
      <c r="X13" s="947"/>
      <c r="Y13" s="950">
        <v>126</v>
      </c>
      <c r="Z13" s="951"/>
      <c r="AA13" s="950">
        <v>2</v>
      </c>
      <c r="AB13" s="951"/>
      <c r="AC13" s="945">
        <v>94</v>
      </c>
      <c r="AD13" s="947"/>
      <c r="AE13" s="945">
        <v>80</v>
      </c>
      <c r="AF13" s="947"/>
      <c r="AG13" s="950">
        <v>174</v>
      </c>
      <c r="AH13" s="951"/>
      <c r="AI13" s="945">
        <v>6</v>
      </c>
      <c r="AJ13" s="947"/>
      <c r="AK13" s="942">
        <v>228</v>
      </c>
      <c r="AL13" s="944"/>
      <c r="AM13" s="942">
        <v>202</v>
      </c>
      <c r="AN13" s="943"/>
      <c r="AO13" s="944"/>
      <c r="AP13" s="945">
        <v>430</v>
      </c>
      <c r="AQ13" s="946"/>
      <c r="AR13" s="947"/>
      <c r="AS13" s="950">
        <v>0</v>
      </c>
      <c r="AT13" s="951"/>
      <c r="AU13" s="945">
        <v>0</v>
      </c>
      <c r="AV13" s="947"/>
      <c r="AW13" s="945">
        <v>0</v>
      </c>
      <c r="AX13" s="947"/>
      <c r="AY13" s="972">
        <v>0</v>
      </c>
      <c r="AZ13" s="973"/>
      <c r="BA13" s="91">
        <v>0</v>
      </c>
      <c r="BB13" s="942">
        <v>0</v>
      </c>
      <c r="BC13" s="944"/>
      <c r="BD13" s="942">
        <v>0</v>
      </c>
      <c r="BE13" s="944"/>
      <c r="BF13" s="952">
        <v>0</v>
      </c>
      <c r="BG13" s="953"/>
      <c r="BH13" s="954"/>
      <c r="BI13" s="942">
        <v>0</v>
      </c>
      <c r="BJ13" s="944"/>
      <c r="BK13" s="942">
        <v>0</v>
      </c>
      <c r="BL13" s="944"/>
      <c r="BM13" s="942">
        <v>0</v>
      </c>
      <c r="BN13" s="943"/>
      <c r="BO13" s="944"/>
      <c r="BP13" s="942">
        <v>0</v>
      </c>
      <c r="BQ13" s="944"/>
      <c r="BR13" s="942">
        <v>0</v>
      </c>
      <c r="BS13" s="944"/>
      <c r="BT13" s="952">
        <v>0</v>
      </c>
      <c r="BU13" s="954"/>
      <c r="BV13" s="952">
        <v>0</v>
      </c>
      <c r="BW13" s="953"/>
      <c r="BX13" s="954"/>
      <c r="BY13" s="972">
        <v>0</v>
      </c>
      <c r="BZ13" s="973"/>
      <c r="CA13" s="942">
        <v>6</v>
      </c>
      <c r="CB13" s="943"/>
      <c r="CC13" s="944"/>
      <c r="CD13" s="942">
        <v>228</v>
      </c>
      <c r="CE13" s="943"/>
      <c r="CF13" s="944"/>
      <c r="CG13" s="942">
        <v>202</v>
      </c>
      <c r="CH13" s="943"/>
      <c r="CI13" s="944"/>
      <c r="CJ13" s="942">
        <v>430</v>
      </c>
      <c r="CK13" s="943"/>
      <c r="CL13" s="944"/>
      <c r="CM13" s="942">
        <v>4</v>
      </c>
      <c r="CN13" s="943"/>
      <c r="CO13" s="944"/>
      <c r="CP13" s="942">
        <v>3</v>
      </c>
      <c r="CQ13" s="943"/>
      <c r="CR13" s="944"/>
      <c r="CS13" s="952">
        <v>7</v>
      </c>
      <c r="CT13" s="953"/>
      <c r="CU13" s="954"/>
      <c r="CV13" s="955" t="s">
        <v>35</v>
      </c>
      <c r="CW13" s="956"/>
      <c r="CX13" s="957"/>
      <c r="CY13" s="239">
        <f t="shared" si="0"/>
        <v>90000</v>
      </c>
    </row>
    <row r="14" spans="1:106" ht="43.5" customHeight="1">
      <c r="A14" s="297">
        <v>7</v>
      </c>
      <c r="B14" s="958" t="s">
        <v>332</v>
      </c>
      <c r="C14" s="959"/>
      <c r="D14" s="960"/>
      <c r="E14" s="955" t="s">
        <v>330</v>
      </c>
      <c r="F14" s="956"/>
      <c r="G14" s="956"/>
      <c r="H14" s="957"/>
      <c r="I14" s="151" t="s">
        <v>333</v>
      </c>
      <c r="J14" s="950">
        <v>4</v>
      </c>
      <c r="K14" s="951"/>
      <c r="L14" s="942">
        <v>116</v>
      </c>
      <c r="M14" s="944"/>
      <c r="N14" s="945">
        <v>112</v>
      </c>
      <c r="O14" s="947"/>
      <c r="P14" s="942">
        <v>228</v>
      </c>
      <c r="Q14" s="944"/>
      <c r="R14" s="945">
        <v>4</v>
      </c>
      <c r="S14" s="947"/>
      <c r="T14" s="945">
        <v>96</v>
      </c>
      <c r="U14" s="947"/>
      <c r="V14" s="945">
        <v>91</v>
      </c>
      <c r="W14" s="946"/>
      <c r="X14" s="947"/>
      <c r="Y14" s="950">
        <v>187</v>
      </c>
      <c r="Z14" s="951"/>
      <c r="AA14" s="950">
        <v>3</v>
      </c>
      <c r="AB14" s="951"/>
      <c r="AC14" s="945">
        <v>65</v>
      </c>
      <c r="AD14" s="947"/>
      <c r="AE14" s="945">
        <v>75</v>
      </c>
      <c r="AF14" s="947"/>
      <c r="AG14" s="950">
        <v>140</v>
      </c>
      <c r="AH14" s="951"/>
      <c r="AI14" s="945">
        <v>11</v>
      </c>
      <c r="AJ14" s="947"/>
      <c r="AK14" s="942">
        <v>277</v>
      </c>
      <c r="AL14" s="944"/>
      <c r="AM14" s="942">
        <v>278</v>
      </c>
      <c r="AN14" s="943"/>
      <c r="AO14" s="944"/>
      <c r="AP14" s="945">
        <v>555</v>
      </c>
      <c r="AQ14" s="946"/>
      <c r="AR14" s="947"/>
      <c r="AS14" s="950">
        <v>0</v>
      </c>
      <c r="AT14" s="951"/>
      <c r="AU14" s="945">
        <v>0</v>
      </c>
      <c r="AV14" s="947"/>
      <c r="AW14" s="945">
        <v>0</v>
      </c>
      <c r="AX14" s="947"/>
      <c r="AY14" s="972">
        <v>0</v>
      </c>
      <c r="AZ14" s="973"/>
      <c r="BA14" s="91">
        <v>0</v>
      </c>
      <c r="BB14" s="942">
        <v>0</v>
      </c>
      <c r="BC14" s="944"/>
      <c r="BD14" s="942">
        <v>0</v>
      </c>
      <c r="BE14" s="944"/>
      <c r="BF14" s="952">
        <v>0</v>
      </c>
      <c r="BG14" s="953"/>
      <c r="BH14" s="954"/>
      <c r="BI14" s="942">
        <v>0</v>
      </c>
      <c r="BJ14" s="944"/>
      <c r="BK14" s="942">
        <v>0</v>
      </c>
      <c r="BL14" s="944"/>
      <c r="BM14" s="942">
        <v>0</v>
      </c>
      <c r="BN14" s="943"/>
      <c r="BO14" s="944"/>
      <c r="BP14" s="942">
        <v>0</v>
      </c>
      <c r="BQ14" s="944"/>
      <c r="BR14" s="942">
        <v>0</v>
      </c>
      <c r="BS14" s="944"/>
      <c r="BT14" s="952">
        <v>0</v>
      </c>
      <c r="BU14" s="954"/>
      <c r="BV14" s="952">
        <v>0</v>
      </c>
      <c r="BW14" s="953"/>
      <c r="BX14" s="954"/>
      <c r="BY14" s="972">
        <v>0</v>
      </c>
      <c r="BZ14" s="973"/>
      <c r="CA14" s="942">
        <v>11</v>
      </c>
      <c r="CB14" s="943"/>
      <c r="CC14" s="944"/>
      <c r="CD14" s="942">
        <v>277</v>
      </c>
      <c r="CE14" s="943"/>
      <c r="CF14" s="944"/>
      <c r="CG14" s="942">
        <v>278</v>
      </c>
      <c r="CH14" s="943"/>
      <c r="CI14" s="944"/>
      <c r="CJ14" s="942">
        <v>555</v>
      </c>
      <c r="CK14" s="943"/>
      <c r="CL14" s="944"/>
      <c r="CM14" s="942">
        <v>10</v>
      </c>
      <c r="CN14" s="943"/>
      <c r="CO14" s="944"/>
      <c r="CP14" s="942">
        <v>3</v>
      </c>
      <c r="CQ14" s="943"/>
      <c r="CR14" s="944"/>
      <c r="CS14" s="945">
        <v>13</v>
      </c>
      <c r="CT14" s="946"/>
      <c r="CU14" s="947"/>
      <c r="CV14" s="955" t="s">
        <v>35</v>
      </c>
      <c r="CW14" s="956"/>
      <c r="CX14" s="957"/>
      <c r="CY14" s="239">
        <f t="shared" si="0"/>
        <v>90000</v>
      </c>
    </row>
    <row r="15" spans="1:106" ht="43.5" customHeight="1">
      <c r="A15" s="297">
        <v>8</v>
      </c>
      <c r="B15" s="958" t="s">
        <v>334</v>
      </c>
      <c r="C15" s="959"/>
      <c r="D15" s="960"/>
      <c r="E15" s="955" t="s">
        <v>327</v>
      </c>
      <c r="F15" s="956"/>
      <c r="G15" s="956"/>
      <c r="H15" s="957"/>
      <c r="I15" s="151" t="s">
        <v>328</v>
      </c>
      <c r="J15" s="950">
        <v>2</v>
      </c>
      <c r="K15" s="951"/>
      <c r="L15" s="942">
        <v>60</v>
      </c>
      <c r="M15" s="944"/>
      <c r="N15" s="945">
        <v>66</v>
      </c>
      <c r="O15" s="947"/>
      <c r="P15" s="942">
        <v>126</v>
      </c>
      <c r="Q15" s="944"/>
      <c r="R15" s="945">
        <v>2</v>
      </c>
      <c r="S15" s="947"/>
      <c r="T15" s="945">
        <v>58</v>
      </c>
      <c r="U15" s="947"/>
      <c r="V15" s="945">
        <v>65</v>
      </c>
      <c r="W15" s="946"/>
      <c r="X15" s="947"/>
      <c r="Y15" s="950">
        <v>123</v>
      </c>
      <c r="Z15" s="951"/>
      <c r="AA15" s="950">
        <v>2</v>
      </c>
      <c r="AB15" s="951"/>
      <c r="AC15" s="945">
        <v>54</v>
      </c>
      <c r="AD15" s="947"/>
      <c r="AE15" s="945">
        <v>52</v>
      </c>
      <c r="AF15" s="947"/>
      <c r="AG15" s="950">
        <v>106</v>
      </c>
      <c r="AH15" s="951"/>
      <c r="AI15" s="945">
        <v>6</v>
      </c>
      <c r="AJ15" s="947"/>
      <c r="AK15" s="942">
        <v>172</v>
      </c>
      <c r="AL15" s="944"/>
      <c r="AM15" s="942">
        <v>183</v>
      </c>
      <c r="AN15" s="943"/>
      <c r="AO15" s="944"/>
      <c r="AP15" s="945">
        <v>355</v>
      </c>
      <c r="AQ15" s="946"/>
      <c r="AR15" s="947"/>
      <c r="AS15" s="950">
        <v>0</v>
      </c>
      <c r="AT15" s="951"/>
      <c r="AU15" s="945">
        <v>0</v>
      </c>
      <c r="AV15" s="947"/>
      <c r="AW15" s="945">
        <v>0</v>
      </c>
      <c r="AX15" s="947"/>
      <c r="AY15" s="972">
        <v>0</v>
      </c>
      <c r="AZ15" s="973"/>
      <c r="BA15" s="91">
        <v>0</v>
      </c>
      <c r="BB15" s="942">
        <v>0</v>
      </c>
      <c r="BC15" s="944"/>
      <c r="BD15" s="942">
        <v>0</v>
      </c>
      <c r="BE15" s="944"/>
      <c r="BF15" s="952">
        <v>0</v>
      </c>
      <c r="BG15" s="953"/>
      <c r="BH15" s="954"/>
      <c r="BI15" s="942">
        <v>0</v>
      </c>
      <c r="BJ15" s="944"/>
      <c r="BK15" s="942">
        <v>0</v>
      </c>
      <c r="BL15" s="944"/>
      <c r="BM15" s="942">
        <v>0</v>
      </c>
      <c r="BN15" s="943"/>
      <c r="BO15" s="944"/>
      <c r="BP15" s="942">
        <v>0</v>
      </c>
      <c r="BQ15" s="944"/>
      <c r="BR15" s="942">
        <v>0</v>
      </c>
      <c r="BS15" s="944"/>
      <c r="BT15" s="952">
        <v>0</v>
      </c>
      <c r="BU15" s="954"/>
      <c r="BV15" s="952">
        <v>0</v>
      </c>
      <c r="BW15" s="953"/>
      <c r="BX15" s="954"/>
      <c r="BY15" s="972">
        <v>0</v>
      </c>
      <c r="BZ15" s="973"/>
      <c r="CA15" s="942">
        <v>6</v>
      </c>
      <c r="CB15" s="943"/>
      <c r="CC15" s="944"/>
      <c r="CD15" s="942">
        <v>172</v>
      </c>
      <c r="CE15" s="943"/>
      <c r="CF15" s="944"/>
      <c r="CG15" s="942">
        <v>183</v>
      </c>
      <c r="CH15" s="943"/>
      <c r="CI15" s="944"/>
      <c r="CJ15" s="942">
        <v>355</v>
      </c>
      <c r="CK15" s="943"/>
      <c r="CL15" s="944"/>
      <c r="CM15" s="942">
        <v>4</v>
      </c>
      <c r="CN15" s="943"/>
      <c r="CO15" s="944"/>
      <c r="CP15" s="942">
        <v>1</v>
      </c>
      <c r="CQ15" s="943"/>
      <c r="CR15" s="944"/>
      <c r="CS15" s="952">
        <v>5</v>
      </c>
      <c r="CT15" s="953"/>
      <c r="CU15" s="954"/>
      <c r="CV15" s="955" t="s">
        <v>35</v>
      </c>
      <c r="CW15" s="956"/>
      <c r="CX15" s="957"/>
      <c r="CY15" s="239">
        <f t="shared" si="0"/>
        <v>90000</v>
      </c>
    </row>
    <row r="16" spans="1:106" ht="43.5" customHeight="1">
      <c r="A16" s="297">
        <v>9</v>
      </c>
      <c r="B16" s="958" t="s">
        <v>335</v>
      </c>
      <c r="C16" s="959"/>
      <c r="D16" s="960"/>
      <c r="E16" s="955" t="s">
        <v>327</v>
      </c>
      <c r="F16" s="956"/>
      <c r="G16" s="956"/>
      <c r="H16" s="957"/>
      <c r="I16" s="151" t="s">
        <v>336</v>
      </c>
      <c r="J16" s="950">
        <v>3</v>
      </c>
      <c r="K16" s="951"/>
      <c r="L16" s="942">
        <v>102</v>
      </c>
      <c r="M16" s="944"/>
      <c r="N16" s="945">
        <v>101</v>
      </c>
      <c r="O16" s="947"/>
      <c r="P16" s="942">
        <v>203</v>
      </c>
      <c r="Q16" s="944"/>
      <c r="R16" s="945">
        <v>3</v>
      </c>
      <c r="S16" s="947"/>
      <c r="T16" s="945">
        <v>110</v>
      </c>
      <c r="U16" s="947"/>
      <c r="V16" s="945">
        <v>95</v>
      </c>
      <c r="W16" s="946"/>
      <c r="X16" s="947"/>
      <c r="Y16" s="950">
        <v>205</v>
      </c>
      <c r="Z16" s="951"/>
      <c r="AA16" s="950">
        <v>3</v>
      </c>
      <c r="AB16" s="951"/>
      <c r="AC16" s="945">
        <v>72</v>
      </c>
      <c r="AD16" s="947"/>
      <c r="AE16" s="945">
        <v>67</v>
      </c>
      <c r="AF16" s="947"/>
      <c r="AG16" s="950">
        <v>139</v>
      </c>
      <c r="AH16" s="951"/>
      <c r="AI16" s="945">
        <v>9</v>
      </c>
      <c r="AJ16" s="947"/>
      <c r="AK16" s="942">
        <v>284</v>
      </c>
      <c r="AL16" s="944"/>
      <c r="AM16" s="942">
        <v>263</v>
      </c>
      <c r="AN16" s="943"/>
      <c r="AO16" s="944"/>
      <c r="AP16" s="945">
        <v>547</v>
      </c>
      <c r="AQ16" s="946"/>
      <c r="AR16" s="947"/>
      <c r="AS16" s="950">
        <v>0</v>
      </c>
      <c r="AT16" s="951"/>
      <c r="AU16" s="945">
        <v>0</v>
      </c>
      <c r="AV16" s="947"/>
      <c r="AW16" s="945">
        <v>0</v>
      </c>
      <c r="AX16" s="947"/>
      <c r="AY16" s="972">
        <v>0</v>
      </c>
      <c r="AZ16" s="973"/>
      <c r="BA16" s="91">
        <v>0</v>
      </c>
      <c r="BB16" s="942">
        <v>0</v>
      </c>
      <c r="BC16" s="944"/>
      <c r="BD16" s="942">
        <v>0</v>
      </c>
      <c r="BE16" s="944"/>
      <c r="BF16" s="952">
        <v>0</v>
      </c>
      <c r="BG16" s="953"/>
      <c r="BH16" s="954"/>
      <c r="BI16" s="942">
        <v>0</v>
      </c>
      <c r="BJ16" s="944"/>
      <c r="BK16" s="942">
        <v>0</v>
      </c>
      <c r="BL16" s="944"/>
      <c r="BM16" s="942">
        <v>0</v>
      </c>
      <c r="BN16" s="943"/>
      <c r="BO16" s="944"/>
      <c r="BP16" s="942">
        <v>0</v>
      </c>
      <c r="BQ16" s="944"/>
      <c r="BR16" s="942">
        <v>0</v>
      </c>
      <c r="BS16" s="944"/>
      <c r="BT16" s="952">
        <v>0</v>
      </c>
      <c r="BU16" s="954"/>
      <c r="BV16" s="952">
        <v>0</v>
      </c>
      <c r="BW16" s="953"/>
      <c r="BX16" s="954"/>
      <c r="BY16" s="972">
        <v>0</v>
      </c>
      <c r="BZ16" s="973"/>
      <c r="CA16" s="942">
        <v>9</v>
      </c>
      <c r="CB16" s="943"/>
      <c r="CC16" s="944"/>
      <c r="CD16" s="942">
        <v>284</v>
      </c>
      <c r="CE16" s="943"/>
      <c r="CF16" s="944"/>
      <c r="CG16" s="942">
        <v>263</v>
      </c>
      <c r="CH16" s="943"/>
      <c r="CI16" s="944"/>
      <c r="CJ16" s="942">
        <v>547</v>
      </c>
      <c r="CK16" s="943"/>
      <c r="CL16" s="944"/>
      <c r="CM16" s="942">
        <v>6</v>
      </c>
      <c r="CN16" s="943"/>
      <c r="CO16" s="944"/>
      <c r="CP16" s="942">
        <v>0</v>
      </c>
      <c r="CQ16" s="943"/>
      <c r="CR16" s="944"/>
      <c r="CS16" s="952">
        <v>6</v>
      </c>
      <c r="CT16" s="953"/>
      <c r="CU16" s="954"/>
      <c r="CV16" s="955" t="s">
        <v>35</v>
      </c>
      <c r="CW16" s="956"/>
      <c r="CX16" s="957"/>
      <c r="CY16" s="239">
        <f t="shared" si="0"/>
        <v>90000</v>
      </c>
    </row>
    <row r="17" spans="1:103" ht="43.5" customHeight="1">
      <c r="A17" s="297">
        <v>10</v>
      </c>
      <c r="B17" s="958" t="s">
        <v>337</v>
      </c>
      <c r="C17" s="959"/>
      <c r="D17" s="960"/>
      <c r="E17" s="955" t="s">
        <v>327</v>
      </c>
      <c r="F17" s="956"/>
      <c r="G17" s="956"/>
      <c r="H17" s="957"/>
      <c r="I17" s="151" t="s">
        <v>338</v>
      </c>
      <c r="J17" s="950">
        <v>4</v>
      </c>
      <c r="K17" s="951"/>
      <c r="L17" s="942">
        <v>210</v>
      </c>
      <c r="M17" s="944"/>
      <c r="N17" s="945">
        <v>171</v>
      </c>
      <c r="O17" s="947"/>
      <c r="P17" s="942">
        <v>381</v>
      </c>
      <c r="Q17" s="944"/>
      <c r="R17" s="945">
        <v>4</v>
      </c>
      <c r="S17" s="947"/>
      <c r="T17" s="945">
        <v>225</v>
      </c>
      <c r="U17" s="947"/>
      <c r="V17" s="945">
        <v>165</v>
      </c>
      <c r="W17" s="946"/>
      <c r="X17" s="947"/>
      <c r="Y17" s="950">
        <v>390</v>
      </c>
      <c r="Z17" s="951"/>
      <c r="AA17" s="950">
        <v>4</v>
      </c>
      <c r="AB17" s="951"/>
      <c r="AC17" s="945">
        <v>158</v>
      </c>
      <c r="AD17" s="947"/>
      <c r="AE17" s="945">
        <v>140</v>
      </c>
      <c r="AF17" s="947"/>
      <c r="AG17" s="950">
        <v>298</v>
      </c>
      <c r="AH17" s="951"/>
      <c r="AI17" s="945">
        <v>12</v>
      </c>
      <c r="AJ17" s="947"/>
      <c r="AK17" s="942">
        <v>593</v>
      </c>
      <c r="AL17" s="944"/>
      <c r="AM17" s="942">
        <v>476</v>
      </c>
      <c r="AN17" s="943"/>
      <c r="AO17" s="944"/>
      <c r="AP17" s="945">
        <v>1069</v>
      </c>
      <c r="AQ17" s="946"/>
      <c r="AR17" s="947"/>
      <c r="AS17" s="950">
        <v>0</v>
      </c>
      <c r="AT17" s="951"/>
      <c r="AU17" s="945">
        <v>0</v>
      </c>
      <c r="AV17" s="947"/>
      <c r="AW17" s="945">
        <v>0</v>
      </c>
      <c r="AX17" s="947"/>
      <c r="AY17" s="972">
        <v>0</v>
      </c>
      <c r="AZ17" s="973"/>
      <c r="BA17" s="91">
        <v>0</v>
      </c>
      <c r="BB17" s="942">
        <v>0</v>
      </c>
      <c r="BC17" s="944"/>
      <c r="BD17" s="942">
        <v>0</v>
      </c>
      <c r="BE17" s="944"/>
      <c r="BF17" s="952">
        <v>0</v>
      </c>
      <c r="BG17" s="953"/>
      <c r="BH17" s="954"/>
      <c r="BI17" s="942">
        <v>0</v>
      </c>
      <c r="BJ17" s="944"/>
      <c r="BK17" s="942">
        <v>0</v>
      </c>
      <c r="BL17" s="944"/>
      <c r="BM17" s="942">
        <v>0</v>
      </c>
      <c r="BN17" s="943"/>
      <c r="BO17" s="944"/>
      <c r="BP17" s="942">
        <v>0</v>
      </c>
      <c r="BQ17" s="944"/>
      <c r="BR17" s="942">
        <v>0</v>
      </c>
      <c r="BS17" s="944"/>
      <c r="BT17" s="952">
        <v>0</v>
      </c>
      <c r="BU17" s="954"/>
      <c r="BV17" s="952">
        <v>0</v>
      </c>
      <c r="BW17" s="953"/>
      <c r="BX17" s="954"/>
      <c r="BY17" s="972">
        <v>0</v>
      </c>
      <c r="BZ17" s="973"/>
      <c r="CA17" s="942">
        <v>12</v>
      </c>
      <c r="CB17" s="943"/>
      <c r="CC17" s="944"/>
      <c r="CD17" s="942">
        <v>593</v>
      </c>
      <c r="CE17" s="943"/>
      <c r="CF17" s="944"/>
      <c r="CG17" s="942">
        <v>476</v>
      </c>
      <c r="CH17" s="943"/>
      <c r="CI17" s="944"/>
      <c r="CJ17" s="942">
        <v>1069</v>
      </c>
      <c r="CK17" s="943"/>
      <c r="CL17" s="944"/>
      <c r="CM17" s="942">
        <v>9</v>
      </c>
      <c r="CN17" s="943"/>
      <c r="CO17" s="944"/>
      <c r="CP17" s="942">
        <v>5</v>
      </c>
      <c r="CQ17" s="943"/>
      <c r="CR17" s="944"/>
      <c r="CS17" s="945">
        <v>14</v>
      </c>
      <c r="CT17" s="946"/>
      <c r="CU17" s="947"/>
      <c r="CV17" s="955" t="s">
        <v>35</v>
      </c>
      <c r="CW17" s="956"/>
      <c r="CX17" s="957"/>
      <c r="CY17" s="239">
        <f t="shared" si="0"/>
        <v>150000</v>
      </c>
    </row>
    <row r="18" spans="1:103" ht="54.75" customHeight="1">
      <c r="A18" s="297">
        <v>11</v>
      </c>
      <c r="B18" s="958" t="s">
        <v>339</v>
      </c>
      <c r="C18" s="959"/>
      <c r="D18" s="960"/>
      <c r="E18" s="955" t="s">
        <v>323</v>
      </c>
      <c r="F18" s="956"/>
      <c r="G18" s="956"/>
      <c r="H18" s="957"/>
      <c r="I18" s="90" t="s">
        <v>321</v>
      </c>
      <c r="J18" s="950">
        <v>3</v>
      </c>
      <c r="K18" s="951"/>
      <c r="L18" s="942">
        <v>83</v>
      </c>
      <c r="M18" s="944"/>
      <c r="N18" s="945">
        <v>61</v>
      </c>
      <c r="O18" s="947"/>
      <c r="P18" s="942">
        <v>144</v>
      </c>
      <c r="Q18" s="944"/>
      <c r="R18" s="945">
        <v>3</v>
      </c>
      <c r="S18" s="947"/>
      <c r="T18" s="945">
        <v>77</v>
      </c>
      <c r="U18" s="947"/>
      <c r="V18" s="945">
        <v>66</v>
      </c>
      <c r="W18" s="946"/>
      <c r="X18" s="947"/>
      <c r="Y18" s="950">
        <v>143</v>
      </c>
      <c r="Z18" s="951"/>
      <c r="AA18" s="950">
        <v>2</v>
      </c>
      <c r="AB18" s="951"/>
      <c r="AC18" s="945">
        <v>91</v>
      </c>
      <c r="AD18" s="947"/>
      <c r="AE18" s="945">
        <v>59</v>
      </c>
      <c r="AF18" s="947"/>
      <c r="AG18" s="950">
        <v>150</v>
      </c>
      <c r="AH18" s="951"/>
      <c r="AI18" s="945">
        <v>8</v>
      </c>
      <c r="AJ18" s="947"/>
      <c r="AK18" s="942">
        <v>251</v>
      </c>
      <c r="AL18" s="944"/>
      <c r="AM18" s="942">
        <v>186</v>
      </c>
      <c r="AN18" s="943"/>
      <c r="AO18" s="944"/>
      <c r="AP18" s="945">
        <v>437</v>
      </c>
      <c r="AQ18" s="946"/>
      <c r="AR18" s="947"/>
      <c r="AS18" s="950">
        <v>0</v>
      </c>
      <c r="AT18" s="951"/>
      <c r="AU18" s="945">
        <v>0</v>
      </c>
      <c r="AV18" s="947"/>
      <c r="AW18" s="945">
        <v>0</v>
      </c>
      <c r="AX18" s="947"/>
      <c r="AY18" s="972">
        <v>0</v>
      </c>
      <c r="AZ18" s="973"/>
      <c r="BA18" s="91">
        <v>0</v>
      </c>
      <c r="BB18" s="942">
        <v>0</v>
      </c>
      <c r="BC18" s="944"/>
      <c r="BD18" s="942">
        <v>0</v>
      </c>
      <c r="BE18" s="944"/>
      <c r="BF18" s="952">
        <v>0</v>
      </c>
      <c r="BG18" s="953"/>
      <c r="BH18" s="954"/>
      <c r="BI18" s="942">
        <v>0</v>
      </c>
      <c r="BJ18" s="944"/>
      <c r="BK18" s="942">
        <v>0</v>
      </c>
      <c r="BL18" s="944"/>
      <c r="BM18" s="942">
        <v>0</v>
      </c>
      <c r="BN18" s="943"/>
      <c r="BO18" s="944"/>
      <c r="BP18" s="942">
        <v>0</v>
      </c>
      <c r="BQ18" s="944"/>
      <c r="BR18" s="942">
        <v>0</v>
      </c>
      <c r="BS18" s="944"/>
      <c r="BT18" s="952">
        <v>0</v>
      </c>
      <c r="BU18" s="954"/>
      <c r="BV18" s="952">
        <v>0</v>
      </c>
      <c r="BW18" s="953"/>
      <c r="BX18" s="954"/>
      <c r="BY18" s="972">
        <v>0</v>
      </c>
      <c r="BZ18" s="973"/>
      <c r="CA18" s="942">
        <v>8</v>
      </c>
      <c r="CB18" s="943"/>
      <c r="CC18" s="944"/>
      <c r="CD18" s="942">
        <v>251</v>
      </c>
      <c r="CE18" s="943"/>
      <c r="CF18" s="944"/>
      <c r="CG18" s="942">
        <v>186</v>
      </c>
      <c r="CH18" s="943"/>
      <c r="CI18" s="944"/>
      <c r="CJ18" s="942">
        <v>437</v>
      </c>
      <c r="CK18" s="943"/>
      <c r="CL18" s="944"/>
      <c r="CM18" s="966">
        <v>15</v>
      </c>
      <c r="CN18" s="967"/>
      <c r="CO18" s="968"/>
      <c r="CP18" s="966">
        <v>5</v>
      </c>
      <c r="CQ18" s="967"/>
      <c r="CR18" s="968"/>
      <c r="CS18" s="974">
        <v>20</v>
      </c>
      <c r="CT18" s="975"/>
      <c r="CU18" s="976"/>
      <c r="CV18" s="969" t="s">
        <v>35</v>
      </c>
      <c r="CW18" s="970"/>
      <c r="CX18" s="971"/>
      <c r="CY18" s="239">
        <f t="shared" si="0"/>
        <v>90000</v>
      </c>
    </row>
    <row r="19" spans="1:103" ht="43.5" customHeight="1">
      <c r="A19" s="297">
        <v>12</v>
      </c>
      <c r="B19" s="958" t="s">
        <v>340</v>
      </c>
      <c r="C19" s="959"/>
      <c r="D19" s="960"/>
      <c r="E19" s="955" t="s">
        <v>341</v>
      </c>
      <c r="F19" s="956"/>
      <c r="G19" s="956"/>
      <c r="H19" s="957"/>
      <c r="I19" s="90" t="s">
        <v>321</v>
      </c>
      <c r="J19" s="950">
        <v>0</v>
      </c>
      <c r="K19" s="951"/>
      <c r="L19" s="942">
        <v>0</v>
      </c>
      <c r="M19" s="944"/>
      <c r="N19" s="952">
        <v>0</v>
      </c>
      <c r="O19" s="954"/>
      <c r="P19" s="942">
        <v>0</v>
      </c>
      <c r="Q19" s="944"/>
      <c r="R19" s="945">
        <v>0</v>
      </c>
      <c r="S19" s="947"/>
      <c r="T19" s="952">
        <v>0</v>
      </c>
      <c r="U19" s="954"/>
      <c r="V19" s="952">
        <v>0</v>
      </c>
      <c r="W19" s="953"/>
      <c r="X19" s="954"/>
      <c r="Y19" s="950">
        <v>0</v>
      </c>
      <c r="Z19" s="951"/>
      <c r="AA19" s="950">
        <v>0</v>
      </c>
      <c r="AB19" s="951"/>
      <c r="AC19" s="945">
        <v>0</v>
      </c>
      <c r="AD19" s="947"/>
      <c r="AE19" s="945">
        <v>0</v>
      </c>
      <c r="AF19" s="947"/>
      <c r="AG19" s="950">
        <v>0</v>
      </c>
      <c r="AH19" s="951"/>
      <c r="AI19" s="945">
        <v>0</v>
      </c>
      <c r="AJ19" s="947"/>
      <c r="AK19" s="942">
        <v>0</v>
      </c>
      <c r="AL19" s="944"/>
      <c r="AM19" s="942">
        <v>0</v>
      </c>
      <c r="AN19" s="943"/>
      <c r="AO19" s="944"/>
      <c r="AP19" s="952">
        <v>0</v>
      </c>
      <c r="AQ19" s="953"/>
      <c r="AR19" s="954"/>
      <c r="AS19" s="950">
        <v>9</v>
      </c>
      <c r="AT19" s="951"/>
      <c r="AU19" s="945">
        <v>278</v>
      </c>
      <c r="AV19" s="947"/>
      <c r="AW19" s="945">
        <v>272</v>
      </c>
      <c r="AX19" s="947"/>
      <c r="AY19" s="950">
        <v>550</v>
      </c>
      <c r="AZ19" s="951"/>
      <c r="BA19" s="91">
        <v>9</v>
      </c>
      <c r="BB19" s="942">
        <v>170</v>
      </c>
      <c r="BC19" s="944"/>
      <c r="BD19" s="942">
        <v>166</v>
      </c>
      <c r="BE19" s="944"/>
      <c r="BF19" s="945">
        <v>336</v>
      </c>
      <c r="BG19" s="946"/>
      <c r="BH19" s="947"/>
      <c r="BI19" s="942">
        <v>9</v>
      </c>
      <c r="BJ19" s="944"/>
      <c r="BK19" s="942">
        <v>152</v>
      </c>
      <c r="BL19" s="944"/>
      <c r="BM19" s="942">
        <v>158</v>
      </c>
      <c r="BN19" s="943"/>
      <c r="BO19" s="944"/>
      <c r="BP19" s="942">
        <v>310</v>
      </c>
      <c r="BQ19" s="944"/>
      <c r="BR19" s="942">
        <v>27</v>
      </c>
      <c r="BS19" s="944"/>
      <c r="BT19" s="945">
        <v>600</v>
      </c>
      <c r="BU19" s="947"/>
      <c r="BV19" s="945">
        <v>596</v>
      </c>
      <c r="BW19" s="946"/>
      <c r="BX19" s="947"/>
      <c r="BY19" s="950">
        <v>1196</v>
      </c>
      <c r="BZ19" s="951"/>
      <c r="CA19" s="942">
        <v>27</v>
      </c>
      <c r="CB19" s="943"/>
      <c r="CC19" s="944"/>
      <c r="CD19" s="942">
        <v>600</v>
      </c>
      <c r="CE19" s="943"/>
      <c r="CF19" s="944"/>
      <c r="CG19" s="942">
        <v>596</v>
      </c>
      <c r="CH19" s="943"/>
      <c r="CI19" s="944"/>
      <c r="CJ19" s="942">
        <v>1196</v>
      </c>
      <c r="CK19" s="943"/>
      <c r="CL19" s="944"/>
      <c r="CM19" s="942">
        <v>14</v>
      </c>
      <c r="CN19" s="943"/>
      <c r="CO19" s="944"/>
      <c r="CP19" s="942">
        <v>13</v>
      </c>
      <c r="CQ19" s="943"/>
      <c r="CR19" s="944"/>
      <c r="CS19" s="945">
        <v>27</v>
      </c>
      <c r="CT19" s="946"/>
      <c r="CU19" s="947"/>
      <c r="CV19" s="955" t="s">
        <v>35</v>
      </c>
      <c r="CW19" s="956"/>
      <c r="CX19" s="957"/>
      <c r="CY19" s="239">
        <f t="shared" si="0"/>
        <v>150000</v>
      </c>
    </row>
    <row r="20" spans="1:103" ht="43.5" customHeight="1">
      <c r="A20" s="297">
        <v>13</v>
      </c>
      <c r="B20" s="958" t="s">
        <v>342</v>
      </c>
      <c r="C20" s="959"/>
      <c r="D20" s="960"/>
      <c r="E20" s="955" t="s">
        <v>330</v>
      </c>
      <c r="F20" s="956"/>
      <c r="G20" s="956"/>
      <c r="H20" s="957"/>
      <c r="I20" s="151" t="s">
        <v>343</v>
      </c>
      <c r="J20" s="950">
        <v>0</v>
      </c>
      <c r="K20" s="951"/>
      <c r="L20" s="942">
        <v>0</v>
      </c>
      <c r="M20" s="944"/>
      <c r="N20" s="952">
        <v>0</v>
      </c>
      <c r="O20" s="954"/>
      <c r="P20" s="942">
        <v>0</v>
      </c>
      <c r="Q20" s="944"/>
      <c r="R20" s="945">
        <v>0</v>
      </c>
      <c r="S20" s="947"/>
      <c r="T20" s="952">
        <v>0</v>
      </c>
      <c r="U20" s="954"/>
      <c r="V20" s="952">
        <v>0</v>
      </c>
      <c r="W20" s="953"/>
      <c r="X20" s="954"/>
      <c r="Y20" s="950">
        <v>0</v>
      </c>
      <c r="Z20" s="951"/>
      <c r="AA20" s="950">
        <v>0</v>
      </c>
      <c r="AB20" s="951"/>
      <c r="AC20" s="945">
        <v>0</v>
      </c>
      <c r="AD20" s="947"/>
      <c r="AE20" s="945">
        <v>0</v>
      </c>
      <c r="AF20" s="947"/>
      <c r="AG20" s="950">
        <v>0</v>
      </c>
      <c r="AH20" s="951"/>
      <c r="AI20" s="945">
        <v>0</v>
      </c>
      <c r="AJ20" s="947"/>
      <c r="AK20" s="942">
        <v>0</v>
      </c>
      <c r="AL20" s="944"/>
      <c r="AM20" s="942">
        <v>0</v>
      </c>
      <c r="AN20" s="943"/>
      <c r="AO20" s="944"/>
      <c r="AP20" s="952">
        <v>0</v>
      </c>
      <c r="AQ20" s="953"/>
      <c r="AR20" s="954"/>
      <c r="AS20" s="950">
        <v>2</v>
      </c>
      <c r="AT20" s="951"/>
      <c r="AU20" s="945">
        <v>54</v>
      </c>
      <c r="AV20" s="947"/>
      <c r="AW20" s="945">
        <v>37</v>
      </c>
      <c r="AX20" s="947"/>
      <c r="AY20" s="950">
        <v>91</v>
      </c>
      <c r="AZ20" s="951"/>
      <c r="BA20" s="91">
        <v>2</v>
      </c>
      <c r="BB20" s="942">
        <v>31</v>
      </c>
      <c r="BC20" s="944"/>
      <c r="BD20" s="942">
        <v>23</v>
      </c>
      <c r="BE20" s="944"/>
      <c r="BF20" s="945">
        <v>54</v>
      </c>
      <c r="BG20" s="946"/>
      <c r="BH20" s="947"/>
      <c r="BI20" s="942">
        <v>1</v>
      </c>
      <c r="BJ20" s="944"/>
      <c r="BK20" s="942">
        <v>27</v>
      </c>
      <c r="BL20" s="944"/>
      <c r="BM20" s="942">
        <v>15</v>
      </c>
      <c r="BN20" s="943"/>
      <c r="BO20" s="944"/>
      <c r="BP20" s="942">
        <v>42</v>
      </c>
      <c r="BQ20" s="944"/>
      <c r="BR20" s="942">
        <v>5</v>
      </c>
      <c r="BS20" s="944"/>
      <c r="BT20" s="945">
        <v>112</v>
      </c>
      <c r="BU20" s="947"/>
      <c r="BV20" s="945">
        <v>75</v>
      </c>
      <c r="BW20" s="946"/>
      <c r="BX20" s="947"/>
      <c r="BY20" s="950">
        <v>187</v>
      </c>
      <c r="BZ20" s="951"/>
      <c r="CA20" s="942">
        <v>5</v>
      </c>
      <c r="CB20" s="943"/>
      <c r="CC20" s="944"/>
      <c r="CD20" s="942">
        <v>112</v>
      </c>
      <c r="CE20" s="943"/>
      <c r="CF20" s="944"/>
      <c r="CG20" s="942">
        <v>75</v>
      </c>
      <c r="CH20" s="943"/>
      <c r="CI20" s="944"/>
      <c r="CJ20" s="942">
        <v>187</v>
      </c>
      <c r="CK20" s="943"/>
      <c r="CL20" s="944"/>
      <c r="CM20" s="942">
        <v>6</v>
      </c>
      <c r="CN20" s="943"/>
      <c r="CO20" s="944"/>
      <c r="CP20" s="942">
        <v>4</v>
      </c>
      <c r="CQ20" s="943"/>
      <c r="CR20" s="944"/>
      <c r="CS20" s="945">
        <v>10</v>
      </c>
      <c r="CT20" s="946"/>
      <c r="CU20" s="947"/>
      <c r="CV20" s="955" t="s">
        <v>35</v>
      </c>
      <c r="CW20" s="956"/>
      <c r="CX20" s="957"/>
      <c r="CY20" s="239">
        <f t="shared" si="0"/>
        <v>90000</v>
      </c>
    </row>
    <row r="21" spans="1:103" ht="43.5" customHeight="1">
      <c r="A21" s="297">
        <v>14</v>
      </c>
      <c r="B21" s="958" t="s">
        <v>344</v>
      </c>
      <c r="C21" s="959"/>
      <c r="D21" s="960"/>
      <c r="E21" s="955" t="s">
        <v>323</v>
      </c>
      <c r="F21" s="956"/>
      <c r="G21" s="956"/>
      <c r="H21" s="957"/>
      <c r="I21" s="151" t="s">
        <v>345</v>
      </c>
      <c r="J21" s="950">
        <v>0</v>
      </c>
      <c r="K21" s="951"/>
      <c r="L21" s="942">
        <v>0</v>
      </c>
      <c r="M21" s="944"/>
      <c r="N21" s="952">
        <v>0</v>
      </c>
      <c r="O21" s="954"/>
      <c r="P21" s="942">
        <v>0</v>
      </c>
      <c r="Q21" s="944"/>
      <c r="R21" s="945">
        <v>0</v>
      </c>
      <c r="S21" s="947"/>
      <c r="T21" s="952">
        <v>0</v>
      </c>
      <c r="U21" s="954"/>
      <c r="V21" s="952">
        <v>0</v>
      </c>
      <c r="W21" s="953"/>
      <c r="X21" s="954"/>
      <c r="Y21" s="950">
        <v>0</v>
      </c>
      <c r="Z21" s="951"/>
      <c r="AA21" s="950">
        <v>0</v>
      </c>
      <c r="AB21" s="951"/>
      <c r="AC21" s="945">
        <v>0</v>
      </c>
      <c r="AD21" s="947"/>
      <c r="AE21" s="945">
        <v>0</v>
      </c>
      <c r="AF21" s="947"/>
      <c r="AG21" s="950">
        <v>0</v>
      </c>
      <c r="AH21" s="951"/>
      <c r="AI21" s="945">
        <v>0</v>
      </c>
      <c r="AJ21" s="947"/>
      <c r="AK21" s="942">
        <v>0</v>
      </c>
      <c r="AL21" s="944"/>
      <c r="AM21" s="942">
        <v>0</v>
      </c>
      <c r="AN21" s="943"/>
      <c r="AO21" s="944"/>
      <c r="AP21" s="952">
        <v>0</v>
      </c>
      <c r="AQ21" s="953"/>
      <c r="AR21" s="954"/>
      <c r="AS21" s="950">
        <v>3</v>
      </c>
      <c r="AT21" s="951"/>
      <c r="AU21" s="945">
        <v>88</v>
      </c>
      <c r="AV21" s="947"/>
      <c r="AW21" s="945">
        <v>81</v>
      </c>
      <c r="AX21" s="947"/>
      <c r="AY21" s="950">
        <v>169</v>
      </c>
      <c r="AZ21" s="951"/>
      <c r="BA21" s="91">
        <v>3</v>
      </c>
      <c r="BB21" s="942">
        <v>100</v>
      </c>
      <c r="BC21" s="944"/>
      <c r="BD21" s="942">
        <v>89</v>
      </c>
      <c r="BE21" s="944"/>
      <c r="BF21" s="945">
        <v>189</v>
      </c>
      <c r="BG21" s="946"/>
      <c r="BH21" s="947"/>
      <c r="BI21" s="942">
        <v>3</v>
      </c>
      <c r="BJ21" s="944"/>
      <c r="BK21" s="942">
        <v>65</v>
      </c>
      <c r="BL21" s="944"/>
      <c r="BM21" s="942">
        <v>63</v>
      </c>
      <c r="BN21" s="943"/>
      <c r="BO21" s="944"/>
      <c r="BP21" s="942">
        <v>128</v>
      </c>
      <c r="BQ21" s="944"/>
      <c r="BR21" s="942">
        <v>9</v>
      </c>
      <c r="BS21" s="944"/>
      <c r="BT21" s="945">
        <v>253</v>
      </c>
      <c r="BU21" s="947"/>
      <c r="BV21" s="945">
        <v>233</v>
      </c>
      <c r="BW21" s="946"/>
      <c r="BX21" s="947"/>
      <c r="BY21" s="950">
        <v>486</v>
      </c>
      <c r="BZ21" s="951"/>
      <c r="CA21" s="942">
        <v>9</v>
      </c>
      <c r="CB21" s="943"/>
      <c r="CC21" s="944"/>
      <c r="CD21" s="942">
        <v>253</v>
      </c>
      <c r="CE21" s="943"/>
      <c r="CF21" s="944"/>
      <c r="CG21" s="942">
        <v>233</v>
      </c>
      <c r="CH21" s="943"/>
      <c r="CI21" s="944"/>
      <c r="CJ21" s="942">
        <v>486</v>
      </c>
      <c r="CK21" s="943"/>
      <c r="CL21" s="944"/>
      <c r="CM21" s="942">
        <v>9</v>
      </c>
      <c r="CN21" s="943"/>
      <c r="CO21" s="944"/>
      <c r="CP21" s="942">
        <v>3</v>
      </c>
      <c r="CQ21" s="943"/>
      <c r="CR21" s="944"/>
      <c r="CS21" s="945">
        <v>12</v>
      </c>
      <c r="CT21" s="946"/>
      <c r="CU21" s="947"/>
      <c r="CV21" s="955" t="s">
        <v>35</v>
      </c>
      <c r="CW21" s="956"/>
      <c r="CX21" s="957"/>
      <c r="CY21" s="239">
        <f t="shared" si="0"/>
        <v>90000</v>
      </c>
    </row>
    <row r="22" spans="1:103" ht="43.5" customHeight="1">
      <c r="A22" s="297">
        <v>15</v>
      </c>
      <c r="B22" s="958" t="s">
        <v>346</v>
      </c>
      <c r="C22" s="959"/>
      <c r="D22" s="960"/>
      <c r="E22" s="955" t="s">
        <v>323</v>
      </c>
      <c r="F22" s="956"/>
      <c r="G22" s="956"/>
      <c r="H22" s="957"/>
      <c r="I22" s="90" t="s">
        <v>321</v>
      </c>
      <c r="J22" s="950">
        <v>0</v>
      </c>
      <c r="K22" s="951"/>
      <c r="L22" s="942">
        <v>0</v>
      </c>
      <c r="M22" s="944"/>
      <c r="N22" s="952">
        <v>0</v>
      </c>
      <c r="O22" s="954"/>
      <c r="P22" s="942">
        <v>0</v>
      </c>
      <c r="Q22" s="944"/>
      <c r="R22" s="945">
        <v>0</v>
      </c>
      <c r="S22" s="947"/>
      <c r="T22" s="952">
        <v>0</v>
      </c>
      <c r="U22" s="954"/>
      <c r="V22" s="952">
        <v>0</v>
      </c>
      <c r="W22" s="953"/>
      <c r="X22" s="954"/>
      <c r="Y22" s="950">
        <v>0</v>
      </c>
      <c r="Z22" s="951"/>
      <c r="AA22" s="950">
        <v>0</v>
      </c>
      <c r="AB22" s="951"/>
      <c r="AC22" s="945">
        <v>0</v>
      </c>
      <c r="AD22" s="947"/>
      <c r="AE22" s="945">
        <v>0</v>
      </c>
      <c r="AF22" s="947"/>
      <c r="AG22" s="950">
        <v>0</v>
      </c>
      <c r="AH22" s="951"/>
      <c r="AI22" s="945">
        <v>0</v>
      </c>
      <c r="AJ22" s="947"/>
      <c r="AK22" s="942">
        <v>0</v>
      </c>
      <c r="AL22" s="944"/>
      <c r="AM22" s="942">
        <v>0</v>
      </c>
      <c r="AN22" s="943"/>
      <c r="AO22" s="944"/>
      <c r="AP22" s="952">
        <v>0</v>
      </c>
      <c r="AQ22" s="953"/>
      <c r="AR22" s="954"/>
      <c r="AS22" s="950">
        <v>3</v>
      </c>
      <c r="AT22" s="951"/>
      <c r="AU22" s="945">
        <v>103</v>
      </c>
      <c r="AV22" s="947"/>
      <c r="AW22" s="945">
        <v>100</v>
      </c>
      <c r="AX22" s="947"/>
      <c r="AY22" s="950">
        <v>203</v>
      </c>
      <c r="AZ22" s="951"/>
      <c r="BA22" s="91">
        <v>3</v>
      </c>
      <c r="BB22" s="942">
        <v>64</v>
      </c>
      <c r="BC22" s="944"/>
      <c r="BD22" s="942">
        <v>82</v>
      </c>
      <c r="BE22" s="944"/>
      <c r="BF22" s="945">
        <v>146</v>
      </c>
      <c r="BG22" s="946"/>
      <c r="BH22" s="947"/>
      <c r="BI22" s="942">
        <v>3</v>
      </c>
      <c r="BJ22" s="944"/>
      <c r="BK22" s="942">
        <v>75</v>
      </c>
      <c r="BL22" s="944"/>
      <c r="BM22" s="942">
        <v>54</v>
      </c>
      <c r="BN22" s="943"/>
      <c r="BO22" s="944"/>
      <c r="BP22" s="942">
        <v>129</v>
      </c>
      <c r="BQ22" s="944"/>
      <c r="BR22" s="942">
        <v>9</v>
      </c>
      <c r="BS22" s="944"/>
      <c r="BT22" s="945">
        <v>242</v>
      </c>
      <c r="BU22" s="947"/>
      <c r="BV22" s="945">
        <v>236</v>
      </c>
      <c r="BW22" s="946"/>
      <c r="BX22" s="947"/>
      <c r="BY22" s="950">
        <v>478</v>
      </c>
      <c r="BZ22" s="951"/>
      <c r="CA22" s="942">
        <v>9</v>
      </c>
      <c r="CB22" s="943"/>
      <c r="CC22" s="944"/>
      <c r="CD22" s="942">
        <v>242</v>
      </c>
      <c r="CE22" s="943"/>
      <c r="CF22" s="944"/>
      <c r="CG22" s="942">
        <v>236</v>
      </c>
      <c r="CH22" s="943"/>
      <c r="CI22" s="944"/>
      <c r="CJ22" s="942">
        <v>478</v>
      </c>
      <c r="CK22" s="943"/>
      <c r="CL22" s="944"/>
      <c r="CM22" s="942">
        <v>9</v>
      </c>
      <c r="CN22" s="943"/>
      <c r="CO22" s="944"/>
      <c r="CP22" s="942">
        <v>5</v>
      </c>
      <c r="CQ22" s="943"/>
      <c r="CR22" s="944"/>
      <c r="CS22" s="945">
        <v>14</v>
      </c>
      <c r="CT22" s="946"/>
      <c r="CU22" s="947"/>
      <c r="CV22" s="955" t="s">
        <v>35</v>
      </c>
      <c r="CW22" s="956"/>
      <c r="CX22" s="957"/>
      <c r="CY22" s="239">
        <f t="shared" si="0"/>
        <v>90000</v>
      </c>
    </row>
    <row r="23" spans="1:103" ht="43.5" customHeight="1">
      <c r="A23" s="297">
        <v>16</v>
      </c>
      <c r="B23" s="958" t="s">
        <v>347</v>
      </c>
      <c r="C23" s="959"/>
      <c r="D23" s="960"/>
      <c r="E23" s="955" t="s">
        <v>327</v>
      </c>
      <c r="F23" s="956"/>
      <c r="G23" s="956"/>
      <c r="H23" s="957"/>
      <c r="I23" s="151" t="s">
        <v>328</v>
      </c>
      <c r="J23" s="950">
        <v>0</v>
      </c>
      <c r="K23" s="951"/>
      <c r="L23" s="942">
        <v>0</v>
      </c>
      <c r="M23" s="944"/>
      <c r="N23" s="952">
        <v>0</v>
      </c>
      <c r="O23" s="954"/>
      <c r="P23" s="942">
        <v>0</v>
      </c>
      <c r="Q23" s="944"/>
      <c r="R23" s="945">
        <v>0</v>
      </c>
      <c r="S23" s="947"/>
      <c r="T23" s="952">
        <v>0</v>
      </c>
      <c r="U23" s="954"/>
      <c r="V23" s="952">
        <v>0</v>
      </c>
      <c r="W23" s="953"/>
      <c r="X23" s="954"/>
      <c r="Y23" s="950">
        <v>0</v>
      </c>
      <c r="Z23" s="951"/>
      <c r="AA23" s="950">
        <v>0</v>
      </c>
      <c r="AB23" s="951"/>
      <c r="AC23" s="945">
        <v>0</v>
      </c>
      <c r="AD23" s="947"/>
      <c r="AE23" s="945">
        <v>0</v>
      </c>
      <c r="AF23" s="947"/>
      <c r="AG23" s="950">
        <v>0</v>
      </c>
      <c r="AH23" s="951"/>
      <c r="AI23" s="945">
        <v>0</v>
      </c>
      <c r="AJ23" s="947"/>
      <c r="AK23" s="942">
        <v>0</v>
      </c>
      <c r="AL23" s="944"/>
      <c r="AM23" s="942">
        <v>0</v>
      </c>
      <c r="AN23" s="943"/>
      <c r="AO23" s="944"/>
      <c r="AP23" s="952">
        <v>0</v>
      </c>
      <c r="AQ23" s="953"/>
      <c r="AR23" s="954"/>
      <c r="AS23" s="950">
        <v>2</v>
      </c>
      <c r="AT23" s="951"/>
      <c r="AU23" s="945">
        <v>36</v>
      </c>
      <c r="AV23" s="947"/>
      <c r="AW23" s="945">
        <v>41</v>
      </c>
      <c r="AX23" s="947"/>
      <c r="AY23" s="950">
        <v>77</v>
      </c>
      <c r="AZ23" s="951"/>
      <c r="BA23" s="91">
        <v>2</v>
      </c>
      <c r="BB23" s="942">
        <v>29</v>
      </c>
      <c r="BC23" s="944"/>
      <c r="BD23" s="942">
        <v>25</v>
      </c>
      <c r="BE23" s="944"/>
      <c r="BF23" s="945">
        <v>54</v>
      </c>
      <c r="BG23" s="946"/>
      <c r="BH23" s="947"/>
      <c r="BI23" s="942">
        <v>2</v>
      </c>
      <c r="BJ23" s="944"/>
      <c r="BK23" s="942">
        <v>21</v>
      </c>
      <c r="BL23" s="944"/>
      <c r="BM23" s="942">
        <v>24</v>
      </c>
      <c r="BN23" s="943"/>
      <c r="BO23" s="944"/>
      <c r="BP23" s="942">
        <v>45</v>
      </c>
      <c r="BQ23" s="944"/>
      <c r="BR23" s="942">
        <v>6</v>
      </c>
      <c r="BS23" s="944"/>
      <c r="BT23" s="945">
        <v>86</v>
      </c>
      <c r="BU23" s="947"/>
      <c r="BV23" s="945">
        <v>90</v>
      </c>
      <c r="BW23" s="946"/>
      <c r="BX23" s="947"/>
      <c r="BY23" s="950">
        <v>176</v>
      </c>
      <c r="BZ23" s="951"/>
      <c r="CA23" s="942">
        <v>6</v>
      </c>
      <c r="CB23" s="943"/>
      <c r="CC23" s="944"/>
      <c r="CD23" s="942">
        <v>86</v>
      </c>
      <c r="CE23" s="943"/>
      <c r="CF23" s="944"/>
      <c r="CG23" s="942">
        <v>90</v>
      </c>
      <c r="CH23" s="943"/>
      <c r="CI23" s="944"/>
      <c r="CJ23" s="942">
        <v>176</v>
      </c>
      <c r="CK23" s="943"/>
      <c r="CL23" s="944"/>
      <c r="CM23" s="942">
        <v>11</v>
      </c>
      <c r="CN23" s="943"/>
      <c r="CO23" s="944"/>
      <c r="CP23" s="942">
        <v>0</v>
      </c>
      <c r="CQ23" s="943"/>
      <c r="CR23" s="944"/>
      <c r="CS23" s="945">
        <v>11</v>
      </c>
      <c r="CT23" s="946"/>
      <c r="CU23" s="947"/>
      <c r="CV23" s="955" t="s">
        <v>35</v>
      </c>
      <c r="CW23" s="956"/>
      <c r="CX23" s="957"/>
      <c r="CY23" s="239">
        <f t="shared" si="0"/>
        <v>90000</v>
      </c>
    </row>
    <row r="24" spans="1:103" ht="43.5" customHeight="1">
      <c r="A24" s="297">
        <v>17</v>
      </c>
      <c r="B24" s="958" t="s">
        <v>348</v>
      </c>
      <c r="C24" s="959"/>
      <c r="D24" s="960"/>
      <c r="E24" s="955" t="s">
        <v>330</v>
      </c>
      <c r="F24" s="956"/>
      <c r="G24" s="956"/>
      <c r="H24" s="957"/>
      <c r="I24" s="151" t="s">
        <v>349</v>
      </c>
      <c r="J24" s="950">
        <v>0</v>
      </c>
      <c r="K24" s="951"/>
      <c r="L24" s="942">
        <v>0</v>
      </c>
      <c r="M24" s="944"/>
      <c r="N24" s="952">
        <v>0</v>
      </c>
      <c r="O24" s="954"/>
      <c r="P24" s="942">
        <v>0</v>
      </c>
      <c r="Q24" s="944"/>
      <c r="R24" s="945">
        <v>0</v>
      </c>
      <c r="S24" s="947"/>
      <c r="T24" s="952">
        <v>0</v>
      </c>
      <c r="U24" s="954"/>
      <c r="V24" s="952">
        <v>0</v>
      </c>
      <c r="W24" s="953"/>
      <c r="X24" s="954"/>
      <c r="Y24" s="950">
        <v>0</v>
      </c>
      <c r="Z24" s="951"/>
      <c r="AA24" s="950">
        <v>0</v>
      </c>
      <c r="AB24" s="951"/>
      <c r="AC24" s="945">
        <v>0</v>
      </c>
      <c r="AD24" s="947"/>
      <c r="AE24" s="945">
        <v>0</v>
      </c>
      <c r="AF24" s="947"/>
      <c r="AG24" s="950">
        <v>0</v>
      </c>
      <c r="AH24" s="951"/>
      <c r="AI24" s="945">
        <v>0</v>
      </c>
      <c r="AJ24" s="947"/>
      <c r="AK24" s="942">
        <v>0</v>
      </c>
      <c r="AL24" s="944"/>
      <c r="AM24" s="942">
        <v>0</v>
      </c>
      <c r="AN24" s="943"/>
      <c r="AO24" s="944"/>
      <c r="AP24" s="952">
        <v>0</v>
      </c>
      <c r="AQ24" s="953"/>
      <c r="AR24" s="954"/>
      <c r="AS24" s="950">
        <v>3</v>
      </c>
      <c r="AT24" s="951"/>
      <c r="AU24" s="945">
        <v>73</v>
      </c>
      <c r="AV24" s="947"/>
      <c r="AW24" s="945">
        <v>64</v>
      </c>
      <c r="AX24" s="947"/>
      <c r="AY24" s="950">
        <v>137</v>
      </c>
      <c r="AZ24" s="951"/>
      <c r="BA24" s="91">
        <v>3</v>
      </c>
      <c r="BB24" s="942">
        <v>86</v>
      </c>
      <c r="BC24" s="944"/>
      <c r="BD24" s="942">
        <v>53</v>
      </c>
      <c r="BE24" s="944"/>
      <c r="BF24" s="945">
        <v>139</v>
      </c>
      <c r="BG24" s="946"/>
      <c r="BH24" s="947"/>
      <c r="BI24" s="942">
        <v>3</v>
      </c>
      <c r="BJ24" s="944"/>
      <c r="BK24" s="942">
        <v>32</v>
      </c>
      <c r="BL24" s="944"/>
      <c r="BM24" s="942">
        <v>35</v>
      </c>
      <c r="BN24" s="943"/>
      <c r="BO24" s="944"/>
      <c r="BP24" s="942">
        <v>67</v>
      </c>
      <c r="BQ24" s="944"/>
      <c r="BR24" s="942">
        <v>9</v>
      </c>
      <c r="BS24" s="944"/>
      <c r="BT24" s="945">
        <v>191</v>
      </c>
      <c r="BU24" s="947"/>
      <c r="BV24" s="945">
        <v>152</v>
      </c>
      <c r="BW24" s="946"/>
      <c r="BX24" s="947"/>
      <c r="BY24" s="950">
        <v>343</v>
      </c>
      <c r="BZ24" s="951"/>
      <c r="CA24" s="942">
        <v>9</v>
      </c>
      <c r="CB24" s="943"/>
      <c r="CC24" s="944"/>
      <c r="CD24" s="942">
        <v>191</v>
      </c>
      <c r="CE24" s="943"/>
      <c r="CF24" s="944"/>
      <c r="CG24" s="942">
        <v>152</v>
      </c>
      <c r="CH24" s="943"/>
      <c r="CI24" s="944"/>
      <c r="CJ24" s="942">
        <v>343</v>
      </c>
      <c r="CK24" s="943"/>
      <c r="CL24" s="944"/>
      <c r="CM24" s="942">
        <v>8</v>
      </c>
      <c r="CN24" s="943"/>
      <c r="CO24" s="944"/>
      <c r="CP24" s="942">
        <v>1</v>
      </c>
      <c r="CQ24" s="943"/>
      <c r="CR24" s="944"/>
      <c r="CS24" s="952">
        <v>9</v>
      </c>
      <c r="CT24" s="953"/>
      <c r="CU24" s="954"/>
      <c r="CV24" s="955" t="s">
        <v>35</v>
      </c>
      <c r="CW24" s="956"/>
      <c r="CX24" s="957"/>
      <c r="CY24" s="239">
        <f t="shared" si="0"/>
        <v>90000</v>
      </c>
    </row>
    <row r="25" spans="1:103" ht="43.5" customHeight="1">
      <c r="A25" s="297">
        <v>18</v>
      </c>
      <c r="B25" s="958" t="s">
        <v>350</v>
      </c>
      <c r="C25" s="959"/>
      <c r="D25" s="960"/>
      <c r="E25" s="955" t="s">
        <v>330</v>
      </c>
      <c r="F25" s="956"/>
      <c r="G25" s="956"/>
      <c r="H25" s="957"/>
      <c r="I25" s="151" t="s">
        <v>333</v>
      </c>
      <c r="J25" s="950">
        <v>0</v>
      </c>
      <c r="K25" s="951"/>
      <c r="L25" s="942">
        <v>0</v>
      </c>
      <c r="M25" s="944"/>
      <c r="N25" s="952">
        <v>0</v>
      </c>
      <c r="O25" s="954"/>
      <c r="P25" s="942">
        <v>0</v>
      </c>
      <c r="Q25" s="944"/>
      <c r="R25" s="945">
        <v>0</v>
      </c>
      <c r="S25" s="947"/>
      <c r="T25" s="952">
        <v>0</v>
      </c>
      <c r="U25" s="954"/>
      <c r="V25" s="952">
        <v>0</v>
      </c>
      <c r="W25" s="953"/>
      <c r="X25" s="954"/>
      <c r="Y25" s="950">
        <v>0</v>
      </c>
      <c r="Z25" s="951"/>
      <c r="AA25" s="950">
        <v>0</v>
      </c>
      <c r="AB25" s="951"/>
      <c r="AC25" s="945">
        <v>0</v>
      </c>
      <c r="AD25" s="947"/>
      <c r="AE25" s="945">
        <v>0</v>
      </c>
      <c r="AF25" s="947"/>
      <c r="AG25" s="950">
        <v>0</v>
      </c>
      <c r="AH25" s="951"/>
      <c r="AI25" s="945">
        <v>0</v>
      </c>
      <c r="AJ25" s="947"/>
      <c r="AK25" s="942">
        <v>0</v>
      </c>
      <c r="AL25" s="944"/>
      <c r="AM25" s="942">
        <v>0</v>
      </c>
      <c r="AN25" s="943"/>
      <c r="AO25" s="944"/>
      <c r="AP25" s="952">
        <v>0</v>
      </c>
      <c r="AQ25" s="953"/>
      <c r="AR25" s="954"/>
      <c r="AS25" s="950">
        <v>3</v>
      </c>
      <c r="AT25" s="951"/>
      <c r="AU25" s="945">
        <v>109</v>
      </c>
      <c r="AV25" s="947"/>
      <c r="AW25" s="945">
        <v>113</v>
      </c>
      <c r="AX25" s="947"/>
      <c r="AY25" s="950">
        <v>222</v>
      </c>
      <c r="AZ25" s="951"/>
      <c r="BA25" s="91">
        <v>3</v>
      </c>
      <c r="BB25" s="942">
        <v>105</v>
      </c>
      <c r="BC25" s="944"/>
      <c r="BD25" s="942">
        <v>86</v>
      </c>
      <c r="BE25" s="944"/>
      <c r="BF25" s="945">
        <v>191</v>
      </c>
      <c r="BG25" s="946"/>
      <c r="BH25" s="947"/>
      <c r="BI25" s="942">
        <v>3</v>
      </c>
      <c r="BJ25" s="944"/>
      <c r="BK25" s="942">
        <v>73</v>
      </c>
      <c r="BL25" s="944"/>
      <c r="BM25" s="942">
        <v>65</v>
      </c>
      <c r="BN25" s="943"/>
      <c r="BO25" s="944"/>
      <c r="BP25" s="942">
        <v>138</v>
      </c>
      <c r="BQ25" s="944"/>
      <c r="BR25" s="942">
        <v>9</v>
      </c>
      <c r="BS25" s="944"/>
      <c r="BT25" s="945">
        <v>287</v>
      </c>
      <c r="BU25" s="947"/>
      <c r="BV25" s="945">
        <v>264</v>
      </c>
      <c r="BW25" s="946"/>
      <c r="BX25" s="947"/>
      <c r="BY25" s="950">
        <v>551</v>
      </c>
      <c r="BZ25" s="951"/>
      <c r="CA25" s="942">
        <v>9</v>
      </c>
      <c r="CB25" s="943"/>
      <c r="CC25" s="944"/>
      <c r="CD25" s="942">
        <v>287</v>
      </c>
      <c r="CE25" s="943"/>
      <c r="CF25" s="944"/>
      <c r="CG25" s="942">
        <v>264</v>
      </c>
      <c r="CH25" s="943"/>
      <c r="CI25" s="944"/>
      <c r="CJ25" s="942">
        <v>551</v>
      </c>
      <c r="CK25" s="943"/>
      <c r="CL25" s="944"/>
      <c r="CM25" s="942">
        <v>11</v>
      </c>
      <c r="CN25" s="943"/>
      <c r="CO25" s="944"/>
      <c r="CP25" s="942">
        <v>4</v>
      </c>
      <c r="CQ25" s="943"/>
      <c r="CR25" s="944"/>
      <c r="CS25" s="945">
        <v>15</v>
      </c>
      <c r="CT25" s="946"/>
      <c r="CU25" s="947"/>
      <c r="CV25" s="955" t="s">
        <v>35</v>
      </c>
      <c r="CW25" s="956"/>
      <c r="CX25" s="957"/>
      <c r="CY25" s="239">
        <f t="shared" si="0"/>
        <v>90000</v>
      </c>
    </row>
    <row r="26" spans="1:103" ht="43.5" customHeight="1">
      <c r="A26" s="297">
        <v>19</v>
      </c>
      <c r="B26" s="958" t="s">
        <v>351</v>
      </c>
      <c r="C26" s="959"/>
      <c r="D26" s="960"/>
      <c r="E26" s="955" t="s">
        <v>327</v>
      </c>
      <c r="F26" s="956"/>
      <c r="G26" s="956"/>
      <c r="H26" s="957"/>
      <c r="I26" s="151" t="s">
        <v>328</v>
      </c>
      <c r="J26" s="950">
        <v>0</v>
      </c>
      <c r="K26" s="951"/>
      <c r="L26" s="942">
        <v>0</v>
      </c>
      <c r="M26" s="944"/>
      <c r="N26" s="952">
        <v>0</v>
      </c>
      <c r="O26" s="954"/>
      <c r="P26" s="942">
        <v>0</v>
      </c>
      <c r="Q26" s="944"/>
      <c r="R26" s="945">
        <v>0</v>
      </c>
      <c r="S26" s="947"/>
      <c r="T26" s="952">
        <v>0</v>
      </c>
      <c r="U26" s="954"/>
      <c r="V26" s="952">
        <v>0</v>
      </c>
      <c r="W26" s="953"/>
      <c r="X26" s="954"/>
      <c r="Y26" s="950">
        <v>0</v>
      </c>
      <c r="Z26" s="951"/>
      <c r="AA26" s="950">
        <v>0</v>
      </c>
      <c r="AB26" s="951"/>
      <c r="AC26" s="945">
        <v>0</v>
      </c>
      <c r="AD26" s="947"/>
      <c r="AE26" s="945">
        <v>0</v>
      </c>
      <c r="AF26" s="947"/>
      <c r="AG26" s="950">
        <v>0</v>
      </c>
      <c r="AH26" s="951"/>
      <c r="AI26" s="945">
        <v>0</v>
      </c>
      <c r="AJ26" s="947"/>
      <c r="AK26" s="942">
        <v>0</v>
      </c>
      <c r="AL26" s="944"/>
      <c r="AM26" s="942">
        <v>0</v>
      </c>
      <c r="AN26" s="943"/>
      <c r="AO26" s="944"/>
      <c r="AP26" s="952">
        <v>0</v>
      </c>
      <c r="AQ26" s="953"/>
      <c r="AR26" s="954"/>
      <c r="AS26" s="950">
        <v>2</v>
      </c>
      <c r="AT26" s="951"/>
      <c r="AU26" s="945">
        <v>39</v>
      </c>
      <c r="AV26" s="947"/>
      <c r="AW26" s="945">
        <v>31</v>
      </c>
      <c r="AX26" s="947"/>
      <c r="AY26" s="950">
        <v>70</v>
      </c>
      <c r="AZ26" s="951"/>
      <c r="BA26" s="91">
        <v>2</v>
      </c>
      <c r="BB26" s="942">
        <v>45</v>
      </c>
      <c r="BC26" s="944"/>
      <c r="BD26" s="942">
        <v>39</v>
      </c>
      <c r="BE26" s="944"/>
      <c r="BF26" s="945">
        <v>84</v>
      </c>
      <c r="BG26" s="946"/>
      <c r="BH26" s="947"/>
      <c r="BI26" s="942">
        <v>2</v>
      </c>
      <c r="BJ26" s="944"/>
      <c r="BK26" s="942">
        <v>46</v>
      </c>
      <c r="BL26" s="944"/>
      <c r="BM26" s="942">
        <v>33</v>
      </c>
      <c r="BN26" s="943"/>
      <c r="BO26" s="944"/>
      <c r="BP26" s="942">
        <v>79</v>
      </c>
      <c r="BQ26" s="944"/>
      <c r="BR26" s="942">
        <v>6</v>
      </c>
      <c r="BS26" s="944"/>
      <c r="BT26" s="945">
        <v>130</v>
      </c>
      <c r="BU26" s="947"/>
      <c r="BV26" s="945">
        <v>103</v>
      </c>
      <c r="BW26" s="946"/>
      <c r="BX26" s="947"/>
      <c r="BY26" s="950">
        <v>233</v>
      </c>
      <c r="BZ26" s="951"/>
      <c r="CA26" s="942">
        <v>6</v>
      </c>
      <c r="CB26" s="943"/>
      <c r="CC26" s="944"/>
      <c r="CD26" s="942">
        <v>130</v>
      </c>
      <c r="CE26" s="943"/>
      <c r="CF26" s="944"/>
      <c r="CG26" s="942">
        <v>103</v>
      </c>
      <c r="CH26" s="943"/>
      <c r="CI26" s="944"/>
      <c r="CJ26" s="942">
        <v>233</v>
      </c>
      <c r="CK26" s="943"/>
      <c r="CL26" s="944"/>
      <c r="CM26" s="942">
        <v>5</v>
      </c>
      <c r="CN26" s="943"/>
      <c r="CO26" s="944"/>
      <c r="CP26" s="942">
        <v>0</v>
      </c>
      <c r="CQ26" s="943"/>
      <c r="CR26" s="944"/>
      <c r="CS26" s="952">
        <v>5</v>
      </c>
      <c r="CT26" s="953"/>
      <c r="CU26" s="954"/>
      <c r="CV26" s="955" t="s">
        <v>35</v>
      </c>
      <c r="CW26" s="956"/>
      <c r="CX26" s="957"/>
      <c r="CY26" s="239">
        <f t="shared" si="0"/>
        <v>90000</v>
      </c>
    </row>
    <row r="27" spans="1:103" ht="43.5" customHeight="1">
      <c r="A27" s="297">
        <v>20</v>
      </c>
      <c r="B27" s="958" t="s">
        <v>352</v>
      </c>
      <c r="C27" s="959"/>
      <c r="D27" s="960"/>
      <c r="E27" s="955" t="s">
        <v>327</v>
      </c>
      <c r="F27" s="956"/>
      <c r="G27" s="956"/>
      <c r="H27" s="957"/>
      <c r="I27" s="151" t="s">
        <v>336</v>
      </c>
      <c r="J27" s="942">
        <v>0</v>
      </c>
      <c r="K27" s="944"/>
      <c r="L27" s="950">
        <v>0</v>
      </c>
      <c r="M27" s="951"/>
      <c r="N27" s="952">
        <v>0</v>
      </c>
      <c r="O27" s="954"/>
      <c r="P27" s="950">
        <v>0</v>
      </c>
      <c r="Q27" s="951"/>
      <c r="R27" s="942">
        <v>0</v>
      </c>
      <c r="S27" s="944"/>
      <c r="T27" s="952">
        <v>0</v>
      </c>
      <c r="U27" s="954"/>
      <c r="V27" s="952">
        <v>0</v>
      </c>
      <c r="W27" s="953"/>
      <c r="X27" s="954"/>
      <c r="Y27" s="945">
        <v>0</v>
      </c>
      <c r="Z27" s="947"/>
      <c r="AA27" s="942">
        <v>0</v>
      </c>
      <c r="AB27" s="944"/>
      <c r="AC27" s="945">
        <v>0</v>
      </c>
      <c r="AD27" s="947"/>
      <c r="AE27" s="942">
        <v>0</v>
      </c>
      <c r="AF27" s="944"/>
      <c r="AG27" s="942">
        <v>0</v>
      </c>
      <c r="AH27" s="944"/>
      <c r="AI27" s="942">
        <v>0</v>
      </c>
      <c r="AJ27" s="944"/>
      <c r="AK27" s="942">
        <v>0</v>
      </c>
      <c r="AL27" s="944"/>
      <c r="AM27" s="942">
        <v>0</v>
      </c>
      <c r="AN27" s="943"/>
      <c r="AO27" s="944"/>
      <c r="AP27" s="952">
        <v>0</v>
      </c>
      <c r="AQ27" s="953"/>
      <c r="AR27" s="954"/>
      <c r="AS27" s="942">
        <v>3</v>
      </c>
      <c r="AT27" s="944"/>
      <c r="AU27" s="945">
        <v>117</v>
      </c>
      <c r="AV27" s="947"/>
      <c r="AW27" s="942">
        <v>64</v>
      </c>
      <c r="AX27" s="944"/>
      <c r="AY27" s="942">
        <v>181</v>
      </c>
      <c r="AZ27" s="944"/>
      <c r="BA27" s="91">
        <v>3</v>
      </c>
      <c r="BB27" s="942">
        <v>89</v>
      </c>
      <c r="BC27" s="944"/>
      <c r="BD27" s="942">
        <v>44</v>
      </c>
      <c r="BE27" s="944"/>
      <c r="BF27" s="945">
        <v>133</v>
      </c>
      <c r="BG27" s="946"/>
      <c r="BH27" s="947"/>
      <c r="BI27" s="942">
        <v>2</v>
      </c>
      <c r="BJ27" s="944"/>
      <c r="BK27" s="942">
        <v>42</v>
      </c>
      <c r="BL27" s="944"/>
      <c r="BM27" s="942">
        <v>29</v>
      </c>
      <c r="BN27" s="943"/>
      <c r="BO27" s="944"/>
      <c r="BP27" s="942">
        <v>71</v>
      </c>
      <c r="BQ27" s="944"/>
      <c r="BR27" s="942">
        <v>8</v>
      </c>
      <c r="BS27" s="944"/>
      <c r="BT27" s="942">
        <v>248</v>
      </c>
      <c r="BU27" s="944"/>
      <c r="BV27" s="945">
        <v>137</v>
      </c>
      <c r="BW27" s="946"/>
      <c r="BX27" s="947"/>
      <c r="BY27" s="945">
        <v>385</v>
      </c>
      <c r="BZ27" s="947"/>
      <c r="CA27" s="952">
        <v>8</v>
      </c>
      <c r="CB27" s="953"/>
      <c r="CC27" s="954"/>
      <c r="CD27" s="942">
        <v>248</v>
      </c>
      <c r="CE27" s="943"/>
      <c r="CF27" s="944"/>
      <c r="CG27" s="942">
        <v>137</v>
      </c>
      <c r="CH27" s="943"/>
      <c r="CI27" s="944"/>
      <c r="CJ27" s="942">
        <v>385</v>
      </c>
      <c r="CK27" s="943"/>
      <c r="CL27" s="944"/>
      <c r="CM27" s="942">
        <v>11</v>
      </c>
      <c r="CN27" s="943"/>
      <c r="CO27" s="944"/>
      <c r="CP27" s="952">
        <v>2</v>
      </c>
      <c r="CQ27" s="953"/>
      <c r="CR27" s="954"/>
      <c r="CS27" s="945">
        <v>13</v>
      </c>
      <c r="CT27" s="946"/>
      <c r="CU27" s="947"/>
      <c r="CV27" s="955" t="s">
        <v>35</v>
      </c>
      <c r="CW27" s="956"/>
      <c r="CX27" s="957"/>
      <c r="CY27" s="239">
        <f t="shared" si="0"/>
        <v>90000</v>
      </c>
    </row>
    <row r="28" spans="1:103" ht="43.5" customHeight="1">
      <c r="A28" s="297">
        <v>21</v>
      </c>
      <c r="B28" s="958" t="s">
        <v>353</v>
      </c>
      <c r="C28" s="959"/>
      <c r="D28" s="960"/>
      <c r="E28" s="955" t="s">
        <v>327</v>
      </c>
      <c r="F28" s="956"/>
      <c r="G28" s="956"/>
      <c r="H28" s="957"/>
      <c r="I28" s="151" t="s">
        <v>338</v>
      </c>
      <c r="J28" s="942">
        <v>0</v>
      </c>
      <c r="K28" s="944"/>
      <c r="L28" s="950">
        <v>0</v>
      </c>
      <c r="M28" s="951"/>
      <c r="N28" s="952">
        <v>0</v>
      </c>
      <c r="O28" s="954"/>
      <c r="P28" s="950">
        <v>0</v>
      </c>
      <c r="Q28" s="951"/>
      <c r="R28" s="942">
        <v>0</v>
      </c>
      <c r="S28" s="944"/>
      <c r="T28" s="952">
        <v>0</v>
      </c>
      <c r="U28" s="954"/>
      <c r="V28" s="952">
        <v>0</v>
      </c>
      <c r="W28" s="953"/>
      <c r="X28" s="954"/>
      <c r="Y28" s="945">
        <v>0</v>
      </c>
      <c r="Z28" s="947"/>
      <c r="AA28" s="942">
        <v>0</v>
      </c>
      <c r="AB28" s="944"/>
      <c r="AC28" s="945">
        <v>0</v>
      </c>
      <c r="AD28" s="947"/>
      <c r="AE28" s="942">
        <v>0</v>
      </c>
      <c r="AF28" s="944"/>
      <c r="AG28" s="942">
        <v>0</v>
      </c>
      <c r="AH28" s="944"/>
      <c r="AI28" s="942">
        <v>0</v>
      </c>
      <c r="AJ28" s="944"/>
      <c r="AK28" s="942">
        <v>0</v>
      </c>
      <c r="AL28" s="944"/>
      <c r="AM28" s="942">
        <v>0</v>
      </c>
      <c r="AN28" s="943"/>
      <c r="AO28" s="944"/>
      <c r="AP28" s="952">
        <v>0</v>
      </c>
      <c r="AQ28" s="953"/>
      <c r="AR28" s="954"/>
      <c r="AS28" s="942">
        <v>3</v>
      </c>
      <c r="AT28" s="944"/>
      <c r="AU28" s="945">
        <v>122</v>
      </c>
      <c r="AV28" s="947"/>
      <c r="AW28" s="942">
        <v>75</v>
      </c>
      <c r="AX28" s="944"/>
      <c r="AY28" s="942">
        <v>197</v>
      </c>
      <c r="AZ28" s="944"/>
      <c r="BA28" s="91">
        <v>3</v>
      </c>
      <c r="BB28" s="942">
        <v>84</v>
      </c>
      <c r="BC28" s="944"/>
      <c r="BD28" s="942">
        <v>79</v>
      </c>
      <c r="BE28" s="944"/>
      <c r="BF28" s="945">
        <v>163</v>
      </c>
      <c r="BG28" s="946"/>
      <c r="BH28" s="947"/>
      <c r="BI28" s="942">
        <v>3</v>
      </c>
      <c r="BJ28" s="944"/>
      <c r="BK28" s="942">
        <v>50</v>
      </c>
      <c r="BL28" s="944"/>
      <c r="BM28" s="942">
        <v>69</v>
      </c>
      <c r="BN28" s="943"/>
      <c r="BO28" s="944"/>
      <c r="BP28" s="942">
        <v>119</v>
      </c>
      <c r="BQ28" s="944"/>
      <c r="BR28" s="942">
        <v>9</v>
      </c>
      <c r="BS28" s="944"/>
      <c r="BT28" s="942">
        <v>256</v>
      </c>
      <c r="BU28" s="944"/>
      <c r="BV28" s="945">
        <v>223</v>
      </c>
      <c r="BW28" s="946"/>
      <c r="BX28" s="947"/>
      <c r="BY28" s="945">
        <v>479</v>
      </c>
      <c r="BZ28" s="947"/>
      <c r="CA28" s="952">
        <v>9</v>
      </c>
      <c r="CB28" s="953"/>
      <c r="CC28" s="954"/>
      <c r="CD28" s="942">
        <v>256</v>
      </c>
      <c r="CE28" s="943"/>
      <c r="CF28" s="944"/>
      <c r="CG28" s="942">
        <v>223</v>
      </c>
      <c r="CH28" s="943"/>
      <c r="CI28" s="944"/>
      <c r="CJ28" s="942">
        <v>479</v>
      </c>
      <c r="CK28" s="943"/>
      <c r="CL28" s="944"/>
      <c r="CM28" s="942">
        <v>8</v>
      </c>
      <c r="CN28" s="943"/>
      <c r="CO28" s="944"/>
      <c r="CP28" s="952">
        <v>2</v>
      </c>
      <c r="CQ28" s="953"/>
      <c r="CR28" s="954"/>
      <c r="CS28" s="945">
        <v>10</v>
      </c>
      <c r="CT28" s="946"/>
      <c r="CU28" s="947"/>
      <c r="CV28" s="955" t="s">
        <v>35</v>
      </c>
      <c r="CW28" s="956"/>
      <c r="CX28" s="957"/>
      <c r="CY28" s="239">
        <f t="shared" si="0"/>
        <v>90000</v>
      </c>
    </row>
    <row r="29" spans="1:103" ht="43.5" customHeight="1">
      <c r="A29" s="297">
        <v>22</v>
      </c>
      <c r="B29" s="958" t="s">
        <v>354</v>
      </c>
      <c r="C29" s="959"/>
      <c r="D29" s="960"/>
      <c r="E29" s="955" t="s">
        <v>330</v>
      </c>
      <c r="F29" s="956"/>
      <c r="G29" s="956"/>
      <c r="H29" s="957"/>
      <c r="I29" s="151" t="s">
        <v>343</v>
      </c>
      <c r="J29" s="942">
        <v>1</v>
      </c>
      <c r="K29" s="944"/>
      <c r="L29" s="950">
        <v>26</v>
      </c>
      <c r="M29" s="951"/>
      <c r="N29" s="945">
        <v>30</v>
      </c>
      <c r="O29" s="947"/>
      <c r="P29" s="950">
        <v>56</v>
      </c>
      <c r="Q29" s="951"/>
      <c r="R29" s="942">
        <v>1</v>
      </c>
      <c r="S29" s="944"/>
      <c r="T29" s="945">
        <v>39</v>
      </c>
      <c r="U29" s="947"/>
      <c r="V29" s="945">
        <v>23</v>
      </c>
      <c r="W29" s="946"/>
      <c r="X29" s="947"/>
      <c r="Y29" s="945">
        <v>62</v>
      </c>
      <c r="Z29" s="947"/>
      <c r="AA29" s="942">
        <v>1</v>
      </c>
      <c r="AB29" s="944"/>
      <c r="AC29" s="945">
        <v>29</v>
      </c>
      <c r="AD29" s="947"/>
      <c r="AE29" s="942">
        <v>43</v>
      </c>
      <c r="AF29" s="944"/>
      <c r="AG29" s="942">
        <v>72</v>
      </c>
      <c r="AH29" s="944"/>
      <c r="AI29" s="942">
        <v>3</v>
      </c>
      <c r="AJ29" s="944"/>
      <c r="AK29" s="942">
        <v>94</v>
      </c>
      <c r="AL29" s="944"/>
      <c r="AM29" s="942">
        <v>96</v>
      </c>
      <c r="AN29" s="943"/>
      <c r="AO29" s="944"/>
      <c r="AP29" s="945">
        <v>190</v>
      </c>
      <c r="AQ29" s="946"/>
      <c r="AR29" s="947"/>
      <c r="AS29" s="942">
        <v>1</v>
      </c>
      <c r="AT29" s="944"/>
      <c r="AU29" s="945">
        <v>36</v>
      </c>
      <c r="AV29" s="947"/>
      <c r="AW29" s="942">
        <v>15</v>
      </c>
      <c r="AX29" s="944"/>
      <c r="AY29" s="942">
        <v>51</v>
      </c>
      <c r="AZ29" s="944"/>
      <c r="BA29" s="91">
        <v>1</v>
      </c>
      <c r="BB29" s="942">
        <v>22</v>
      </c>
      <c r="BC29" s="944"/>
      <c r="BD29" s="942">
        <v>30</v>
      </c>
      <c r="BE29" s="944"/>
      <c r="BF29" s="945">
        <v>52</v>
      </c>
      <c r="BG29" s="946"/>
      <c r="BH29" s="947"/>
      <c r="BI29" s="942">
        <v>1</v>
      </c>
      <c r="BJ29" s="944"/>
      <c r="BK29" s="942">
        <v>31</v>
      </c>
      <c r="BL29" s="944"/>
      <c r="BM29" s="942">
        <v>19</v>
      </c>
      <c r="BN29" s="943"/>
      <c r="BO29" s="944"/>
      <c r="BP29" s="942">
        <v>50</v>
      </c>
      <c r="BQ29" s="944"/>
      <c r="BR29" s="942">
        <v>3</v>
      </c>
      <c r="BS29" s="944"/>
      <c r="BT29" s="942">
        <v>89</v>
      </c>
      <c r="BU29" s="944"/>
      <c r="BV29" s="945">
        <v>64</v>
      </c>
      <c r="BW29" s="946"/>
      <c r="BX29" s="947"/>
      <c r="BY29" s="945">
        <v>153</v>
      </c>
      <c r="BZ29" s="947"/>
      <c r="CA29" s="952">
        <v>6</v>
      </c>
      <c r="CB29" s="953"/>
      <c r="CC29" s="954"/>
      <c r="CD29" s="942">
        <v>183</v>
      </c>
      <c r="CE29" s="943"/>
      <c r="CF29" s="944"/>
      <c r="CG29" s="942">
        <v>160</v>
      </c>
      <c r="CH29" s="943"/>
      <c r="CI29" s="944"/>
      <c r="CJ29" s="942">
        <v>343</v>
      </c>
      <c r="CK29" s="943"/>
      <c r="CL29" s="944"/>
      <c r="CM29" s="942">
        <v>5</v>
      </c>
      <c r="CN29" s="943"/>
      <c r="CO29" s="944"/>
      <c r="CP29" s="952">
        <v>5</v>
      </c>
      <c r="CQ29" s="953"/>
      <c r="CR29" s="954"/>
      <c r="CS29" s="945">
        <v>10</v>
      </c>
      <c r="CT29" s="946"/>
      <c r="CU29" s="947"/>
      <c r="CV29" s="955" t="s">
        <v>35</v>
      </c>
      <c r="CW29" s="956"/>
      <c r="CX29" s="957"/>
      <c r="CY29" s="239">
        <f t="shared" si="0"/>
        <v>90000</v>
      </c>
    </row>
    <row r="30" spans="1:103" ht="43.5" customHeight="1">
      <c r="A30" s="297">
        <v>23</v>
      </c>
      <c r="B30" s="958" t="s">
        <v>355</v>
      </c>
      <c r="C30" s="959"/>
      <c r="D30" s="960"/>
      <c r="E30" s="955" t="s">
        <v>330</v>
      </c>
      <c r="F30" s="956"/>
      <c r="G30" s="956"/>
      <c r="H30" s="957"/>
      <c r="I30" s="151" t="s">
        <v>356</v>
      </c>
      <c r="J30" s="942">
        <v>1</v>
      </c>
      <c r="K30" s="944"/>
      <c r="L30" s="950">
        <v>18</v>
      </c>
      <c r="M30" s="951"/>
      <c r="N30" s="945">
        <v>13</v>
      </c>
      <c r="O30" s="947"/>
      <c r="P30" s="950">
        <v>31</v>
      </c>
      <c r="Q30" s="951"/>
      <c r="R30" s="942">
        <v>1</v>
      </c>
      <c r="S30" s="944"/>
      <c r="T30" s="945">
        <v>18</v>
      </c>
      <c r="U30" s="947"/>
      <c r="V30" s="945">
        <v>16</v>
      </c>
      <c r="W30" s="946"/>
      <c r="X30" s="947"/>
      <c r="Y30" s="945">
        <v>34</v>
      </c>
      <c r="Z30" s="947"/>
      <c r="AA30" s="942">
        <v>1</v>
      </c>
      <c r="AB30" s="944"/>
      <c r="AC30" s="945">
        <v>12</v>
      </c>
      <c r="AD30" s="947"/>
      <c r="AE30" s="942">
        <v>12</v>
      </c>
      <c r="AF30" s="944"/>
      <c r="AG30" s="942">
        <v>24</v>
      </c>
      <c r="AH30" s="944"/>
      <c r="AI30" s="942">
        <v>3</v>
      </c>
      <c r="AJ30" s="944"/>
      <c r="AK30" s="942">
        <v>48</v>
      </c>
      <c r="AL30" s="944"/>
      <c r="AM30" s="942">
        <v>41</v>
      </c>
      <c r="AN30" s="943"/>
      <c r="AO30" s="944"/>
      <c r="AP30" s="945">
        <v>89</v>
      </c>
      <c r="AQ30" s="946"/>
      <c r="AR30" s="947"/>
      <c r="AS30" s="942">
        <v>1</v>
      </c>
      <c r="AT30" s="944"/>
      <c r="AU30" s="945">
        <v>18</v>
      </c>
      <c r="AV30" s="947"/>
      <c r="AW30" s="942">
        <v>12</v>
      </c>
      <c r="AX30" s="944"/>
      <c r="AY30" s="942">
        <v>30</v>
      </c>
      <c r="AZ30" s="944"/>
      <c r="BA30" s="91">
        <v>1</v>
      </c>
      <c r="BB30" s="942">
        <v>11</v>
      </c>
      <c r="BC30" s="944"/>
      <c r="BD30" s="942">
        <v>12</v>
      </c>
      <c r="BE30" s="944"/>
      <c r="BF30" s="945">
        <v>23</v>
      </c>
      <c r="BG30" s="946"/>
      <c r="BH30" s="947"/>
      <c r="BI30" s="942">
        <v>1</v>
      </c>
      <c r="BJ30" s="944"/>
      <c r="BK30" s="942">
        <v>9</v>
      </c>
      <c r="BL30" s="944"/>
      <c r="BM30" s="942">
        <v>7</v>
      </c>
      <c r="BN30" s="943"/>
      <c r="BO30" s="944"/>
      <c r="BP30" s="942">
        <v>16</v>
      </c>
      <c r="BQ30" s="944"/>
      <c r="BR30" s="942">
        <v>3</v>
      </c>
      <c r="BS30" s="944"/>
      <c r="BT30" s="942">
        <v>38</v>
      </c>
      <c r="BU30" s="944"/>
      <c r="BV30" s="945">
        <v>31</v>
      </c>
      <c r="BW30" s="946"/>
      <c r="BX30" s="947"/>
      <c r="BY30" s="945">
        <v>69</v>
      </c>
      <c r="BZ30" s="947"/>
      <c r="CA30" s="952">
        <v>6</v>
      </c>
      <c r="CB30" s="953"/>
      <c r="CC30" s="954"/>
      <c r="CD30" s="942">
        <v>86</v>
      </c>
      <c r="CE30" s="943"/>
      <c r="CF30" s="944"/>
      <c r="CG30" s="942">
        <v>72</v>
      </c>
      <c r="CH30" s="943"/>
      <c r="CI30" s="944"/>
      <c r="CJ30" s="942">
        <v>158</v>
      </c>
      <c r="CK30" s="943"/>
      <c r="CL30" s="944"/>
      <c r="CM30" s="942">
        <v>7</v>
      </c>
      <c r="CN30" s="943"/>
      <c r="CO30" s="944"/>
      <c r="CP30" s="952">
        <v>1</v>
      </c>
      <c r="CQ30" s="953"/>
      <c r="CR30" s="954"/>
      <c r="CS30" s="952">
        <v>8</v>
      </c>
      <c r="CT30" s="953"/>
      <c r="CU30" s="954"/>
      <c r="CV30" s="955" t="s">
        <v>35</v>
      </c>
      <c r="CW30" s="956"/>
      <c r="CX30" s="957"/>
      <c r="CY30" s="239">
        <f t="shared" si="0"/>
        <v>90000</v>
      </c>
    </row>
    <row r="31" spans="1:103" ht="43.5" customHeight="1">
      <c r="A31" s="297">
        <v>24</v>
      </c>
      <c r="B31" s="958" t="s">
        <v>357</v>
      </c>
      <c r="C31" s="959"/>
      <c r="D31" s="960"/>
      <c r="E31" s="955" t="s">
        <v>330</v>
      </c>
      <c r="F31" s="956"/>
      <c r="G31" s="956"/>
      <c r="H31" s="957"/>
      <c r="I31" s="151" t="s">
        <v>349</v>
      </c>
      <c r="J31" s="942">
        <v>2</v>
      </c>
      <c r="K31" s="944"/>
      <c r="L31" s="950">
        <v>25</v>
      </c>
      <c r="M31" s="951"/>
      <c r="N31" s="945">
        <v>31</v>
      </c>
      <c r="O31" s="947"/>
      <c r="P31" s="950">
        <v>56</v>
      </c>
      <c r="Q31" s="951"/>
      <c r="R31" s="942">
        <v>2</v>
      </c>
      <c r="S31" s="944"/>
      <c r="T31" s="945">
        <v>27</v>
      </c>
      <c r="U31" s="947"/>
      <c r="V31" s="945">
        <v>30</v>
      </c>
      <c r="W31" s="946"/>
      <c r="X31" s="947"/>
      <c r="Y31" s="945">
        <v>57</v>
      </c>
      <c r="Z31" s="947"/>
      <c r="AA31" s="942">
        <v>2</v>
      </c>
      <c r="AB31" s="944"/>
      <c r="AC31" s="945">
        <v>35</v>
      </c>
      <c r="AD31" s="947"/>
      <c r="AE31" s="942">
        <v>36</v>
      </c>
      <c r="AF31" s="944"/>
      <c r="AG31" s="942">
        <v>71</v>
      </c>
      <c r="AH31" s="944"/>
      <c r="AI31" s="942">
        <v>6</v>
      </c>
      <c r="AJ31" s="944"/>
      <c r="AK31" s="942">
        <v>87</v>
      </c>
      <c r="AL31" s="944"/>
      <c r="AM31" s="942">
        <v>97</v>
      </c>
      <c r="AN31" s="943"/>
      <c r="AO31" s="944"/>
      <c r="AP31" s="945">
        <v>184</v>
      </c>
      <c r="AQ31" s="946"/>
      <c r="AR31" s="947"/>
      <c r="AS31" s="942">
        <v>2</v>
      </c>
      <c r="AT31" s="944"/>
      <c r="AU31" s="945">
        <v>17</v>
      </c>
      <c r="AV31" s="947"/>
      <c r="AW31" s="942">
        <v>20</v>
      </c>
      <c r="AX31" s="944"/>
      <c r="AY31" s="942">
        <v>37</v>
      </c>
      <c r="AZ31" s="944"/>
      <c r="BA31" s="91">
        <v>2</v>
      </c>
      <c r="BB31" s="942">
        <v>26</v>
      </c>
      <c r="BC31" s="944"/>
      <c r="BD31" s="942">
        <v>28</v>
      </c>
      <c r="BE31" s="944"/>
      <c r="BF31" s="945">
        <v>54</v>
      </c>
      <c r="BG31" s="946"/>
      <c r="BH31" s="947"/>
      <c r="BI31" s="942">
        <v>1</v>
      </c>
      <c r="BJ31" s="944"/>
      <c r="BK31" s="942">
        <v>23</v>
      </c>
      <c r="BL31" s="944"/>
      <c r="BM31" s="942">
        <v>15</v>
      </c>
      <c r="BN31" s="943"/>
      <c r="BO31" s="944"/>
      <c r="BP31" s="942">
        <v>38</v>
      </c>
      <c r="BQ31" s="944"/>
      <c r="BR31" s="942">
        <v>5</v>
      </c>
      <c r="BS31" s="944"/>
      <c r="BT31" s="942">
        <v>66</v>
      </c>
      <c r="BU31" s="944"/>
      <c r="BV31" s="945">
        <v>63</v>
      </c>
      <c r="BW31" s="946"/>
      <c r="BX31" s="947"/>
      <c r="BY31" s="945">
        <v>129</v>
      </c>
      <c r="BZ31" s="947"/>
      <c r="CA31" s="945">
        <v>11</v>
      </c>
      <c r="CB31" s="946"/>
      <c r="CC31" s="947"/>
      <c r="CD31" s="942">
        <v>153</v>
      </c>
      <c r="CE31" s="943"/>
      <c r="CF31" s="944"/>
      <c r="CG31" s="942">
        <v>160</v>
      </c>
      <c r="CH31" s="943"/>
      <c r="CI31" s="944"/>
      <c r="CJ31" s="942">
        <v>313</v>
      </c>
      <c r="CK31" s="943"/>
      <c r="CL31" s="944"/>
      <c r="CM31" s="942">
        <v>6</v>
      </c>
      <c r="CN31" s="943"/>
      <c r="CO31" s="944"/>
      <c r="CP31" s="952">
        <v>4</v>
      </c>
      <c r="CQ31" s="953"/>
      <c r="CR31" s="954"/>
      <c r="CS31" s="945">
        <v>10</v>
      </c>
      <c r="CT31" s="946"/>
      <c r="CU31" s="947"/>
      <c r="CV31" s="955" t="s">
        <v>35</v>
      </c>
      <c r="CW31" s="956"/>
      <c r="CX31" s="957"/>
      <c r="CY31" s="239">
        <f t="shared" si="0"/>
        <v>90000</v>
      </c>
    </row>
    <row r="32" spans="1:103" ht="43.5" customHeight="1">
      <c r="A32" s="297">
        <v>25</v>
      </c>
      <c r="B32" s="958" t="s">
        <v>358</v>
      </c>
      <c r="C32" s="959"/>
      <c r="D32" s="960"/>
      <c r="E32" s="955" t="s">
        <v>327</v>
      </c>
      <c r="F32" s="956"/>
      <c r="G32" s="956"/>
      <c r="H32" s="957"/>
      <c r="I32" s="151" t="s">
        <v>336</v>
      </c>
      <c r="J32" s="942">
        <v>1</v>
      </c>
      <c r="K32" s="944"/>
      <c r="L32" s="950">
        <v>38</v>
      </c>
      <c r="M32" s="951"/>
      <c r="N32" s="945">
        <v>25</v>
      </c>
      <c r="O32" s="947"/>
      <c r="P32" s="950">
        <v>63</v>
      </c>
      <c r="Q32" s="951"/>
      <c r="R32" s="942">
        <v>1</v>
      </c>
      <c r="S32" s="944"/>
      <c r="T32" s="945">
        <v>27</v>
      </c>
      <c r="U32" s="947"/>
      <c r="V32" s="945">
        <v>16</v>
      </c>
      <c r="W32" s="946"/>
      <c r="X32" s="947"/>
      <c r="Y32" s="945">
        <v>43</v>
      </c>
      <c r="Z32" s="947"/>
      <c r="AA32" s="942">
        <v>1</v>
      </c>
      <c r="AB32" s="944"/>
      <c r="AC32" s="945">
        <v>36</v>
      </c>
      <c r="AD32" s="947"/>
      <c r="AE32" s="942">
        <v>15</v>
      </c>
      <c r="AF32" s="944"/>
      <c r="AG32" s="942">
        <v>51</v>
      </c>
      <c r="AH32" s="944"/>
      <c r="AI32" s="942">
        <v>3</v>
      </c>
      <c r="AJ32" s="944"/>
      <c r="AK32" s="942">
        <v>101</v>
      </c>
      <c r="AL32" s="944"/>
      <c r="AM32" s="942">
        <v>56</v>
      </c>
      <c r="AN32" s="943"/>
      <c r="AO32" s="944"/>
      <c r="AP32" s="945">
        <v>157</v>
      </c>
      <c r="AQ32" s="946"/>
      <c r="AR32" s="947"/>
      <c r="AS32" s="942">
        <v>1</v>
      </c>
      <c r="AT32" s="944"/>
      <c r="AU32" s="945">
        <v>20</v>
      </c>
      <c r="AV32" s="947"/>
      <c r="AW32" s="942">
        <v>14</v>
      </c>
      <c r="AX32" s="944"/>
      <c r="AY32" s="942">
        <v>34</v>
      </c>
      <c r="AZ32" s="944"/>
      <c r="BA32" s="91">
        <v>1</v>
      </c>
      <c r="BB32" s="942">
        <v>16</v>
      </c>
      <c r="BC32" s="944"/>
      <c r="BD32" s="942">
        <v>11</v>
      </c>
      <c r="BE32" s="944"/>
      <c r="BF32" s="945">
        <v>27</v>
      </c>
      <c r="BG32" s="946"/>
      <c r="BH32" s="947"/>
      <c r="BI32" s="942">
        <v>1</v>
      </c>
      <c r="BJ32" s="944"/>
      <c r="BK32" s="942">
        <v>21</v>
      </c>
      <c r="BL32" s="944"/>
      <c r="BM32" s="942">
        <v>12</v>
      </c>
      <c r="BN32" s="943"/>
      <c r="BO32" s="944"/>
      <c r="BP32" s="942">
        <v>33</v>
      </c>
      <c r="BQ32" s="944"/>
      <c r="BR32" s="942">
        <v>3</v>
      </c>
      <c r="BS32" s="944"/>
      <c r="BT32" s="942">
        <v>57</v>
      </c>
      <c r="BU32" s="944"/>
      <c r="BV32" s="945">
        <v>37</v>
      </c>
      <c r="BW32" s="946"/>
      <c r="BX32" s="947"/>
      <c r="BY32" s="945">
        <v>94</v>
      </c>
      <c r="BZ32" s="947"/>
      <c r="CA32" s="952">
        <v>6</v>
      </c>
      <c r="CB32" s="953"/>
      <c r="CC32" s="954"/>
      <c r="CD32" s="942">
        <v>158</v>
      </c>
      <c r="CE32" s="943"/>
      <c r="CF32" s="944"/>
      <c r="CG32" s="942">
        <v>93</v>
      </c>
      <c r="CH32" s="943"/>
      <c r="CI32" s="944"/>
      <c r="CJ32" s="942">
        <v>251</v>
      </c>
      <c r="CK32" s="943"/>
      <c r="CL32" s="944"/>
      <c r="CM32" s="942">
        <v>2</v>
      </c>
      <c r="CN32" s="943"/>
      <c r="CO32" s="944"/>
      <c r="CP32" s="952">
        <v>6</v>
      </c>
      <c r="CQ32" s="953"/>
      <c r="CR32" s="954"/>
      <c r="CS32" s="952">
        <v>8</v>
      </c>
      <c r="CT32" s="953"/>
      <c r="CU32" s="954"/>
      <c r="CV32" s="955" t="s">
        <v>35</v>
      </c>
      <c r="CW32" s="956"/>
      <c r="CX32" s="957"/>
      <c r="CY32" s="239">
        <f t="shared" si="0"/>
        <v>90000</v>
      </c>
    </row>
    <row r="33" spans="1:103" ht="43.5" customHeight="1">
      <c r="A33" s="297">
        <v>26</v>
      </c>
      <c r="B33" s="958" t="s">
        <v>359</v>
      </c>
      <c r="C33" s="959"/>
      <c r="D33" s="960"/>
      <c r="E33" s="955" t="s">
        <v>327</v>
      </c>
      <c r="F33" s="956"/>
      <c r="G33" s="956"/>
      <c r="H33" s="957"/>
      <c r="I33" s="151" t="s">
        <v>338</v>
      </c>
      <c r="J33" s="942">
        <v>2</v>
      </c>
      <c r="K33" s="944"/>
      <c r="L33" s="950">
        <v>107</v>
      </c>
      <c r="M33" s="951"/>
      <c r="N33" s="945">
        <v>85</v>
      </c>
      <c r="O33" s="947"/>
      <c r="P33" s="950">
        <v>192</v>
      </c>
      <c r="Q33" s="951"/>
      <c r="R33" s="942">
        <v>3</v>
      </c>
      <c r="S33" s="944"/>
      <c r="T33" s="945">
        <v>134</v>
      </c>
      <c r="U33" s="947"/>
      <c r="V33" s="945">
        <v>95</v>
      </c>
      <c r="W33" s="946"/>
      <c r="X33" s="947"/>
      <c r="Y33" s="945">
        <v>229</v>
      </c>
      <c r="Z33" s="947"/>
      <c r="AA33" s="942">
        <v>2</v>
      </c>
      <c r="AB33" s="944"/>
      <c r="AC33" s="945">
        <v>96</v>
      </c>
      <c r="AD33" s="947"/>
      <c r="AE33" s="942">
        <v>87</v>
      </c>
      <c r="AF33" s="944"/>
      <c r="AG33" s="942">
        <v>183</v>
      </c>
      <c r="AH33" s="944"/>
      <c r="AI33" s="942">
        <v>7</v>
      </c>
      <c r="AJ33" s="944"/>
      <c r="AK33" s="942">
        <v>337</v>
      </c>
      <c r="AL33" s="944"/>
      <c r="AM33" s="942">
        <v>267</v>
      </c>
      <c r="AN33" s="943"/>
      <c r="AO33" s="944"/>
      <c r="AP33" s="945">
        <v>604</v>
      </c>
      <c r="AQ33" s="946"/>
      <c r="AR33" s="947"/>
      <c r="AS33" s="942">
        <v>3</v>
      </c>
      <c r="AT33" s="944"/>
      <c r="AU33" s="945">
        <v>89</v>
      </c>
      <c r="AV33" s="947"/>
      <c r="AW33" s="942">
        <v>76</v>
      </c>
      <c r="AX33" s="944"/>
      <c r="AY33" s="942">
        <v>165</v>
      </c>
      <c r="AZ33" s="944"/>
      <c r="BA33" s="91">
        <v>3</v>
      </c>
      <c r="BB33" s="942">
        <v>94</v>
      </c>
      <c r="BC33" s="944"/>
      <c r="BD33" s="942">
        <v>92</v>
      </c>
      <c r="BE33" s="944"/>
      <c r="BF33" s="945">
        <v>186</v>
      </c>
      <c r="BG33" s="946"/>
      <c r="BH33" s="947"/>
      <c r="BI33" s="942">
        <v>3</v>
      </c>
      <c r="BJ33" s="944"/>
      <c r="BK33" s="942">
        <v>34</v>
      </c>
      <c r="BL33" s="944"/>
      <c r="BM33" s="942">
        <v>34</v>
      </c>
      <c r="BN33" s="943"/>
      <c r="BO33" s="944"/>
      <c r="BP33" s="942">
        <v>68</v>
      </c>
      <c r="BQ33" s="944"/>
      <c r="BR33" s="942">
        <v>9</v>
      </c>
      <c r="BS33" s="944"/>
      <c r="BT33" s="942">
        <v>217</v>
      </c>
      <c r="BU33" s="944"/>
      <c r="BV33" s="945">
        <v>202</v>
      </c>
      <c r="BW33" s="946"/>
      <c r="BX33" s="947"/>
      <c r="BY33" s="945">
        <v>419</v>
      </c>
      <c r="BZ33" s="947"/>
      <c r="CA33" s="945">
        <v>16</v>
      </c>
      <c r="CB33" s="946"/>
      <c r="CC33" s="947"/>
      <c r="CD33" s="942">
        <v>554</v>
      </c>
      <c r="CE33" s="943"/>
      <c r="CF33" s="944"/>
      <c r="CG33" s="942">
        <v>469</v>
      </c>
      <c r="CH33" s="943"/>
      <c r="CI33" s="944"/>
      <c r="CJ33" s="942">
        <v>1023</v>
      </c>
      <c r="CK33" s="943"/>
      <c r="CL33" s="944"/>
      <c r="CM33" s="942">
        <v>16</v>
      </c>
      <c r="CN33" s="943"/>
      <c r="CO33" s="944"/>
      <c r="CP33" s="952">
        <v>4</v>
      </c>
      <c r="CQ33" s="953"/>
      <c r="CR33" s="954"/>
      <c r="CS33" s="945">
        <v>20</v>
      </c>
      <c r="CT33" s="946"/>
      <c r="CU33" s="947"/>
      <c r="CV33" s="955" t="s">
        <v>35</v>
      </c>
      <c r="CW33" s="956"/>
      <c r="CX33" s="957"/>
      <c r="CY33" s="239">
        <f t="shared" si="0"/>
        <v>150000</v>
      </c>
    </row>
    <row r="34" spans="1:103" ht="43.5" customHeight="1">
      <c r="A34" s="297">
        <v>27</v>
      </c>
      <c r="B34" s="958" t="s">
        <v>360</v>
      </c>
      <c r="C34" s="959"/>
      <c r="D34" s="960"/>
      <c r="E34" s="955" t="s">
        <v>327</v>
      </c>
      <c r="F34" s="956"/>
      <c r="G34" s="956"/>
      <c r="H34" s="957"/>
      <c r="I34" s="151" t="s">
        <v>338</v>
      </c>
      <c r="J34" s="942">
        <v>2</v>
      </c>
      <c r="K34" s="944"/>
      <c r="L34" s="950">
        <v>91</v>
      </c>
      <c r="M34" s="951"/>
      <c r="N34" s="945">
        <v>74</v>
      </c>
      <c r="O34" s="947"/>
      <c r="P34" s="950">
        <v>165</v>
      </c>
      <c r="Q34" s="951"/>
      <c r="R34" s="942">
        <v>2</v>
      </c>
      <c r="S34" s="944"/>
      <c r="T34" s="945">
        <v>80</v>
      </c>
      <c r="U34" s="947"/>
      <c r="V34" s="945">
        <v>52</v>
      </c>
      <c r="W34" s="946"/>
      <c r="X34" s="947"/>
      <c r="Y34" s="945">
        <v>132</v>
      </c>
      <c r="Z34" s="947"/>
      <c r="AA34" s="942">
        <v>1</v>
      </c>
      <c r="AB34" s="944"/>
      <c r="AC34" s="945">
        <v>66</v>
      </c>
      <c r="AD34" s="947"/>
      <c r="AE34" s="942">
        <v>45</v>
      </c>
      <c r="AF34" s="944"/>
      <c r="AG34" s="942">
        <v>111</v>
      </c>
      <c r="AH34" s="944"/>
      <c r="AI34" s="942">
        <v>5</v>
      </c>
      <c r="AJ34" s="944"/>
      <c r="AK34" s="942">
        <v>237</v>
      </c>
      <c r="AL34" s="944"/>
      <c r="AM34" s="942">
        <v>171</v>
      </c>
      <c r="AN34" s="943"/>
      <c r="AO34" s="944"/>
      <c r="AP34" s="945">
        <v>408</v>
      </c>
      <c r="AQ34" s="946"/>
      <c r="AR34" s="947"/>
      <c r="AS34" s="942">
        <v>1</v>
      </c>
      <c r="AT34" s="944"/>
      <c r="AU34" s="945">
        <v>49</v>
      </c>
      <c r="AV34" s="947"/>
      <c r="AW34" s="942">
        <v>34</v>
      </c>
      <c r="AX34" s="944"/>
      <c r="AY34" s="942">
        <v>83</v>
      </c>
      <c r="AZ34" s="944"/>
      <c r="BA34" s="91">
        <v>1</v>
      </c>
      <c r="BB34" s="942">
        <v>36</v>
      </c>
      <c r="BC34" s="944"/>
      <c r="BD34" s="942">
        <v>26</v>
      </c>
      <c r="BE34" s="944"/>
      <c r="BF34" s="945">
        <v>62</v>
      </c>
      <c r="BG34" s="946"/>
      <c r="BH34" s="947"/>
      <c r="BI34" s="942">
        <v>1</v>
      </c>
      <c r="BJ34" s="944"/>
      <c r="BK34" s="942">
        <v>44</v>
      </c>
      <c r="BL34" s="944"/>
      <c r="BM34" s="942">
        <v>22</v>
      </c>
      <c r="BN34" s="943"/>
      <c r="BO34" s="944"/>
      <c r="BP34" s="942">
        <v>66</v>
      </c>
      <c r="BQ34" s="944"/>
      <c r="BR34" s="942">
        <v>3</v>
      </c>
      <c r="BS34" s="944"/>
      <c r="BT34" s="942">
        <v>129</v>
      </c>
      <c r="BU34" s="944"/>
      <c r="BV34" s="945">
        <v>82</v>
      </c>
      <c r="BW34" s="946"/>
      <c r="BX34" s="947"/>
      <c r="BY34" s="945">
        <v>211</v>
      </c>
      <c r="BZ34" s="947"/>
      <c r="CA34" s="952">
        <v>8</v>
      </c>
      <c r="CB34" s="953"/>
      <c r="CC34" s="954"/>
      <c r="CD34" s="942">
        <v>366</v>
      </c>
      <c r="CE34" s="943"/>
      <c r="CF34" s="944"/>
      <c r="CG34" s="942">
        <v>253</v>
      </c>
      <c r="CH34" s="943"/>
      <c r="CI34" s="944"/>
      <c r="CJ34" s="942">
        <v>619</v>
      </c>
      <c r="CK34" s="943"/>
      <c r="CL34" s="944"/>
      <c r="CM34" s="942">
        <v>7</v>
      </c>
      <c r="CN34" s="943"/>
      <c r="CO34" s="944"/>
      <c r="CP34" s="952">
        <v>2</v>
      </c>
      <c r="CQ34" s="953"/>
      <c r="CR34" s="954"/>
      <c r="CS34" s="952">
        <v>9</v>
      </c>
      <c r="CT34" s="953"/>
      <c r="CU34" s="954"/>
      <c r="CV34" s="955" t="s">
        <v>35</v>
      </c>
      <c r="CW34" s="956"/>
      <c r="CX34" s="957"/>
      <c r="CY34" s="239">
        <f t="shared" si="0"/>
        <v>90000</v>
      </c>
    </row>
    <row r="35" spans="1:103" ht="43.5" customHeight="1">
      <c r="A35" s="297">
        <v>28</v>
      </c>
      <c r="B35" s="958" t="s">
        <v>361</v>
      </c>
      <c r="C35" s="959"/>
      <c r="D35" s="960"/>
      <c r="E35" s="955" t="s">
        <v>327</v>
      </c>
      <c r="F35" s="956"/>
      <c r="G35" s="956"/>
      <c r="H35" s="957"/>
      <c r="I35" s="151" t="s">
        <v>362</v>
      </c>
      <c r="J35" s="942">
        <v>1</v>
      </c>
      <c r="K35" s="944"/>
      <c r="L35" s="950">
        <v>52</v>
      </c>
      <c r="M35" s="951"/>
      <c r="N35" s="945">
        <v>40</v>
      </c>
      <c r="O35" s="947"/>
      <c r="P35" s="950">
        <v>92</v>
      </c>
      <c r="Q35" s="951"/>
      <c r="R35" s="942">
        <v>1</v>
      </c>
      <c r="S35" s="944"/>
      <c r="T35" s="945">
        <v>35</v>
      </c>
      <c r="U35" s="947"/>
      <c r="V35" s="945">
        <v>37</v>
      </c>
      <c r="W35" s="946"/>
      <c r="X35" s="947"/>
      <c r="Y35" s="945">
        <v>72</v>
      </c>
      <c r="Z35" s="947"/>
      <c r="AA35" s="942">
        <v>1</v>
      </c>
      <c r="AB35" s="944"/>
      <c r="AC35" s="945">
        <v>29</v>
      </c>
      <c r="AD35" s="947"/>
      <c r="AE35" s="942">
        <v>26</v>
      </c>
      <c r="AF35" s="944"/>
      <c r="AG35" s="942">
        <v>55</v>
      </c>
      <c r="AH35" s="944"/>
      <c r="AI35" s="942">
        <v>3</v>
      </c>
      <c r="AJ35" s="944"/>
      <c r="AK35" s="942">
        <v>116</v>
      </c>
      <c r="AL35" s="944"/>
      <c r="AM35" s="942">
        <v>103</v>
      </c>
      <c r="AN35" s="943"/>
      <c r="AO35" s="944"/>
      <c r="AP35" s="945">
        <v>219</v>
      </c>
      <c r="AQ35" s="946"/>
      <c r="AR35" s="947"/>
      <c r="AS35" s="942">
        <v>1</v>
      </c>
      <c r="AT35" s="944"/>
      <c r="AU35" s="945">
        <v>47</v>
      </c>
      <c r="AV35" s="947"/>
      <c r="AW35" s="942">
        <v>32</v>
      </c>
      <c r="AX35" s="944"/>
      <c r="AY35" s="942">
        <v>79</v>
      </c>
      <c r="AZ35" s="944"/>
      <c r="BA35" s="91">
        <v>1</v>
      </c>
      <c r="BB35" s="942">
        <v>39</v>
      </c>
      <c r="BC35" s="944"/>
      <c r="BD35" s="942">
        <v>15</v>
      </c>
      <c r="BE35" s="944"/>
      <c r="BF35" s="945">
        <v>54</v>
      </c>
      <c r="BG35" s="946"/>
      <c r="BH35" s="947"/>
      <c r="BI35" s="942">
        <v>1</v>
      </c>
      <c r="BJ35" s="944"/>
      <c r="BK35" s="942">
        <v>33</v>
      </c>
      <c r="BL35" s="944"/>
      <c r="BM35" s="942">
        <v>10</v>
      </c>
      <c r="BN35" s="943"/>
      <c r="BO35" s="944"/>
      <c r="BP35" s="942">
        <v>43</v>
      </c>
      <c r="BQ35" s="944"/>
      <c r="BR35" s="942">
        <v>3</v>
      </c>
      <c r="BS35" s="944"/>
      <c r="BT35" s="942">
        <v>119</v>
      </c>
      <c r="BU35" s="944"/>
      <c r="BV35" s="945">
        <v>57</v>
      </c>
      <c r="BW35" s="946"/>
      <c r="BX35" s="947"/>
      <c r="BY35" s="945">
        <v>176</v>
      </c>
      <c r="BZ35" s="947"/>
      <c r="CA35" s="952">
        <v>6</v>
      </c>
      <c r="CB35" s="953"/>
      <c r="CC35" s="954"/>
      <c r="CD35" s="942">
        <v>235</v>
      </c>
      <c r="CE35" s="943"/>
      <c r="CF35" s="944"/>
      <c r="CG35" s="942">
        <v>160</v>
      </c>
      <c r="CH35" s="943"/>
      <c r="CI35" s="944"/>
      <c r="CJ35" s="942">
        <v>395</v>
      </c>
      <c r="CK35" s="943"/>
      <c r="CL35" s="944"/>
      <c r="CM35" s="942">
        <v>9</v>
      </c>
      <c r="CN35" s="943"/>
      <c r="CO35" s="944"/>
      <c r="CP35" s="952">
        <v>2</v>
      </c>
      <c r="CQ35" s="953"/>
      <c r="CR35" s="954"/>
      <c r="CS35" s="945">
        <v>11</v>
      </c>
      <c r="CT35" s="946"/>
      <c r="CU35" s="947"/>
      <c r="CV35" s="955" t="s">
        <v>35</v>
      </c>
      <c r="CW35" s="956"/>
      <c r="CX35" s="957"/>
      <c r="CY35" s="239">
        <f t="shared" si="0"/>
        <v>90000</v>
      </c>
    </row>
    <row r="36" spans="1:103" ht="43.5" customHeight="1">
      <c r="A36" s="297">
        <v>29</v>
      </c>
      <c r="B36" s="958" t="s">
        <v>363</v>
      </c>
      <c r="C36" s="959"/>
      <c r="D36" s="960"/>
      <c r="E36" s="955" t="s">
        <v>330</v>
      </c>
      <c r="F36" s="956"/>
      <c r="G36" s="956"/>
      <c r="H36" s="957"/>
      <c r="I36" s="151" t="s">
        <v>364</v>
      </c>
      <c r="J36" s="942">
        <v>2</v>
      </c>
      <c r="K36" s="944"/>
      <c r="L36" s="950">
        <v>36</v>
      </c>
      <c r="M36" s="951"/>
      <c r="N36" s="945">
        <v>32</v>
      </c>
      <c r="O36" s="947"/>
      <c r="P36" s="950">
        <v>68</v>
      </c>
      <c r="Q36" s="951"/>
      <c r="R36" s="942">
        <v>2</v>
      </c>
      <c r="S36" s="944"/>
      <c r="T36" s="945">
        <v>32</v>
      </c>
      <c r="U36" s="947"/>
      <c r="V36" s="945">
        <v>30</v>
      </c>
      <c r="W36" s="946"/>
      <c r="X36" s="947"/>
      <c r="Y36" s="945">
        <v>62</v>
      </c>
      <c r="Z36" s="947"/>
      <c r="AA36" s="942">
        <v>2</v>
      </c>
      <c r="AB36" s="944"/>
      <c r="AC36" s="945">
        <v>32</v>
      </c>
      <c r="AD36" s="947"/>
      <c r="AE36" s="942">
        <v>32</v>
      </c>
      <c r="AF36" s="944"/>
      <c r="AG36" s="942">
        <v>64</v>
      </c>
      <c r="AH36" s="944"/>
      <c r="AI36" s="942">
        <v>6</v>
      </c>
      <c r="AJ36" s="944"/>
      <c r="AK36" s="942">
        <v>100</v>
      </c>
      <c r="AL36" s="944"/>
      <c r="AM36" s="942">
        <v>94</v>
      </c>
      <c r="AN36" s="943"/>
      <c r="AO36" s="944"/>
      <c r="AP36" s="945">
        <v>194</v>
      </c>
      <c r="AQ36" s="946"/>
      <c r="AR36" s="947"/>
      <c r="AS36" s="942">
        <v>1</v>
      </c>
      <c r="AT36" s="944"/>
      <c r="AU36" s="945">
        <v>22</v>
      </c>
      <c r="AV36" s="947"/>
      <c r="AW36" s="942">
        <v>28</v>
      </c>
      <c r="AX36" s="944"/>
      <c r="AY36" s="942">
        <v>50</v>
      </c>
      <c r="AZ36" s="944"/>
      <c r="BA36" s="91">
        <v>1</v>
      </c>
      <c r="BB36" s="942">
        <v>38</v>
      </c>
      <c r="BC36" s="944"/>
      <c r="BD36" s="942">
        <v>29</v>
      </c>
      <c r="BE36" s="944"/>
      <c r="BF36" s="945">
        <v>67</v>
      </c>
      <c r="BG36" s="946"/>
      <c r="BH36" s="947"/>
      <c r="BI36" s="942">
        <v>1</v>
      </c>
      <c r="BJ36" s="944"/>
      <c r="BK36" s="942">
        <v>19</v>
      </c>
      <c r="BL36" s="944"/>
      <c r="BM36" s="942">
        <v>11</v>
      </c>
      <c r="BN36" s="943"/>
      <c r="BO36" s="944"/>
      <c r="BP36" s="942">
        <v>30</v>
      </c>
      <c r="BQ36" s="944"/>
      <c r="BR36" s="942">
        <v>3</v>
      </c>
      <c r="BS36" s="944"/>
      <c r="BT36" s="942">
        <v>79</v>
      </c>
      <c r="BU36" s="944"/>
      <c r="BV36" s="945">
        <v>68</v>
      </c>
      <c r="BW36" s="946"/>
      <c r="BX36" s="947"/>
      <c r="BY36" s="945">
        <v>147</v>
      </c>
      <c r="BZ36" s="947"/>
      <c r="CA36" s="952">
        <v>9</v>
      </c>
      <c r="CB36" s="953"/>
      <c r="CC36" s="954"/>
      <c r="CD36" s="942">
        <v>179</v>
      </c>
      <c r="CE36" s="943"/>
      <c r="CF36" s="944"/>
      <c r="CG36" s="942">
        <v>162</v>
      </c>
      <c r="CH36" s="943"/>
      <c r="CI36" s="944"/>
      <c r="CJ36" s="942">
        <v>341</v>
      </c>
      <c r="CK36" s="943"/>
      <c r="CL36" s="944"/>
      <c r="CM36" s="942">
        <v>10</v>
      </c>
      <c r="CN36" s="943"/>
      <c r="CO36" s="944"/>
      <c r="CP36" s="952">
        <v>1</v>
      </c>
      <c r="CQ36" s="953"/>
      <c r="CR36" s="954"/>
      <c r="CS36" s="945">
        <v>11</v>
      </c>
      <c r="CT36" s="946"/>
      <c r="CU36" s="947"/>
      <c r="CV36" s="955" t="s">
        <v>35</v>
      </c>
      <c r="CW36" s="956"/>
      <c r="CX36" s="957"/>
      <c r="CY36" s="239">
        <f t="shared" si="0"/>
        <v>90000</v>
      </c>
    </row>
    <row r="37" spans="1:103" ht="43.5" customHeight="1">
      <c r="A37" s="297">
        <v>30</v>
      </c>
      <c r="B37" s="958" t="s">
        <v>365</v>
      </c>
      <c r="C37" s="959"/>
      <c r="D37" s="960"/>
      <c r="E37" s="955" t="s">
        <v>330</v>
      </c>
      <c r="F37" s="956"/>
      <c r="G37" s="956"/>
      <c r="H37" s="957"/>
      <c r="I37" s="151" t="s">
        <v>364</v>
      </c>
      <c r="J37" s="942">
        <v>3</v>
      </c>
      <c r="K37" s="944"/>
      <c r="L37" s="950">
        <v>97</v>
      </c>
      <c r="M37" s="951"/>
      <c r="N37" s="945">
        <v>95</v>
      </c>
      <c r="O37" s="947"/>
      <c r="P37" s="950">
        <v>192</v>
      </c>
      <c r="Q37" s="951"/>
      <c r="R37" s="942">
        <v>2</v>
      </c>
      <c r="S37" s="944"/>
      <c r="T37" s="945">
        <v>75</v>
      </c>
      <c r="U37" s="947"/>
      <c r="V37" s="945">
        <v>77</v>
      </c>
      <c r="W37" s="946"/>
      <c r="X37" s="947"/>
      <c r="Y37" s="945">
        <v>152</v>
      </c>
      <c r="Z37" s="947"/>
      <c r="AA37" s="942">
        <v>3</v>
      </c>
      <c r="AB37" s="944"/>
      <c r="AC37" s="945">
        <v>82</v>
      </c>
      <c r="AD37" s="947"/>
      <c r="AE37" s="942">
        <v>104</v>
      </c>
      <c r="AF37" s="944"/>
      <c r="AG37" s="942">
        <v>186</v>
      </c>
      <c r="AH37" s="944"/>
      <c r="AI37" s="942">
        <v>8</v>
      </c>
      <c r="AJ37" s="944"/>
      <c r="AK37" s="942">
        <v>254</v>
      </c>
      <c r="AL37" s="944"/>
      <c r="AM37" s="942">
        <v>276</v>
      </c>
      <c r="AN37" s="943"/>
      <c r="AO37" s="944"/>
      <c r="AP37" s="945">
        <v>530</v>
      </c>
      <c r="AQ37" s="946"/>
      <c r="AR37" s="947"/>
      <c r="AS37" s="942">
        <v>2</v>
      </c>
      <c r="AT37" s="944"/>
      <c r="AU37" s="945">
        <v>52</v>
      </c>
      <c r="AV37" s="947"/>
      <c r="AW37" s="942">
        <v>46</v>
      </c>
      <c r="AX37" s="944"/>
      <c r="AY37" s="942">
        <v>98</v>
      </c>
      <c r="AZ37" s="944"/>
      <c r="BA37" s="91">
        <v>2</v>
      </c>
      <c r="BB37" s="942">
        <v>51</v>
      </c>
      <c r="BC37" s="944"/>
      <c r="BD37" s="942">
        <v>57</v>
      </c>
      <c r="BE37" s="944"/>
      <c r="BF37" s="945">
        <v>108</v>
      </c>
      <c r="BG37" s="946"/>
      <c r="BH37" s="947"/>
      <c r="BI37" s="942">
        <v>2</v>
      </c>
      <c r="BJ37" s="944"/>
      <c r="BK37" s="942">
        <v>42</v>
      </c>
      <c r="BL37" s="944"/>
      <c r="BM37" s="942">
        <v>58</v>
      </c>
      <c r="BN37" s="943"/>
      <c r="BO37" s="944"/>
      <c r="BP37" s="942">
        <v>100</v>
      </c>
      <c r="BQ37" s="944"/>
      <c r="BR37" s="942">
        <v>6</v>
      </c>
      <c r="BS37" s="944"/>
      <c r="BT37" s="942">
        <v>145</v>
      </c>
      <c r="BU37" s="944"/>
      <c r="BV37" s="945">
        <v>161</v>
      </c>
      <c r="BW37" s="946"/>
      <c r="BX37" s="947"/>
      <c r="BY37" s="945">
        <v>306</v>
      </c>
      <c r="BZ37" s="947"/>
      <c r="CA37" s="945">
        <v>14</v>
      </c>
      <c r="CB37" s="946"/>
      <c r="CC37" s="947"/>
      <c r="CD37" s="942">
        <v>399</v>
      </c>
      <c r="CE37" s="943"/>
      <c r="CF37" s="944"/>
      <c r="CG37" s="942">
        <v>437</v>
      </c>
      <c r="CH37" s="943"/>
      <c r="CI37" s="944"/>
      <c r="CJ37" s="942">
        <v>836</v>
      </c>
      <c r="CK37" s="943"/>
      <c r="CL37" s="944"/>
      <c r="CM37" s="942">
        <v>15</v>
      </c>
      <c r="CN37" s="943"/>
      <c r="CO37" s="944"/>
      <c r="CP37" s="952">
        <v>3</v>
      </c>
      <c r="CQ37" s="953"/>
      <c r="CR37" s="954"/>
      <c r="CS37" s="945">
        <v>18</v>
      </c>
      <c r="CT37" s="946"/>
      <c r="CU37" s="947"/>
      <c r="CV37" s="955" t="s">
        <v>35</v>
      </c>
      <c r="CW37" s="956"/>
      <c r="CX37" s="957"/>
      <c r="CY37" s="239">
        <f t="shared" si="0"/>
        <v>90000</v>
      </c>
    </row>
    <row r="38" spans="1:103" ht="52.5" customHeight="1">
      <c r="A38" s="297">
        <v>31</v>
      </c>
      <c r="B38" s="958" t="s">
        <v>366</v>
      </c>
      <c r="C38" s="959"/>
      <c r="D38" s="960"/>
      <c r="E38" s="955" t="s">
        <v>327</v>
      </c>
      <c r="F38" s="956"/>
      <c r="G38" s="956"/>
      <c r="H38" s="957"/>
      <c r="I38" s="151" t="s">
        <v>328</v>
      </c>
      <c r="J38" s="942">
        <v>1</v>
      </c>
      <c r="K38" s="944"/>
      <c r="L38" s="950">
        <v>46</v>
      </c>
      <c r="M38" s="951"/>
      <c r="N38" s="945">
        <v>20</v>
      </c>
      <c r="O38" s="947"/>
      <c r="P38" s="950">
        <v>66</v>
      </c>
      <c r="Q38" s="951"/>
      <c r="R38" s="942">
        <v>1</v>
      </c>
      <c r="S38" s="944"/>
      <c r="T38" s="945">
        <v>26</v>
      </c>
      <c r="U38" s="947"/>
      <c r="V38" s="945">
        <v>27</v>
      </c>
      <c r="W38" s="946"/>
      <c r="X38" s="947"/>
      <c r="Y38" s="945">
        <v>53</v>
      </c>
      <c r="Z38" s="947"/>
      <c r="AA38" s="942">
        <v>1</v>
      </c>
      <c r="AB38" s="944"/>
      <c r="AC38" s="945">
        <v>33</v>
      </c>
      <c r="AD38" s="947"/>
      <c r="AE38" s="942">
        <v>24</v>
      </c>
      <c r="AF38" s="944"/>
      <c r="AG38" s="942">
        <v>57</v>
      </c>
      <c r="AH38" s="944"/>
      <c r="AI38" s="942">
        <v>3</v>
      </c>
      <c r="AJ38" s="944"/>
      <c r="AK38" s="942">
        <v>105</v>
      </c>
      <c r="AL38" s="944"/>
      <c r="AM38" s="942">
        <v>71</v>
      </c>
      <c r="AN38" s="943"/>
      <c r="AO38" s="944"/>
      <c r="AP38" s="945">
        <v>176</v>
      </c>
      <c r="AQ38" s="946"/>
      <c r="AR38" s="947"/>
      <c r="AS38" s="942">
        <v>1</v>
      </c>
      <c r="AT38" s="944"/>
      <c r="AU38" s="945">
        <v>36</v>
      </c>
      <c r="AV38" s="947"/>
      <c r="AW38" s="942">
        <v>14</v>
      </c>
      <c r="AX38" s="944"/>
      <c r="AY38" s="942">
        <v>50</v>
      </c>
      <c r="AZ38" s="944"/>
      <c r="BA38" s="91">
        <v>1</v>
      </c>
      <c r="BB38" s="942">
        <v>21</v>
      </c>
      <c r="BC38" s="944"/>
      <c r="BD38" s="942">
        <v>20</v>
      </c>
      <c r="BE38" s="944"/>
      <c r="BF38" s="945">
        <v>41</v>
      </c>
      <c r="BG38" s="946"/>
      <c r="BH38" s="947"/>
      <c r="BI38" s="942">
        <v>1</v>
      </c>
      <c r="BJ38" s="944"/>
      <c r="BK38" s="942">
        <v>14</v>
      </c>
      <c r="BL38" s="944"/>
      <c r="BM38" s="942">
        <v>14</v>
      </c>
      <c r="BN38" s="943"/>
      <c r="BO38" s="944"/>
      <c r="BP38" s="942">
        <v>28</v>
      </c>
      <c r="BQ38" s="944"/>
      <c r="BR38" s="942">
        <v>3</v>
      </c>
      <c r="BS38" s="944"/>
      <c r="BT38" s="942">
        <v>71</v>
      </c>
      <c r="BU38" s="944"/>
      <c r="BV38" s="945">
        <v>48</v>
      </c>
      <c r="BW38" s="946"/>
      <c r="BX38" s="947"/>
      <c r="BY38" s="945">
        <v>119</v>
      </c>
      <c r="BZ38" s="947"/>
      <c r="CA38" s="952">
        <v>6</v>
      </c>
      <c r="CB38" s="953"/>
      <c r="CC38" s="954"/>
      <c r="CD38" s="942">
        <v>176</v>
      </c>
      <c r="CE38" s="943"/>
      <c r="CF38" s="944"/>
      <c r="CG38" s="942">
        <v>119</v>
      </c>
      <c r="CH38" s="943"/>
      <c r="CI38" s="944"/>
      <c r="CJ38" s="942">
        <v>295</v>
      </c>
      <c r="CK38" s="943"/>
      <c r="CL38" s="944"/>
      <c r="CM38" s="942">
        <v>9</v>
      </c>
      <c r="CN38" s="943"/>
      <c r="CO38" s="944"/>
      <c r="CP38" s="952">
        <v>0</v>
      </c>
      <c r="CQ38" s="953"/>
      <c r="CR38" s="954"/>
      <c r="CS38" s="952">
        <v>9</v>
      </c>
      <c r="CT38" s="953"/>
      <c r="CU38" s="954"/>
      <c r="CV38" s="955" t="s">
        <v>35</v>
      </c>
      <c r="CW38" s="956"/>
      <c r="CX38" s="957"/>
      <c r="CY38" s="239">
        <f t="shared" si="0"/>
        <v>90000</v>
      </c>
    </row>
    <row r="39" spans="1:103" ht="43.5" customHeight="1">
      <c r="A39" s="297">
        <v>32</v>
      </c>
      <c r="B39" s="958" t="s">
        <v>367</v>
      </c>
      <c r="C39" s="959"/>
      <c r="D39" s="960"/>
      <c r="E39" s="955" t="s">
        <v>330</v>
      </c>
      <c r="F39" s="956"/>
      <c r="G39" s="956"/>
      <c r="H39" s="957"/>
      <c r="I39" s="151" t="s">
        <v>343</v>
      </c>
      <c r="J39" s="942">
        <v>1</v>
      </c>
      <c r="K39" s="944"/>
      <c r="L39" s="950">
        <v>32</v>
      </c>
      <c r="M39" s="951"/>
      <c r="N39" s="945">
        <v>34</v>
      </c>
      <c r="O39" s="947"/>
      <c r="P39" s="950">
        <v>66</v>
      </c>
      <c r="Q39" s="951"/>
      <c r="R39" s="942">
        <v>1</v>
      </c>
      <c r="S39" s="944"/>
      <c r="T39" s="945">
        <v>23</v>
      </c>
      <c r="U39" s="947"/>
      <c r="V39" s="945">
        <v>21</v>
      </c>
      <c r="W39" s="946"/>
      <c r="X39" s="947"/>
      <c r="Y39" s="945">
        <v>44</v>
      </c>
      <c r="Z39" s="947"/>
      <c r="AA39" s="942">
        <v>1</v>
      </c>
      <c r="AB39" s="944"/>
      <c r="AC39" s="945">
        <v>26</v>
      </c>
      <c r="AD39" s="947"/>
      <c r="AE39" s="942">
        <v>20</v>
      </c>
      <c r="AF39" s="944"/>
      <c r="AG39" s="942">
        <v>46</v>
      </c>
      <c r="AH39" s="944"/>
      <c r="AI39" s="942">
        <v>3</v>
      </c>
      <c r="AJ39" s="944"/>
      <c r="AK39" s="942">
        <v>81</v>
      </c>
      <c r="AL39" s="944"/>
      <c r="AM39" s="942">
        <v>75</v>
      </c>
      <c r="AN39" s="943"/>
      <c r="AO39" s="944"/>
      <c r="AP39" s="945">
        <v>156</v>
      </c>
      <c r="AQ39" s="946"/>
      <c r="AR39" s="947"/>
      <c r="AS39" s="942">
        <v>1</v>
      </c>
      <c r="AT39" s="944"/>
      <c r="AU39" s="945">
        <v>20</v>
      </c>
      <c r="AV39" s="947"/>
      <c r="AW39" s="942">
        <v>21</v>
      </c>
      <c r="AX39" s="944"/>
      <c r="AY39" s="942">
        <v>41</v>
      </c>
      <c r="AZ39" s="944"/>
      <c r="BA39" s="91">
        <v>1</v>
      </c>
      <c r="BB39" s="942">
        <v>29</v>
      </c>
      <c r="BC39" s="944"/>
      <c r="BD39" s="942">
        <v>18</v>
      </c>
      <c r="BE39" s="944"/>
      <c r="BF39" s="945">
        <v>47</v>
      </c>
      <c r="BG39" s="946"/>
      <c r="BH39" s="947"/>
      <c r="BI39" s="942">
        <v>1</v>
      </c>
      <c r="BJ39" s="944"/>
      <c r="BK39" s="942">
        <v>20</v>
      </c>
      <c r="BL39" s="944"/>
      <c r="BM39" s="942">
        <v>15</v>
      </c>
      <c r="BN39" s="943"/>
      <c r="BO39" s="944"/>
      <c r="BP39" s="942">
        <v>35</v>
      </c>
      <c r="BQ39" s="944"/>
      <c r="BR39" s="942">
        <v>3</v>
      </c>
      <c r="BS39" s="944"/>
      <c r="BT39" s="942">
        <v>69</v>
      </c>
      <c r="BU39" s="944"/>
      <c r="BV39" s="945">
        <v>54</v>
      </c>
      <c r="BW39" s="946"/>
      <c r="BX39" s="947"/>
      <c r="BY39" s="945">
        <v>123</v>
      </c>
      <c r="BZ39" s="947"/>
      <c r="CA39" s="952">
        <v>6</v>
      </c>
      <c r="CB39" s="953"/>
      <c r="CC39" s="954"/>
      <c r="CD39" s="942">
        <v>150</v>
      </c>
      <c r="CE39" s="943"/>
      <c r="CF39" s="944"/>
      <c r="CG39" s="942">
        <v>129</v>
      </c>
      <c r="CH39" s="943"/>
      <c r="CI39" s="944"/>
      <c r="CJ39" s="942">
        <v>279</v>
      </c>
      <c r="CK39" s="943"/>
      <c r="CL39" s="944"/>
      <c r="CM39" s="942">
        <v>5</v>
      </c>
      <c r="CN39" s="943"/>
      <c r="CO39" s="944"/>
      <c r="CP39" s="952">
        <v>6</v>
      </c>
      <c r="CQ39" s="953"/>
      <c r="CR39" s="954"/>
      <c r="CS39" s="945">
        <v>11</v>
      </c>
      <c r="CT39" s="946"/>
      <c r="CU39" s="947"/>
      <c r="CV39" s="955" t="s">
        <v>35</v>
      </c>
      <c r="CW39" s="956"/>
      <c r="CX39" s="957"/>
      <c r="CY39" s="239">
        <f t="shared" si="0"/>
        <v>90000</v>
      </c>
    </row>
    <row r="40" spans="1:103" ht="43.5" customHeight="1">
      <c r="A40" s="297"/>
      <c r="B40" s="958" t="s">
        <v>421</v>
      </c>
      <c r="C40" s="959"/>
      <c r="D40" s="960"/>
      <c r="E40" s="961"/>
      <c r="F40" s="962"/>
      <c r="G40" s="962"/>
      <c r="H40" s="963"/>
      <c r="I40" s="152"/>
      <c r="J40" s="942">
        <v>52</v>
      </c>
      <c r="K40" s="944"/>
      <c r="L40" s="950">
        <v>1851</v>
      </c>
      <c r="M40" s="951"/>
      <c r="N40" s="945">
        <v>1707</v>
      </c>
      <c r="O40" s="947"/>
      <c r="P40" s="950">
        <v>3558</v>
      </c>
      <c r="Q40" s="951"/>
      <c r="R40" s="942">
        <v>52</v>
      </c>
      <c r="S40" s="944"/>
      <c r="T40" s="945">
        <v>1761</v>
      </c>
      <c r="U40" s="947"/>
      <c r="V40" s="945">
        <v>1487</v>
      </c>
      <c r="W40" s="946"/>
      <c r="X40" s="947"/>
      <c r="Y40" s="945">
        <v>3248</v>
      </c>
      <c r="Z40" s="947"/>
      <c r="AA40" s="942">
        <v>47</v>
      </c>
      <c r="AB40" s="944"/>
      <c r="AC40" s="945">
        <v>1537</v>
      </c>
      <c r="AD40" s="947"/>
      <c r="AE40" s="942">
        <v>1416</v>
      </c>
      <c r="AF40" s="944"/>
      <c r="AG40" s="942">
        <v>2953</v>
      </c>
      <c r="AH40" s="944"/>
      <c r="AI40" s="942">
        <v>151</v>
      </c>
      <c r="AJ40" s="944"/>
      <c r="AK40" s="942">
        <v>5149</v>
      </c>
      <c r="AL40" s="944"/>
      <c r="AM40" s="942">
        <v>4610</v>
      </c>
      <c r="AN40" s="943"/>
      <c r="AO40" s="944"/>
      <c r="AP40" s="945">
        <v>9759</v>
      </c>
      <c r="AQ40" s="946"/>
      <c r="AR40" s="947"/>
      <c r="AS40" s="942">
        <v>48</v>
      </c>
      <c r="AT40" s="944"/>
      <c r="AU40" s="945">
        <v>1425</v>
      </c>
      <c r="AV40" s="947"/>
      <c r="AW40" s="942">
        <v>1190</v>
      </c>
      <c r="AX40" s="944"/>
      <c r="AY40" s="942">
        <v>2615</v>
      </c>
      <c r="AZ40" s="944"/>
      <c r="BA40" s="91">
        <v>48</v>
      </c>
      <c r="BB40" s="942">
        <v>1186</v>
      </c>
      <c r="BC40" s="944"/>
      <c r="BD40" s="942">
        <v>1024</v>
      </c>
      <c r="BE40" s="944"/>
      <c r="BF40" s="945">
        <v>2210</v>
      </c>
      <c r="BG40" s="946"/>
      <c r="BH40" s="947"/>
      <c r="BI40" s="942">
        <v>45</v>
      </c>
      <c r="BJ40" s="944"/>
      <c r="BK40" s="942">
        <v>873</v>
      </c>
      <c r="BL40" s="944"/>
      <c r="BM40" s="942">
        <v>762</v>
      </c>
      <c r="BN40" s="943"/>
      <c r="BO40" s="944"/>
      <c r="BP40" s="942">
        <v>1635</v>
      </c>
      <c r="BQ40" s="944"/>
      <c r="BR40" s="942">
        <v>141</v>
      </c>
      <c r="BS40" s="944"/>
      <c r="BT40" s="942">
        <v>3484</v>
      </c>
      <c r="BU40" s="944"/>
      <c r="BV40" s="945">
        <v>2976</v>
      </c>
      <c r="BW40" s="946"/>
      <c r="BX40" s="947"/>
      <c r="BY40" s="945">
        <v>6460</v>
      </c>
      <c r="BZ40" s="947"/>
      <c r="CA40" s="945">
        <v>292</v>
      </c>
      <c r="CB40" s="946"/>
      <c r="CC40" s="947"/>
      <c r="CD40" s="942">
        <v>8633</v>
      </c>
      <c r="CE40" s="943"/>
      <c r="CF40" s="944"/>
      <c r="CG40" s="942">
        <v>7586</v>
      </c>
      <c r="CH40" s="943"/>
      <c r="CI40" s="944"/>
      <c r="CJ40" s="942">
        <v>16219</v>
      </c>
      <c r="CK40" s="943"/>
      <c r="CL40" s="944"/>
      <c r="CM40" s="942">
        <v>274</v>
      </c>
      <c r="CN40" s="943"/>
      <c r="CO40" s="944"/>
      <c r="CP40" s="945">
        <v>115</v>
      </c>
      <c r="CQ40" s="946"/>
      <c r="CR40" s="947"/>
      <c r="CS40" s="945">
        <v>389</v>
      </c>
      <c r="CT40" s="946"/>
      <c r="CU40" s="947"/>
      <c r="CV40" s="948">
        <v>32</v>
      </c>
      <c r="CW40" s="949"/>
      <c r="CX40" s="949"/>
      <c r="CY40" s="239">
        <f>SUM(CY8:CY39)</f>
        <v>3120000</v>
      </c>
    </row>
    <row r="41" spans="1:103" ht="58.5" customHeight="1">
      <c r="A41" s="307"/>
      <c r="B41" s="937"/>
      <c r="C41" s="937"/>
      <c r="D41" s="937"/>
      <c r="E41" s="938">
        <v>32</v>
      </c>
      <c r="F41" s="938"/>
      <c r="G41" s="938"/>
      <c r="H41" s="938"/>
      <c r="I41" s="935" t="s">
        <v>419</v>
      </c>
      <c r="J41" s="935"/>
      <c r="K41" s="935"/>
      <c r="L41" s="935"/>
      <c r="M41" s="935"/>
      <c r="N41" s="935"/>
      <c r="O41" s="935"/>
      <c r="P41" s="935"/>
      <c r="Q41" s="935"/>
      <c r="R41" s="935"/>
      <c r="S41" s="935"/>
      <c r="T41" s="935"/>
      <c r="U41" s="935"/>
      <c r="V41" s="935"/>
      <c r="W41" s="935"/>
      <c r="X41" s="935"/>
      <c r="Y41" s="935"/>
      <c r="Z41" s="935"/>
      <c r="AA41" s="935"/>
      <c r="AB41" s="935"/>
      <c r="AC41" s="935"/>
      <c r="AD41" s="935"/>
      <c r="AE41" s="935"/>
      <c r="AF41" s="935"/>
      <c r="AG41" s="935"/>
      <c r="AH41" s="935"/>
      <c r="AI41" s="935"/>
      <c r="AJ41" s="935"/>
      <c r="AK41" s="935"/>
      <c r="AL41" s="935"/>
      <c r="AM41" s="935"/>
      <c r="AN41" s="935"/>
      <c r="AO41" s="935"/>
      <c r="AP41" s="935"/>
      <c r="AQ41" s="935"/>
      <c r="AR41" s="935"/>
      <c r="AS41" s="935"/>
      <c r="AT41" s="935"/>
      <c r="AU41" s="935"/>
      <c r="AV41" s="935"/>
      <c r="AW41" s="935"/>
      <c r="AX41" s="935"/>
      <c r="AY41" s="935"/>
      <c r="AZ41" s="935"/>
      <c r="BA41" s="935"/>
      <c r="BB41" s="935"/>
      <c r="BC41" s="935"/>
      <c r="BD41" s="935"/>
      <c r="BE41" s="935"/>
      <c r="BF41" s="935"/>
      <c r="BG41" s="935"/>
      <c r="BH41" s="935"/>
      <c r="BI41" s="935"/>
      <c r="BJ41" s="935"/>
      <c r="BK41" s="935"/>
      <c r="BL41" s="935"/>
      <c r="BM41" s="935"/>
      <c r="BN41" s="935"/>
      <c r="BO41" s="935"/>
      <c r="BP41" s="935"/>
      <c r="BQ41" s="935"/>
      <c r="BR41" s="935"/>
      <c r="BS41" s="935"/>
      <c r="BT41" s="935"/>
      <c r="BU41" s="935"/>
      <c r="BV41" s="935"/>
      <c r="BW41" s="935"/>
      <c r="BX41" s="935"/>
      <c r="BY41" s="935"/>
      <c r="BZ41" s="935"/>
      <c r="CA41" s="935"/>
      <c r="CB41" s="935"/>
      <c r="CC41" s="935"/>
      <c r="CD41" s="935"/>
      <c r="CE41" s="935"/>
      <c r="CF41" s="935"/>
      <c r="CG41" s="935"/>
      <c r="CH41" s="935"/>
      <c r="CI41" s="935"/>
      <c r="CJ41" s="935"/>
      <c r="CK41" s="935"/>
      <c r="CL41" s="936"/>
      <c r="CM41" s="807">
        <v>15</v>
      </c>
      <c r="CN41" s="814"/>
      <c r="CO41" s="808"/>
      <c r="CP41" s="939">
        <v>5</v>
      </c>
      <c r="CQ41" s="940"/>
      <c r="CR41" s="941"/>
      <c r="CS41" s="805">
        <v>20</v>
      </c>
      <c r="CT41" s="815"/>
      <c r="CU41" s="806"/>
      <c r="CV41" s="964"/>
      <c r="CW41" s="965"/>
      <c r="CX41" s="965"/>
      <c r="CY41" s="239">
        <f>CJ40*20</f>
        <v>324380</v>
      </c>
    </row>
    <row r="42" spans="1:103" ht="43.5" customHeight="1" thickBot="1">
      <c r="A42" s="993" t="s">
        <v>528</v>
      </c>
      <c r="B42" s="994"/>
      <c r="C42" s="994"/>
      <c r="D42" s="994"/>
      <c r="E42" s="994"/>
      <c r="F42" s="994"/>
      <c r="G42" s="994"/>
      <c r="H42" s="994"/>
      <c r="I42" s="994"/>
      <c r="J42" s="994"/>
      <c r="K42" s="994"/>
      <c r="L42" s="994"/>
      <c r="M42" s="994"/>
      <c r="N42" s="994"/>
      <c r="O42" s="994"/>
      <c r="P42" s="994"/>
      <c r="Q42" s="994"/>
      <c r="R42" s="994"/>
      <c r="S42" s="994"/>
      <c r="T42" s="994"/>
      <c r="U42" s="994"/>
      <c r="V42" s="994"/>
      <c r="W42" s="994"/>
      <c r="X42" s="994"/>
      <c r="Y42" s="994"/>
      <c r="Z42" s="994"/>
      <c r="AA42" s="994"/>
      <c r="AB42" s="994"/>
      <c r="AC42" s="994"/>
      <c r="AD42" s="994"/>
      <c r="AE42" s="994"/>
      <c r="AF42" s="994"/>
      <c r="AG42" s="994"/>
      <c r="AH42" s="994"/>
      <c r="AI42" s="994"/>
      <c r="AJ42" s="994"/>
      <c r="AK42" s="994"/>
      <c r="AL42" s="994"/>
      <c r="AM42" s="994"/>
      <c r="AN42" s="994"/>
      <c r="AO42" s="994"/>
      <c r="AP42" s="994"/>
      <c r="AQ42" s="994"/>
      <c r="AR42" s="994"/>
      <c r="AS42" s="994"/>
      <c r="AT42" s="994"/>
      <c r="AU42" s="994"/>
      <c r="AV42" s="994"/>
      <c r="AW42" s="994"/>
      <c r="AX42" s="994"/>
      <c r="AY42" s="994"/>
      <c r="AZ42" s="994"/>
      <c r="BA42" s="994"/>
      <c r="BB42" s="994"/>
      <c r="BC42" s="994"/>
      <c r="BD42" s="994"/>
      <c r="BE42" s="994"/>
      <c r="BF42" s="994"/>
      <c r="BG42" s="994"/>
      <c r="BH42" s="994"/>
      <c r="BI42" s="994"/>
      <c r="BJ42" s="994"/>
      <c r="BK42" s="994"/>
      <c r="BL42" s="994"/>
      <c r="BM42" s="994"/>
      <c r="BN42" s="994"/>
      <c r="BO42" s="994"/>
      <c r="BP42" s="994"/>
      <c r="BQ42" s="994"/>
      <c r="BR42" s="994"/>
      <c r="BS42" s="994"/>
      <c r="BT42" s="994"/>
      <c r="BU42" s="994"/>
      <c r="BV42" s="994"/>
      <c r="BW42" s="994"/>
      <c r="BX42" s="994"/>
      <c r="BY42" s="994"/>
      <c r="BZ42" s="994"/>
      <c r="CA42" s="994"/>
      <c r="CB42" s="994"/>
      <c r="CC42" s="994"/>
      <c r="CD42" s="994"/>
      <c r="CE42" s="994"/>
      <c r="CF42" s="994"/>
      <c r="CG42" s="994"/>
      <c r="CH42" s="994"/>
      <c r="CI42" s="994"/>
      <c r="CJ42" s="994"/>
      <c r="CK42" s="994"/>
      <c r="CL42" s="995"/>
      <c r="CM42" s="926">
        <v>259</v>
      </c>
      <c r="CN42" s="927"/>
      <c r="CO42" s="928"/>
      <c r="CP42" s="929">
        <v>110</v>
      </c>
      <c r="CQ42" s="930"/>
      <c r="CR42" s="931"/>
      <c r="CS42" s="929">
        <v>369</v>
      </c>
      <c r="CT42" s="930"/>
      <c r="CU42" s="931"/>
      <c r="CV42" s="932" t="s">
        <v>64</v>
      </c>
      <c r="CW42" s="933"/>
      <c r="CX42" s="934"/>
      <c r="CY42" s="244">
        <f>CY40+CY41</f>
        <v>3444380</v>
      </c>
    </row>
    <row r="43" spans="1:103" ht="43.5" customHeight="1">
      <c r="CD43" s="88">
        <f>COUNTIF(CJ8:CL39, "&lt;1000")</f>
        <v>28</v>
      </c>
      <c r="CE43" s="88">
        <f>COUNTIF(CJ8:CL39, "&gt;1000")</f>
        <v>4</v>
      </c>
    </row>
    <row r="44" spans="1:103" ht="43.5" customHeight="1">
      <c r="B44" s="35">
        <f>COUNTA(B8:D39)-COUNTIF(B8:D39,"GOVERNMENT SCIENCE")</f>
        <v>32</v>
      </c>
      <c r="C44" s="35">
        <f>COUNTIF(B8:D39,"GOVERNMENT SCIENCE")</f>
        <v>0</v>
      </c>
    </row>
  </sheetData>
  <mergeCells count="1443">
    <mergeCell ref="CY6:CY7"/>
    <mergeCell ref="V5:X5"/>
    <mergeCell ref="Y5:Z5"/>
    <mergeCell ref="AA5:AB5"/>
    <mergeCell ref="AC5:AL5"/>
    <mergeCell ref="A5:D5"/>
    <mergeCell ref="E5:I5"/>
    <mergeCell ref="J5:K5"/>
    <mergeCell ref="L5:M5"/>
    <mergeCell ref="N5:O5"/>
    <mergeCell ref="P5:Q5"/>
    <mergeCell ref="AK7:AL7"/>
    <mergeCell ref="AM7:AO7"/>
    <mergeCell ref="J7:K7"/>
    <mergeCell ref="L7:M7"/>
    <mergeCell ref="N7:O7"/>
    <mergeCell ref="P7:Q7"/>
    <mergeCell ref="R7:S7"/>
    <mergeCell ref="T7:U7"/>
    <mergeCell ref="CV6:CX7"/>
    <mergeCell ref="V7:X7"/>
    <mergeCell ref="Y7:Z7"/>
    <mergeCell ref="AA7:AB7"/>
    <mergeCell ref="AS6:AZ6"/>
    <mergeCell ref="BA6:BH6"/>
    <mergeCell ref="BI6:BQ6"/>
    <mergeCell ref="BR6:BZ6"/>
    <mergeCell ref="CA6:CL6"/>
    <mergeCell ref="CM6:CU6"/>
    <mergeCell ref="CG7:CI7"/>
    <mergeCell ref="CJ7:CL7"/>
    <mergeCell ref="CM7:CO7"/>
    <mergeCell ref="CP7:CR7"/>
    <mergeCell ref="CS7:CU7"/>
    <mergeCell ref="BM7:BO7"/>
    <mergeCell ref="CM8:CO8"/>
    <mergeCell ref="AU7:AV7"/>
    <mergeCell ref="AW7:AX7"/>
    <mergeCell ref="AY7:AZ7"/>
    <mergeCell ref="BB7:BC7"/>
    <mergeCell ref="AC7:AD7"/>
    <mergeCell ref="AE7:AF7"/>
    <mergeCell ref="AG7:AH7"/>
    <mergeCell ref="AI7:AJ7"/>
    <mergeCell ref="AC8:AD8"/>
    <mergeCell ref="AE8:AF8"/>
    <mergeCell ref="AG8:AH8"/>
    <mergeCell ref="BP7:BQ7"/>
    <mergeCell ref="AP7:AR7"/>
    <mergeCell ref="AS7:AT7"/>
    <mergeCell ref="CA7:CC7"/>
    <mergeCell ref="AI8:AJ8"/>
    <mergeCell ref="AK8:AL8"/>
    <mergeCell ref="AM8:AO8"/>
    <mergeCell ref="CD7:CF7"/>
    <mergeCell ref="BD7:BE7"/>
    <mergeCell ref="BF7:BH7"/>
    <mergeCell ref="BI7:BJ7"/>
    <mergeCell ref="BK7:BL7"/>
    <mergeCell ref="A42:CL42"/>
    <mergeCell ref="BM5:CI5"/>
    <mergeCell ref="CJ5:CX5"/>
    <mergeCell ref="A6:A7"/>
    <mergeCell ref="B6:D7"/>
    <mergeCell ref="E6:H7"/>
    <mergeCell ref="I6:I7"/>
    <mergeCell ref="J6:Q6"/>
    <mergeCell ref="R6:Z6"/>
    <mergeCell ref="AA6:AH6"/>
    <mergeCell ref="AI6:AR6"/>
    <mergeCell ref="AM5:AO5"/>
    <mergeCell ref="AP5:AR5"/>
    <mergeCell ref="AS5:AT5"/>
    <mergeCell ref="AU5:AV5"/>
    <mergeCell ref="AW5:BJ5"/>
    <mergeCell ref="BK5:BL5"/>
    <mergeCell ref="R5:S5"/>
    <mergeCell ref="E8:H8"/>
    <mergeCell ref="J8:K8"/>
    <mergeCell ref="L8:M8"/>
    <mergeCell ref="N8:O8"/>
    <mergeCell ref="BR7:BS7"/>
    <mergeCell ref="BT7:BU7"/>
    <mergeCell ref="BV7:BX7"/>
    <mergeCell ref="BY7:BZ7"/>
    <mergeCell ref="B9:D9"/>
    <mergeCell ref="E9:H9"/>
    <mergeCell ref="J9:K9"/>
    <mergeCell ref="L9:M9"/>
    <mergeCell ref="T5:U5"/>
    <mergeCell ref="B8:D8"/>
    <mergeCell ref="P8:Q8"/>
    <mergeCell ref="R8:S8"/>
    <mergeCell ref="T8:U8"/>
    <mergeCell ref="V8:X8"/>
    <mergeCell ref="Y8:Z8"/>
    <mergeCell ref="AA8:AB8"/>
    <mergeCell ref="CJ9:CL9"/>
    <mergeCell ref="CM9:CO9"/>
    <mergeCell ref="AW8:AX8"/>
    <mergeCell ref="AY8:AZ8"/>
    <mergeCell ref="BB8:BC8"/>
    <mergeCell ref="AM9:AO9"/>
    <mergeCell ref="AP9:AR9"/>
    <mergeCell ref="R9:S9"/>
    <mergeCell ref="T9:U9"/>
    <mergeCell ref="V9:X9"/>
    <mergeCell ref="Y9:Z9"/>
    <mergeCell ref="AA9:AB9"/>
    <mergeCell ref="AC9:AD9"/>
    <mergeCell ref="AP8:AR8"/>
    <mergeCell ref="AS8:AT8"/>
    <mergeCell ref="AU8:AV8"/>
    <mergeCell ref="CG8:CI8"/>
    <mergeCell ref="CP9:CR9"/>
    <mergeCell ref="CS9:CU9"/>
    <mergeCell ref="CV9:CX9"/>
    <mergeCell ref="CP8:CR8"/>
    <mergeCell ref="CS8:CU8"/>
    <mergeCell ref="CV8:CX8"/>
    <mergeCell ref="BR8:BS8"/>
    <mergeCell ref="BT8:BU8"/>
    <mergeCell ref="BV8:BX8"/>
    <mergeCell ref="BY8:BZ8"/>
    <mergeCell ref="CA8:CC8"/>
    <mergeCell ref="CD8:CF8"/>
    <mergeCell ref="BD8:BE8"/>
    <mergeCell ref="BF8:BH8"/>
    <mergeCell ref="BI8:BJ8"/>
    <mergeCell ref="BK8:BL8"/>
    <mergeCell ref="BM8:BO8"/>
    <mergeCell ref="BP8:BQ8"/>
    <mergeCell ref="CJ8:CL8"/>
    <mergeCell ref="E10:H10"/>
    <mergeCell ref="J10:K10"/>
    <mergeCell ref="L10:M10"/>
    <mergeCell ref="N10:O10"/>
    <mergeCell ref="BT9:BU9"/>
    <mergeCell ref="BV9:BX9"/>
    <mergeCell ref="BY9:BZ9"/>
    <mergeCell ref="CA9:CC9"/>
    <mergeCell ref="CD9:CF9"/>
    <mergeCell ref="CG9:CI9"/>
    <mergeCell ref="BF9:BH9"/>
    <mergeCell ref="BI9:BJ9"/>
    <mergeCell ref="BK9:BL9"/>
    <mergeCell ref="BM9:BO9"/>
    <mergeCell ref="BP9:BQ9"/>
    <mergeCell ref="BR9:BS9"/>
    <mergeCell ref="AS9:AT9"/>
    <mergeCell ref="AU9:AV9"/>
    <mergeCell ref="AW9:AX9"/>
    <mergeCell ref="AY9:AZ9"/>
    <mergeCell ref="BB9:BC9"/>
    <mergeCell ref="BD9:BE9"/>
    <mergeCell ref="AE9:AF9"/>
    <mergeCell ref="AG9:AH9"/>
    <mergeCell ref="AI9:AJ9"/>
    <mergeCell ref="AK9:AL9"/>
    <mergeCell ref="N9:O9"/>
    <mergeCell ref="P9:Q9"/>
    <mergeCell ref="CP10:CR10"/>
    <mergeCell ref="CS10:CU10"/>
    <mergeCell ref="CV10:CX10"/>
    <mergeCell ref="BR10:BS10"/>
    <mergeCell ref="BT10:BU10"/>
    <mergeCell ref="BV10:BX10"/>
    <mergeCell ref="BY10:BZ10"/>
    <mergeCell ref="CA10:CC10"/>
    <mergeCell ref="CD10:CF10"/>
    <mergeCell ref="BD10:BE10"/>
    <mergeCell ref="BF10:BH10"/>
    <mergeCell ref="BI10:BJ10"/>
    <mergeCell ref="BK10:BL10"/>
    <mergeCell ref="BM10:BO10"/>
    <mergeCell ref="BP10:BQ10"/>
    <mergeCell ref="AP10:AR10"/>
    <mergeCell ref="AS10:AT10"/>
    <mergeCell ref="AU10:AV10"/>
    <mergeCell ref="AW10:AX10"/>
    <mergeCell ref="AY10:AZ10"/>
    <mergeCell ref="BB10:BC10"/>
    <mergeCell ref="AM11:AO11"/>
    <mergeCell ref="AP11:AR11"/>
    <mergeCell ref="R11:S11"/>
    <mergeCell ref="T11:U11"/>
    <mergeCell ref="V11:X11"/>
    <mergeCell ref="Y11:Z11"/>
    <mergeCell ref="AA11:AB11"/>
    <mergeCell ref="AC11:AD11"/>
    <mergeCell ref="B11:D11"/>
    <mergeCell ref="E11:H11"/>
    <mergeCell ref="J11:K11"/>
    <mergeCell ref="L11:M11"/>
    <mergeCell ref="N11:O11"/>
    <mergeCell ref="P11:Q11"/>
    <mergeCell ref="CG10:CI10"/>
    <mergeCell ref="CJ10:CL10"/>
    <mergeCell ref="CM10:CO10"/>
    <mergeCell ref="AC10:AD10"/>
    <mergeCell ref="AE10:AF10"/>
    <mergeCell ref="AG10:AH10"/>
    <mergeCell ref="AI10:AJ10"/>
    <mergeCell ref="AK10:AL10"/>
    <mergeCell ref="AM10:AO10"/>
    <mergeCell ref="P10:Q10"/>
    <mergeCell ref="R10:S10"/>
    <mergeCell ref="T10:U10"/>
    <mergeCell ref="V10:X10"/>
    <mergeCell ref="Y10:Z10"/>
    <mergeCell ref="AA10:AB10"/>
    <mergeCell ref="CJ11:CL11"/>
    <mergeCell ref="CM11:CO11"/>
    <mergeCell ref="B10:D10"/>
    <mergeCell ref="CP11:CR11"/>
    <mergeCell ref="CS11:CU11"/>
    <mergeCell ref="CV11:CX11"/>
    <mergeCell ref="B12:D12"/>
    <mergeCell ref="E12:H12"/>
    <mergeCell ref="J12:K12"/>
    <mergeCell ref="L12:M12"/>
    <mergeCell ref="N12:O12"/>
    <mergeCell ref="BT11:BU11"/>
    <mergeCell ref="BV11:BX11"/>
    <mergeCell ref="BY11:BZ11"/>
    <mergeCell ref="CA11:CC11"/>
    <mergeCell ref="CD11:CF11"/>
    <mergeCell ref="CG11:CI11"/>
    <mergeCell ref="BF11:BH11"/>
    <mergeCell ref="BI11:BJ11"/>
    <mergeCell ref="BK11:BL11"/>
    <mergeCell ref="BM11:BO11"/>
    <mergeCell ref="BP11:BQ11"/>
    <mergeCell ref="BR11:BS11"/>
    <mergeCell ref="AS11:AT11"/>
    <mergeCell ref="AU11:AV11"/>
    <mergeCell ref="AW11:AX11"/>
    <mergeCell ref="AY11:AZ11"/>
    <mergeCell ref="BB11:BC11"/>
    <mergeCell ref="BD11:BE11"/>
    <mergeCell ref="AE11:AF11"/>
    <mergeCell ref="AG11:AH11"/>
    <mergeCell ref="AI11:AJ11"/>
    <mergeCell ref="AK11:AL11"/>
    <mergeCell ref="CP12:CR12"/>
    <mergeCell ref="CS12:CU12"/>
    <mergeCell ref="CV12:CX12"/>
    <mergeCell ref="BR12:BS12"/>
    <mergeCell ref="BT12:BU12"/>
    <mergeCell ref="BV12:BX12"/>
    <mergeCell ref="BY12:BZ12"/>
    <mergeCell ref="CA12:CC12"/>
    <mergeCell ref="CD12:CF12"/>
    <mergeCell ref="BD12:BE12"/>
    <mergeCell ref="BF12:BH12"/>
    <mergeCell ref="BI12:BJ12"/>
    <mergeCell ref="BK12:BL12"/>
    <mergeCell ref="BM12:BO12"/>
    <mergeCell ref="BP12:BQ12"/>
    <mergeCell ref="AP12:AR12"/>
    <mergeCell ref="AS12:AT12"/>
    <mergeCell ref="AU12:AV12"/>
    <mergeCell ref="AW12:AX12"/>
    <mergeCell ref="AY12:AZ12"/>
    <mergeCell ref="BB12:BC12"/>
    <mergeCell ref="AM13:AO13"/>
    <mergeCell ref="AP13:AR13"/>
    <mergeCell ref="R13:S13"/>
    <mergeCell ref="T13:U13"/>
    <mergeCell ref="V13:X13"/>
    <mergeCell ref="Y13:Z13"/>
    <mergeCell ref="AA13:AB13"/>
    <mergeCell ref="AC13:AD13"/>
    <mergeCell ref="B13:D13"/>
    <mergeCell ref="E13:H13"/>
    <mergeCell ref="J13:K13"/>
    <mergeCell ref="L13:M13"/>
    <mergeCell ref="N13:O13"/>
    <mergeCell ref="P13:Q13"/>
    <mergeCell ref="CG12:CI12"/>
    <mergeCell ref="CJ12:CL12"/>
    <mergeCell ref="CM12:CO12"/>
    <mergeCell ref="AC12:AD12"/>
    <mergeCell ref="AE12:AF12"/>
    <mergeCell ref="AG12:AH12"/>
    <mergeCell ref="AI12:AJ12"/>
    <mergeCell ref="AK12:AL12"/>
    <mergeCell ref="AM12:AO12"/>
    <mergeCell ref="P12:Q12"/>
    <mergeCell ref="R12:S12"/>
    <mergeCell ref="T12:U12"/>
    <mergeCell ref="V12:X12"/>
    <mergeCell ref="Y12:Z12"/>
    <mergeCell ref="AA12:AB12"/>
    <mergeCell ref="CJ13:CL13"/>
    <mergeCell ref="CM13:CO13"/>
    <mergeCell ref="CP13:CR13"/>
    <mergeCell ref="CS13:CU13"/>
    <mergeCell ref="CV13:CX13"/>
    <mergeCell ref="B14:D14"/>
    <mergeCell ref="E14:H14"/>
    <mergeCell ref="J14:K14"/>
    <mergeCell ref="L14:M14"/>
    <mergeCell ref="N14:O14"/>
    <mergeCell ref="BT13:BU13"/>
    <mergeCell ref="BV13:BX13"/>
    <mergeCell ref="BY13:BZ13"/>
    <mergeCell ref="CA13:CC13"/>
    <mergeCell ref="CD13:CF13"/>
    <mergeCell ref="CG13:CI13"/>
    <mergeCell ref="BF13:BH13"/>
    <mergeCell ref="BI13:BJ13"/>
    <mergeCell ref="BK13:BL13"/>
    <mergeCell ref="BM13:BO13"/>
    <mergeCell ref="BP13:BQ13"/>
    <mergeCell ref="BR13:BS13"/>
    <mergeCell ref="AS13:AT13"/>
    <mergeCell ref="AU13:AV13"/>
    <mergeCell ref="AW13:AX13"/>
    <mergeCell ref="AY13:AZ13"/>
    <mergeCell ref="BB13:BC13"/>
    <mergeCell ref="BD13:BE13"/>
    <mergeCell ref="AE13:AF13"/>
    <mergeCell ref="AG13:AH13"/>
    <mergeCell ref="AI13:AJ13"/>
    <mergeCell ref="AK13:AL13"/>
    <mergeCell ref="CP14:CR14"/>
    <mergeCell ref="CS14:CU14"/>
    <mergeCell ref="CV14:CX14"/>
    <mergeCell ref="BR14:BS14"/>
    <mergeCell ref="BT14:BU14"/>
    <mergeCell ref="BV14:BX14"/>
    <mergeCell ref="BY14:BZ14"/>
    <mergeCell ref="CA14:CC14"/>
    <mergeCell ref="CD14:CF14"/>
    <mergeCell ref="BD14:BE14"/>
    <mergeCell ref="BF14:BH14"/>
    <mergeCell ref="BI14:BJ14"/>
    <mergeCell ref="BK14:BL14"/>
    <mergeCell ref="BM14:BO14"/>
    <mergeCell ref="BP14:BQ14"/>
    <mergeCell ref="AP14:AR14"/>
    <mergeCell ref="AS14:AT14"/>
    <mergeCell ref="AU14:AV14"/>
    <mergeCell ref="AW14:AX14"/>
    <mergeCell ref="AY14:AZ14"/>
    <mergeCell ref="BB14:BC14"/>
    <mergeCell ref="AM15:AO15"/>
    <mergeCell ref="AP15:AR15"/>
    <mergeCell ref="R15:S15"/>
    <mergeCell ref="T15:U15"/>
    <mergeCell ref="V15:X15"/>
    <mergeCell ref="Y15:Z15"/>
    <mergeCell ref="AA15:AB15"/>
    <mergeCell ref="AC15:AD15"/>
    <mergeCell ref="B15:D15"/>
    <mergeCell ref="E15:H15"/>
    <mergeCell ref="J15:K15"/>
    <mergeCell ref="L15:M15"/>
    <mergeCell ref="N15:O15"/>
    <mergeCell ref="P15:Q15"/>
    <mergeCell ref="CG14:CI14"/>
    <mergeCell ref="CJ14:CL14"/>
    <mergeCell ref="CM14:CO14"/>
    <mergeCell ref="AC14:AD14"/>
    <mergeCell ref="AE14:AF14"/>
    <mergeCell ref="AG14:AH14"/>
    <mergeCell ref="AI14:AJ14"/>
    <mergeCell ref="AK14:AL14"/>
    <mergeCell ref="AM14:AO14"/>
    <mergeCell ref="P14:Q14"/>
    <mergeCell ref="R14:S14"/>
    <mergeCell ref="T14:U14"/>
    <mergeCell ref="V14:X14"/>
    <mergeCell ref="Y14:Z14"/>
    <mergeCell ref="AA14:AB14"/>
    <mergeCell ref="CJ15:CL15"/>
    <mergeCell ref="CM15:CO15"/>
    <mergeCell ref="CP15:CR15"/>
    <mergeCell ref="CS15:CU15"/>
    <mergeCell ref="CV15:CX15"/>
    <mergeCell ref="B16:D16"/>
    <mergeCell ref="E16:H16"/>
    <mergeCell ref="J16:K16"/>
    <mergeCell ref="L16:M16"/>
    <mergeCell ref="N16:O16"/>
    <mergeCell ref="BT15:BU15"/>
    <mergeCell ref="BV15:BX15"/>
    <mergeCell ref="BY15:BZ15"/>
    <mergeCell ref="CA15:CC15"/>
    <mergeCell ref="CD15:CF15"/>
    <mergeCell ref="CG15:CI15"/>
    <mergeCell ref="BF15:BH15"/>
    <mergeCell ref="BI15:BJ15"/>
    <mergeCell ref="BK15:BL15"/>
    <mergeCell ref="BM15:BO15"/>
    <mergeCell ref="BP15:BQ15"/>
    <mergeCell ref="BR15:BS15"/>
    <mergeCell ref="AS15:AT15"/>
    <mergeCell ref="AU15:AV15"/>
    <mergeCell ref="AW15:AX15"/>
    <mergeCell ref="AY15:AZ15"/>
    <mergeCell ref="BB15:BC15"/>
    <mergeCell ref="BD15:BE15"/>
    <mergeCell ref="AE15:AF15"/>
    <mergeCell ref="AG15:AH15"/>
    <mergeCell ref="AI15:AJ15"/>
    <mergeCell ref="AK15:AL15"/>
    <mergeCell ref="CP16:CR16"/>
    <mergeCell ref="CS16:CU16"/>
    <mergeCell ref="CV16:CX16"/>
    <mergeCell ref="BR16:BS16"/>
    <mergeCell ref="BT16:BU16"/>
    <mergeCell ref="BV16:BX16"/>
    <mergeCell ref="BY16:BZ16"/>
    <mergeCell ref="CA16:CC16"/>
    <mergeCell ref="CD16:CF16"/>
    <mergeCell ref="BD16:BE16"/>
    <mergeCell ref="BF16:BH16"/>
    <mergeCell ref="BI16:BJ16"/>
    <mergeCell ref="BK16:BL16"/>
    <mergeCell ref="BM16:BO16"/>
    <mergeCell ref="BP16:BQ16"/>
    <mergeCell ref="AP16:AR16"/>
    <mergeCell ref="AS16:AT16"/>
    <mergeCell ref="AU16:AV16"/>
    <mergeCell ref="AW16:AX16"/>
    <mergeCell ref="AY16:AZ16"/>
    <mergeCell ref="BB16:BC16"/>
    <mergeCell ref="AM17:AO17"/>
    <mergeCell ref="AP17:AR17"/>
    <mergeCell ref="R17:S17"/>
    <mergeCell ref="T17:U17"/>
    <mergeCell ref="V17:X17"/>
    <mergeCell ref="Y17:Z17"/>
    <mergeCell ref="AA17:AB17"/>
    <mergeCell ref="AC17:AD17"/>
    <mergeCell ref="B17:D17"/>
    <mergeCell ref="E17:H17"/>
    <mergeCell ref="J17:K17"/>
    <mergeCell ref="L17:M17"/>
    <mergeCell ref="N17:O17"/>
    <mergeCell ref="P17:Q17"/>
    <mergeCell ref="CG16:CI16"/>
    <mergeCell ref="CJ16:CL16"/>
    <mergeCell ref="CM16:CO16"/>
    <mergeCell ref="AC16:AD16"/>
    <mergeCell ref="AE16:AF16"/>
    <mergeCell ref="AG16:AH16"/>
    <mergeCell ref="AI16:AJ16"/>
    <mergeCell ref="AK16:AL16"/>
    <mergeCell ref="AM16:AO16"/>
    <mergeCell ref="P16:Q16"/>
    <mergeCell ref="R16:S16"/>
    <mergeCell ref="T16:U16"/>
    <mergeCell ref="V16:X16"/>
    <mergeCell ref="Y16:Z16"/>
    <mergeCell ref="AA16:AB16"/>
    <mergeCell ref="CJ17:CL17"/>
    <mergeCell ref="CM17:CO17"/>
    <mergeCell ref="CP17:CR17"/>
    <mergeCell ref="CS17:CU17"/>
    <mergeCell ref="CV17:CX17"/>
    <mergeCell ref="B18:D18"/>
    <mergeCell ref="E18:H18"/>
    <mergeCell ref="J18:K18"/>
    <mergeCell ref="L18:M18"/>
    <mergeCell ref="N18:O18"/>
    <mergeCell ref="BT17:BU17"/>
    <mergeCell ref="BV17:BX17"/>
    <mergeCell ref="BY17:BZ17"/>
    <mergeCell ref="CA17:CC17"/>
    <mergeCell ref="CD17:CF17"/>
    <mergeCell ref="CG17:CI17"/>
    <mergeCell ref="BF17:BH17"/>
    <mergeCell ref="BI17:BJ17"/>
    <mergeCell ref="BK17:BL17"/>
    <mergeCell ref="BM17:BO17"/>
    <mergeCell ref="BP17:BQ17"/>
    <mergeCell ref="BR17:BS17"/>
    <mergeCell ref="AS17:AT17"/>
    <mergeCell ref="AU17:AV17"/>
    <mergeCell ref="AW17:AX17"/>
    <mergeCell ref="AY17:AZ17"/>
    <mergeCell ref="BB17:BC17"/>
    <mergeCell ref="BD17:BE17"/>
    <mergeCell ref="AE17:AF17"/>
    <mergeCell ref="AG17:AH17"/>
    <mergeCell ref="AI17:AJ17"/>
    <mergeCell ref="AK17:AL17"/>
    <mergeCell ref="CP18:CR18"/>
    <mergeCell ref="CS18:CU18"/>
    <mergeCell ref="CV18:CX18"/>
    <mergeCell ref="BR18:BS18"/>
    <mergeCell ref="BT18:BU18"/>
    <mergeCell ref="BV18:BX18"/>
    <mergeCell ref="BY18:BZ18"/>
    <mergeCell ref="CA18:CC18"/>
    <mergeCell ref="CD18:CF18"/>
    <mergeCell ref="BD18:BE18"/>
    <mergeCell ref="BF18:BH18"/>
    <mergeCell ref="BI18:BJ18"/>
    <mergeCell ref="BK18:BL18"/>
    <mergeCell ref="BM18:BO18"/>
    <mergeCell ref="BP18:BQ18"/>
    <mergeCell ref="AP18:AR18"/>
    <mergeCell ref="AS18:AT18"/>
    <mergeCell ref="AU18:AV18"/>
    <mergeCell ref="AW18:AX18"/>
    <mergeCell ref="AY18:AZ18"/>
    <mergeCell ref="BB18:BC18"/>
    <mergeCell ref="AM19:AO19"/>
    <mergeCell ref="AP19:AR19"/>
    <mergeCell ref="R19:S19"/>
    <mergeCell ref="T19:U19"/>
    <mergeCell ref="V19:X19"/>
    <mergeCell ref="Y19:Z19"/>
    <mergeCell ref="AA19:AB19"/>
    <mergeCell ref="AC19:AD19"/>
    <mergeCell ref="B19:D19"/>
    <mergeCell ref="E19:H19"/>
    <mergeCell ref="J19:K19"/>
    <mergeCell ref="L19:M19"/>
    <mergeCell ref="N19:O19"/>
    <mergeCell ref="P19:Q19"/>
    <mergeCell ref="CG18:CI18"/>
    <mergeCell ref="CJ18:CL18"/>
    <mergeCell ref="CM18:CO18"/>
    <mergeCell ref="AC18:AD18"/>
    <mergeCell ref="AE18:AF18"/>
    <mergeCell ref="AG18:AH18"/>
    <mergeCell ref="AI18:AJ18"/>
    <mergeCell ref="AK18:AL18"/>
    <mergeCell ref="AM18:AO18"/>
    <mergeCell ref="P18:Q18"/>
    <mergeCell ref="R18:S18"/>
    <mergeCell ref="T18:U18"/>
    <mergeCell ref="V18:X18"/>
    <mergeCell ref="Y18:Z18"/>
    <mergeCell ref="AA18:AB18"/>
    <mergeCell ref="CJ19:CL19"/>
    <mergeCell ref="CM19:CO19"/>
    <mergeCell ref="CP19:CR19"/>
    <mergeCell ref="CS19:CU19"/>
    <mergeCell ref="CV19:CX19"/>
    <mergeCell ref="B20:D20"/>
    <mergeCell ref="E20:H20"/>
    <mergeCell ref="J20:K20"/>
    <mergeCell ref="L20:M20"/>
    <mergeCell ref="N20:O20"/>
    <mergeCell ref="BT19:BU19"/>
    <mergeCell ref="BV19:BX19"/>
    <mergeCell ref="BY19:BZ19"/>
    <mergeCell ref="CA19:CC19"/>
    <mergeCell ref="CD19:CF19"/>
    <mergeCell ref="CG19:CI19"/>
    <mergeCell ref="BF19:BH19"/>
    <mergeCell ref="BI19:BJ19"/>
    <mergeCell ref="BK19:BL19"/>
    <mergeCell ref="BM19:BO19"/>
    <mergeCell ref="BP19:BQ19"/>
    <mergeCell ref="BR19:BS19"/>
    <mergeCell ref="AS19:AT19"/>
    <mergeCell ref="AU19:AV19"/>
    <mergeCell ref="AW19:AX19"/>
    <mergeCell ref="AY19:AZ19"/>
    <mergeCell ref="BB19:BC19"/>
    <mergeCell ref="BD19:BE19"/>
    <mergeCell ref="AE19:AF19"/>
    <mergeCell ref="AG19:AH19"/>
    <mergeCell ref="AI19:AJ19"/>
    <mergeCell ref="AK19:AL19"/>
    <mergeCell ref="CP20:CR20"/>
    <mergeCell ref="CS20:CU20"/>
    <mergeCell ref="CV20:CX20"/>
    <mergeCell ref="BR20:BS20"/>
    <mergeCell ref="BT20:BU20"/>
    <mergeCell ref="BV20:BX20"/>
    <mergeCell ref="BY20:BZ20"/>
    <mergeCell ref="CA20:CC20"/>
    <mergeCell ref="CD20:CF20"/>
    <mergeCell ref="BD20:BE20"/>
    <mergeCell ref="BF20:BH20"/>
    <mergeCell ref="BI20:BJ20"/>
    <mergeCell ref="BK20:BL20"/>
    <mergeCell ref="BM20:BO20"/>
    <mergeCell ref="BP20:BQ20"/>
    <mergeCell ref="AP20:AR20"/>
    <mergeCell ref="AS20:AT20"/>
    <mergeCell ref="AU20:AV20"/>
    <mergeCell ref="AW20:AX20"/>
    <mergeCell ref="AY20:AZ20"/>
    <mergeCell ref="BB20:BC20"/>
    <mergeCell ref="AM21:AO21"/>
    <mergeCell ref="AP21:AR21"/>
    <mergeCell ref="R21:S21"/>
    <mergeCell ref="T21:U21"/>
    <mergeCell ref="V21:X21"/>
    <mergeCell ref="Y21:Z21"/>
    <mergeCell ref="AA21:AB21"/>
    <mergeCell ref="AC21:AD21"/>
    <mergeCell ref="B21:D21"/>
    <mergeCell ref="E21:H21"/>
    <mergeCell ref="J21:K21"/>
    <mergeCell ref="L21:M21"/>
    <mergeCell ref="N21:O21"/>
    <mergeCell ref="P21:Q21"/>
    <mergeCell ref="CG20:CI20"/>
    <mergeCell ref="CJ20:CL20"/>
    <mergeCell ref="CM20:CO20"/>
    <mergeCell ref="AC20:AD20"/>
    <mergeCell ref="AE20:AF20"/>
    <mergeCell ref="AG20:AH20"/>
    <mergeCell ref="AI20:AJ20"/>
    <mergeCell ref="AK20:AL20"/>
    <mergeCell ref="AM20:AO20"/>
    <mergeCell ref="P20:Q20"/>
    <mergeCell ref="R20:S20"/>
    <mergeCell ref="T20:U20"/>
    <mergeCell ref="V20:X20"/>
    <mergeCell ref="Y20:Z20"/>
    <mergeCell ref="AA20:AB20"/>
    <mergeCell ref="CJ21:CL21"/>
    <mergeCell ref="CM21:CO21"/>
    <mergeCell ref="CP21:CR21"/>
    <mergeCell ref="CS21:CU21"/>
    <mergeCell ref="CV21:CX21"/>
    <mergeCell ref="B22:D22"/>
    <mergeCell ref="E22:H22"/>
    <mergeCell ref="J22:K22"/>
    <mergeCell ref="L22:M22"/>
    <mergeCell ref="N22:O22"/>
    <mergeCell ref="BT21:BU21"/>
    <mergeCell ref="BV21:BX21"/>
    <mergeCell ref="BY21:BZ21"/>
    <mergeCell ref="CA21:CC21"/>
    <mergeCell ref="CD21:CF21"/>
    <mergeCell ref="CG21:CI21"/>
    <mergeCell ref="BF21:BH21"/>
    <mergeCell ref="BI21:BJ21"/>
    <mergeCell ref="BK21:BL21"/>
    <mergeCell ref="BM21:BO21"/>
    <mergeCell ref="BP21:BQ21"/>
    <mergeCell ref="BR21:BS21"/>
    <mergeCell ref="AS21:AT21"/>
    <mergeCell ref="AU21:AV21"/>
    <mergeCell ref="AW21:AX21"/>
    <mergeCell ref="AY21:AZ21"/>
    <mergeCell ref="BB21:BC21"/>
    <mergeCell ref="BD21:BE21"/>
    <mergeCell ref="AE21:AF21"/>
    <mergeCell ref="AG21:AH21"/>
    <mergeCell ref="AI21:AJ21"/>
    <mergeCell ref="AK21:AL21"/>
    <mergeCell ref="CP22:CR22"/>
    <mergeCell ref="CS22:CU22"/>
    <mergeCell ref="CV22:CX22"/>
    <mergeCell ref="BR22:BS22"/>
    <mergeCell ref="BT22:BU22"/>
    <mergeCell ref="BV22:BX22"/>
    <mergeCell ref="BY22:BZ22"/>
    <mergeCell ref="CA22:CC22"/>
    <mergeCell ref="CD22:CF22"/>
    <mergeCell ref="BD22:BE22"/>
    <mergeCell ref="BF22:BH22"/>
    <mergeCell ref="BI22:BJ22"/>
    <mergeCell ref="BK22:BL22"/>
    <mergeCell ref="BM22:BO22"/>
    <mergeCell ref="BP22:BQ22"/>
    <mergeCell ref="AP22:AR22"/>
    <mergeCell ref="AS22:AT22"/>
    <mergeCell ref="AU22:AV22"/>
    <mergeCell ref="AW22:AX22"/>
    <mergeCell ref="AY22:AZ22"/>
    <mergeCell ref="BB22:BC22"/>
    <mergeCell ref="AM23:AO23"/>
    <mergeCell ref="AP23:AR23"/>
    <mergeCell ref="R23:S23"/>
    <mergeCell ref="T23:U23"/>
    <mergeCell ref="V23:X23"/>
    <mergeCell ref="Y23:Z23"/>
    <mergeCell ref="AA23:AB23"/>
    <mergeCell ref="AC23:AD23"/>
    <mergeCell ref="B23:D23"/>
    <mergeCell ref="E23:H23"/>
    <mergeCell ref="J23:K23"/>
    <mergeCell ref="L23:M23"/>
    <mergeCell ref="N23:O23"/>
    <mergeCell ref="P23:Q23"/>
    <mergeCell ref="CG22:CI22"/>
    <mergeCell ref="CJ22:CL22"/>
    <mergeCell ref="CM22:CO22"/>
    <mergeCell ref="AC22:AD22"/>
    <mergeCell ref="AE22:AF22"/>
    <mergeCell ref="AG22:AH22"/>
    <mergeCell ref="AI22:AJ22"/>
    <mergeCell ref="AK22:AL22"/>
    <mergeCell ref="AM22:AO22"/>
    <mergeCell ref="P22:Q22"/>
    <mergeCell ref="R22:S22"/>
    <mergeCell ref="T22:U22"/>
    <mergeCell ref="V22:X22"/>
    <mergeCell ref="Y22:Z22"/>
    <mergeCell ref="AA22:AB22"/>
    <mergeCell ref="CJ23:CL23"/>
    <mergeCell ref="CM23:CO23"/>
    <mergeCell ref="CP23:CR23"/>
    <mergeCell ref="CS23:CU23"/>
    <mergeCell ref="CV23:CX23"/>
    <mergeCell ref="B24:D24"/>
    <mergeCell ref="E24:H24"/>
    <mergeCell ref="J24:K24"/>
    <mergeCell ref="L24:M24"/>
    <mergeCell ref="N24:O24"/>
    <mergeCell ref="BT23:BU23"/>
    <mergeCell ref="BV23:BX23"/>
    <mergeCell ref="BY23:BZ23"/>
    <mergeCell ref="CA23:CC23"/>
    <mergeCell ref="CD23:CF23"/>
    <mergeCell ref="CG23:CI23"/>
    <mergeCell ref="BF23:BH23"/>
    <mergeCell ref="BI23:BJ23"/>
    <mergeCell ref="BK23:BL23"/>
    <mergeCell ref="BM23:BO23"/>
    <mergeCell ref="BP23:BQ23"/>
    <mergeCell ref="BR23:BS23"/>
    <mergeCell ref="AS23:AT23"/>
    <mergeCell ref="AU23:AV23"/>
    <mergeCell ref="AW23:AX23"/>
    <mergeCell ref="AY23:AZ23"/>
    <mergeCell ref="BB23:BC23"/>
    <mergeCell ref="BD23:BE23"/>
    <mergeCell ref="AE23:AF23"/>
    <mergeCell ref="AG23:AH23"/>
    <mergeCell ref="AI23:AJ23"/>
    <mergeCell ref="AK23:AL23"/>
    <mergeCell ref="CP24:CR24"/>
    <mergeCell ref="CS24:CU24"/>
    <mergeCell ref="CV24:CX24"/>
    <mergeCell ref="BR24:BS24"/>
    <mergeCell ref="BT24:BU24"/>
    <mergeCell ref="BV24:BX24"/>
    <mergeCell ref="BY24:BZ24"/>
    <mergeCell ref="CA24:CC24"/>
    <mergeCell ref="CD24:CF24"/>
    <mergeCell ref="BD24:BE24"/>
    <mergeCell ref="BF24:BH24"/>
    <mergeCell ref="BI24:BJ24"/>
    <mergeCell ref="BK24:BL24"/>
    <mergeCell ref="BM24:BO24"/>
    <mergeCell ref="BP24:BQ24"/>
    <mergeCell ref="AP24:AR24"/>
    <mergeCell ref="AS24:AT24"/>
    <mergeCell ref="AU24:AV24"/>
    <mergeCell ref="AW24:AX24"/>
    <mergeCell ref="AY24:AZ24"/>
    <mergeCell ref="BB24:BC24"/>
    <mergeCell ref="AM25:AO25"/>
    <mergeCell ref="AP25:AR25"/>
    <mergeCell ref="R25:S25"/>
    <mergeCell ref="T25:U25"/>
    <mergeCell ref="V25:X25"/>
    <mergeCell ref="Y25:Z25"/>
    <mergeCell ref="AA25:AB25"/>
    <mergeCell ref="AC25:AD25"/>
    <mergeCell ref="B25:D25"/>
    <mergeCell ref="E25:H25"/>
    <mergeCell ref="J25:K25"/>
    <mergeCell ref="L25:M25"/>
    <mergeCell ref="N25:O25"/>
    <mergeCell ref="P25:Q25"/>
    <mergeCell ref="CG24:CI24"/>
    <mergeCell ref="CJ24:CL24"/>
    <mergeCell ref="CM24:CO24"/>
    <mergeCell ref="AC24:AD24"/>
    <mergeCell ref="AE24:AF24"/>
    <mergeCell ref="AG24:AH24"/>
    <mergeCell ref="AI24:AJ24"/>
    <mergeCell ref="AK24:AL24"/>
    <mergeCell ref="AM24:AO24"/>
    <mergeCell ref="P24:Q24"/>
    <mergeCell ref="R24:S24"/>
    <mergeCell ref="T24:U24"/>
    <mergeCell ref="V24:X24"/>
    <mergeCell ref="Y24:Z24"/>
    <mergeCell ref="AA24:AB24"/>
    <mergeCell ref="CJ25:CL25"/>
    <mergeCell ref="CM25:CO25"/>
    <mergeCell ref="CP25:CR25"/>
    <mergeCell ref="CS25:CU25"/>
    <mergeCell ref="CV25:CX25"/>
    <mergeCell ref="B26:D26"/>
    <mergeCell ref="E26:H26"/>
    <mergeCell ref="J26:K26"/>
    <mergeCell ref="L26:M26"/>
    <mergeCell ref="N26:O26"/>
    <mergeCell ref="BT25:BU25"/>
    <mergeCell ref="BV25:BX25"/>
    <mergeCell ref="BY25:BZ25"/>
    <mergeCell ref="CA25:CC25"/>
    <mergeCell ref="CD25:CF25"/>
    <mergeCell ref="CG25:CI25"/>
    <mergeCell ref="BF25:BH25"/>
    <mergeCell ref="BI25:BJ25"/>
    <mergeCell ref="BK25:BL25"/>
    <mergeCell ref="BM25:BO25"/>
    <mergeCell ref="BP25:BQ25"/>
    <mergeCell ref="BR25:BS25"/>
    <mergeCell ref="AS25:AT25"/>
    <mergeCell ref="AU25:AV25"/>
    <mergeCell ref="AW25:AX25"/>
    <mergeCell ref="AY25:AZ25"/>
    <mergeCell ref="BB25:BC25"/>
    <mergeCell ref="BD25:BE25"/>
    <mergeCell ref="AE25:AF25"/>
    <mergeCell ref="AG25:AH25"/>
    <mergeCell ref="AI25:AJ25"/>
    <mergeCell ref="AK25:AL25"/>
    <mergeCell ref="CP26:CR26"/>
    <mergeCell ref="CS26:CU26"/>
    <mergeCell ref="CV26:CX26"/>
    <mergeCell ref="BR26:BS26"/>
    <mergeCell ref="BT26:BU26"/>
    <mergeCell ref="BV26:BX26"/>
    <mergeCell ref="BY26:BZ26"/>
    <mergeCell ref="CA26:CC26"/>
    <mergeCell ref="CD26:CF26"/>
    <mergeCell ref="BD26:BE26"/>
    <mergeCell ref="BF26:BH26"/>
    <mergeCell ref="BI26:BJ26"/>
    <mergeCell ref="BK26:BL26"/>
    <mergeCell ref="BM26:BO26"/>
    <mergeCell ref="BP26:BQ26"/>
    <mergeCell ref="AP26:AR26"/>
    <mergeCell ref="AS26:AT26"/>
    <mergeCell ref="AU26:AV26"/>
    <mergeCell ref="AW26:AX26"/>
    <mergeCell ref="AY26:AZ26"/>
    <mergeCell ref="BB26:BC26"/>
    <mergeCell ref="AM27:AO27"/>
    <mergeCell ref="AP27:AR27"/>
    <mergeCell ref="R27:S27"/>
    <mergeCell ref="T27:U27"/>
    <mergeCell ref="V27:X27"/>
    <mergeCell ref="Y27:Z27"/>
    <mergeCell ref="AA27:AB27"/>
    <mergeCell ref="AC27:AD27"/>
    <mergeCell ref="B27:D27"/>
    <mergeCell ref="E27:H27"/>
    <mergeCell ref="J27:K27"/>
    <mergeCell ref="L27:M27"/>
    <mergeCell ref="N27:O27"/>
    <mergeCell ref="P27:Q27"/>
    <mergeCell ref="CG26:CI26"/>
    <mergeCell ref="CJ26:CL26"/>
    <mergeCell ref="CM26:CO26"/>
    <mergeCell ref="AC26:AD26"/>
    <mergeCell ref="AE26:AF26"/>
    <mergeCell ref="AG26:AH26"/>
    <mergeCell ref="AI26:AJ26"/>
    <mergeCell ref="AK26:AL26"/>
    <mergeCell ref="AM26:AO26"/>
    <mergeCell ref="P26:Q26"/>
    <mergeCell ref="R26:S26"/>
    <mergeCell ref="T26:U26"/>
    <mergeCell ref="V26:X26"/>
    <mergeCell ref="Y26:Z26"/>
    <mergeCell ref="AA26:AB26"/>
    <mergeCell ref="CJ27:CL27"/>
    <mergeCell ref="CM27:CO27"/>
    <mergeCell ref="CP27:CR27"/>
    <mergeCell ref="CS27:CU27"/>
    <mergeCell ref="CV27:CX27"/>
    <mergeCell ref="B28:D28"/>
    <mergeCell ref="E28:H28"/>
    <mergeCell ref="J28:K28"/>
    <mergeCell ref="L28:M28"/>
    <mergeCell ref="N28:O28"/>
    <mergeCell ref="BT27:BU27"/>
    <mergeCell ref="BV27:BX27"/>
    <mergeCell ref="BY27:BZ27"/>
    <mergeCell ref="CA27:CC27"/>
    <mergeCell ref="CD27:CF27"/>
    <mergeCell ref="CG27:CI27"/>
    <mergeCell ref="BF27:BH27"/>
    <mergeCell ref="BI27:BJ27"/>
    <mergeCell ref="BK27:BL27"/>
    <mergeCell ref="BM27:BO27"/>
    <mergeCell ref="BP27:BQ27"/>
    <mergeCell ref="BR27:BS27"/>
    <mergeCell ref="AS27:AT27"/>
    <mergeCell ref="AU27:AV27"/>
    <mergeCell ref="AW27:AX27"/>
    <mergeCell ref="AY27:AZ27"/>
    <mergeCell ref="BB27:BC27"/>
    <mergeCell ref="BD27:BE27"/>
    <mergeCell ref="AE27:AF27"/>
    <mergeCell ref="AG27:AH27"/>
    <mergeCell ref="AI27:AJ27"/>
    <mergeCell ref="AK27:AL27"/>
    <mergeCell ref="CP28:CR28"/>
    <mergeCell ref="CS28:CU28"/>
    <mergeCell ref="CV28:CX28"/>
    <mergeCell ref="BR28:BS28"/>
    <mergeCell ref="BT28:BU28"/>
    <mergeCell ref="BV28:BX28"/>
    <mergeCell ref="BY28:BZ28"/>
    <mergeCell ref="CA28:CC28"/>
    <mergeCell ref="CD28:CF28"/>
    <mergeCell ref="BD28:BE28"/>
    <mergeCell ref="BF28:BH28"/>
    <mergeCell ref="BI28:BJ28"/>
    <mergeCell ref="BK28:BL28"/>
    <mergeCell ref="BM28:BO28"/>
    <mergeCell ref="BP28:BQ28"/>
    <mergeCell ref="AP28:AR28"/>
    <mergeCell ref="AS28:AT28"/>
    <mergeCell ref="AU28:AV28"/>
    <mergeCell ref="AW28:AX28"/>
    <mergeCell ref="AY28:AZ28"/>
    <mergeCell ref="BB28:BC28"/>
    <mergeCell ref="AM29:AO29"/>
    <mergeCell ref="AP29:AR29"/>
    <mergeCell ref="R29:S29"/>
    <mergeCell ref="T29:U29"/>
    <mergeCell ref="V29:X29"/>
    <mergeCell ref="Y29:Z29"/>
    <mergeCell ref="AA29:AB29"/>
    <mergeCell ref="AC29:AD29"/>
    <mergeCell ref="B29:D29"/>
    <mergeCell ref="E29:H29"/>
    <mergeCell ref="J29:K29"/>
    <mergeCell ref="L29:M29"/>
    <mergeCell ref="N29:O29"/>
    <mergeCell ref="P29:Q29"/>
    <mergeCell ref="CG28:CI28"/>
    <mergeCell ref="CJ28:CL28"/>
    <mergeCell ref="CM28:CO28"/>
    <mergeCell ref="AC28:AD28"/>
    <mergeCell ref="AE28:AF28"/>
    <mergeCell ref="AG28:AH28"/>
    <mergeCell ref="AI28:AJ28"/>
    <mergeCell ref="AK28:AL28"/>
    <mergeCell ref="AM28:AO28"/>
    <mergeCell ref="P28:Q28"/>
    <mergeCell ref="R28:S28"/>
    <mergeCell ref="T28:U28"/>
    <mergeCell ref="V28:X28"/>
    <mergeCell ref="Y28:Z28"/>
    <mergeCell ref="AA28:AB28"/>
    <mergeCell ref="CJ29:CL29"/>
    <mergeCell ref="CM29:CO29"/>
    <mergeCell ref="CP29:CR29"/>
    <mergeCell ref="CS29:CU29"/>
    <mergeCell ref="CV29:CX29"/>
    <mergeCell ref="B30:D30"/>
    <mergeCell ref="E30:H30"/>
    <mergeCell ref="J30:K30"/>
    <mergeCell ref="L30:M30"/>
    <mergeCell ref="N30:O30"/>
    <mergeCell ref="BT29:BU29"/>
    <mergeCell ref="BV29:BX29"/>
    <mergeCell ref="BY29:BZ29"/>
    <mergeCell ref="CA29:CC29"/>
    <mergeCell ref="CD29:CF29"/>
    <mergeCell ref="CG29:CI29"/>
    <mergeCell ref="BF29:BH29"/>
    <mergeCell ref="BI29:BJ29"/>
    <mergeCell ref="BK29:BL29"/>
    <mergeCell ref="BM29:BO29"/>
    <mergeCell ref="BP29:BQ29"/>
    <mergeCell ref="BR29:BS29"/>
    <mergeCell ref="AS29:AT29"/>
    <mergeCell ref="AU29:AV29"/>
    <mergeCell ref="AW29:AX29"/>
    <mergeCell ref="AY29:AZ29"/>
    <mergeCell ref="BB29:BC29"/>
    <mergeCell ref="BD29:BE29"/>
    <mergeCell ref="AE29:AF29"/>
    <mergeCell ref="AG29:AH29"/>
    <mergeCell ref="AI29:AJ29"/>
    <mergeCell ref="AK29:AL29"/>
    <mergeCell ref="CP30:CR30"/>
    <mergeCell ref="CS30:CU30"/>
    <mergeCell ref="CV30:CX30"/>
    <mergeCell ref="BR30:BS30"/>
    <mergeCell ref="BT30:BU30"/>
    <mergeCell ref="BV30:BX30"/>
    <mergeCell ref="BY30:BZ30"/>
    <mergeCell ref="CA30:CC30"/>
    <mergeCell ref="CD30:CF30"/>
    <mergeCell ref="BD30:BE30"/>
    <mergeCell ref="BF30:BH30"/>
    <mergeCell ref="BI30:BJ30"/>
    <mergeCell ref="BK30:BL30"/>
    <mergeCell ref="BM30:BO30"/>
    <mergeCell ref="BP30:BQ30"/>
    <mergeCell ref="AP30:AR30"/>
    <mergeCell ref="AS30:AT30"/>
    <mergeCell ref="AU30:AV30"/>
    <mergeCell ref="AW30:AX30"/>
    <mergeCell ref="AY30:AZ30"/>
    <mergeCell ref="BB30:BC30"/>
    <mergeCell ref="AM31:AO31"/>
    <mergeCell ref="AP31:AR31"/>
    <mergeCell ref="R31:S31"/>
    <mergeCell ref="T31:U31"/>
    <mergeCell ref="V31:X31"/>
    <mergeCell ref="Y31:Z31"/>
    <mergeCell ref="AA31:AB31"/>
    <mergeCell ref="AC31:AD31"/>
    <mergeCell ref="B31:D31"/>
    <mergeCell ref="E31:H31"/>
    <mergeCell ref="J31:K31"/>
    <mergeCell ref="L31:M31"/>
    <mergeCell ref="N31:O31"/>
    <mergeCell ref="P31:Q31"/>
    <mergeCell ref="CG30:CI30"/>
    <mergeCell ref="CJ30:CL30"/>
    <mergeCell ref="CM30:CO30"/>
    <mergeCell ref="AC30:AD30"/>
    <mergeCell ref="AE30:AF30"/>
    <mergeCell ref="AG30:AH30"/>
    <mergeCell ref="AI30:AJ30"/>
    <mergeCell ref="AK30:AL30"/>
    <mergeCell ref="AM30:AO30"/>
    <mergeCell ref="P30:Q30"/>
    <mergeCell ref="R30:S30"/>
    <mergeCell ref="T30:U30"/>
    <mergeCell ref="V30:X30"/>
    <mergeCell ref="Y30:Z30"/>
    <mergeCell ref="AA30:AB30"/>
    <mergeCell ref="CJ31:CL31"/>
    <mergeCell ref="CM31:CO31"/>
    <mergeCell ref="CP31:CR31"/>
    <mergeCell ref="CS31:CU31"/>
    <mergeCell ref="CV31:CX31"/>
    <mergeCell ref="B32:D32"/>
    <mergeCell ref="E32:H32"/>
    <mergeCell ref="J32:K32"/>
    <mergeCell ref="L32:M32"/>
    <mergeCell ref="N32:O32"/>
    <mergeCell ref="BT31:BU31"/>
    <mergeCell ref="BV31:BX31"/>
    <mergeCell ref="BY31:BZ31"/>
    <mergeCell ref="CA31:CC31"/>
    <mergeCell ref="CD31:CF31"/>
    <mergeCell ref="CG31:CI31"/>
    <mergeCell ref="BF31:BH31"/>
    <mergeCell ref="BI31:BJ31"/>
    <mergeCell ref="BK31:BL31"/>
    <mergeCell ref="BM31:BO31"/>
    <mergeCell ref="BP31:BQ31"/>
    <mergeCell ref="BR31:BS31"/>
    <mergeCell ref="AS31:AT31"/>
    <mergeCell ref="AU31:AV31"/>
    <mergeCell ref="AW31:AX31"/>
    <mergeCell ref="AY31:AZ31"/>
    <mergeCell ref="BB31:BC31"/>
    <mergeCell ref="BD31:BE31"/>
    <mergeCell ref="AE31:AF31"/>
    <mergeCell ref="AG31:AH31"/>
    <mergeCell ref="AI31:AJ31"/>
    <mergeCell ref="AK31:AL31"/>
    <mergeCell ref="CP32:CR32"/>
    <mergeCell ref="CS32:CU32"/>
    <mergeCell ref="CV32:CX32"/>
    <mergeCell ref="BR32:BS32"/>
    <mergeCell ref="BT32:BU32"/>
    <mergeCell ref="BV32:BX32"/>
    <mergeCell ref="BY32:BZ32"/>
    <mergeCell ref="CA32:CC32"/>
    <mergeCell ref="CD32:CF32"/>
    <mergeCell ref="BD32:BE32"/>
    <mergeCell ref="BF32:BH32"/>
    <mergeCell ref="BI32:BJ32"/>
    <mergeCell ref="BK32:BL32"/>
    <mergeCell ref="BM32:BO32"/>
    <mergeCell ref="BP32:BQ32"/>
    <mergeCell ref="AP32:AR32"/>
    <mergeCell ref="AS32:AT32"/>
    <mergeCell ref="AU32:AV32"/>
    <mergeCell ref="AW32:AX32"/>
    <mergeCell ref="AY32:AZ32"/>
    <mergeCell ref="BB32:BC32"/>
    <mergeCell ref="AM33:AO33"/>
    <mergeCell ref="AP33:AR33"/>
    <mergeCell ref="R33:S33"/>
    <mergeCell ref="T33:U33"/>
    <mergeCell ref="V33:X33"/>
    <mergeCell ref="Y33:Z33"/>
    <mergeCell ref="AA33:AB33"/>
    <mergeCell ref="AC33:AD33"/>
    <mergeCell ref="B33:D33"/>
    <mergeCell ref="E33:H33"/>
    <mergeCell ref="J33:K33"/>
    <mergeCell ref="L33:M33"/>
    <mergeCell ref="N33:O33"/>
    <mergeCell ref="P33:Q33"/>
    <mergeCell ref="CG32:CI32"/>
    <mergeCell ref="CJ32:CL32"/>
    <mergeCell ref="CM32:CO32"/>
    <mergeCell ref="AC32:AD32"/>
    <mergeCell ref="AE32:AF32"/>
    <mergeCell ref="AG32:AH32"/>
    <mergeCell ref="AI32:AJ32"/>
    <mergeCell ref="AK32:AL32"/>
    <mergeCell ref="AM32:AO32"/>
    <mergeCell ref="P32:Q32"/>
    <mergeCell ref="R32:S32"/>
    <mergeCell ref="T32:U32"/>
    <mergeCell ref="V32:X32"/>
    <mergeCell ref="Y32:Z32"/>
    <mergeCell ref="AA32:AB32"/>
    <mergeCell ref="CJ33:CL33"/>
    <mergeCell ref="CM33:CO33"/>
    <mergeCell ref="CP33:CR33"/>
    <mergeCell ref="CS33:CU33"/>
    <mergeCell ref="CV33:CX33"/>
    <mergeCell ref="B34:D34"/>
    <mergeCell ref="E34:H34"/>
    <mergeCell ref="J34:K34"/>
    <mergeCell ref="L34:M34"/>
    <mergeCell ref="N34:O34"/>
    <mergeCell ref="BT33:BU33"/>
    <mergeCell ref="BV33:BX33"/>
    <mergeCell ref="BY33:BZ33"/>
    <mergeCell ref="CA33:CC33"/>
    <mergeCell ref="CD33:CF33"/>
    <mergeCell ref="CG33:CI33"/>
    <mergeCell ref="BF33:BH33"/>
    <mergeCell ref="BI33:BJ33"/>
    <mergeCell ref="BK33:BL33"/>
    <mergeCell ref="BM33:BO33"/>
    <mergeCell ref="BP33:BQ33"/>
    <mergeCell ref="BR33:BS33"/>
    <mergeCell ref="AS33:AT33"/>
    <mergeCell ref="AU33:AV33"/>
    <mergeCell ref="AW33:AX33"/>
    <mergeCell ref="AY33:AZ33"/>
    <mergeCell ref="BB33:BC33"/>
    <mergeCell ref="BD33:BE33"/>
    <mergeCell ref="AE33:AF33"/>
    <mergeCell ref="AG33:AH33"/>
    <mergeCell ref="AI33:AJ33"/>
    <mergeCell ref="AK33:AL33"/>
    <mergeCell ref="CP34:CR34"/>
    <mergeCell ref="CS34:CU34"/>
    <mergeCell ref="CV34:CX34"/>
    <mergeCell ref="BR34:BS34"/>
    <mergeCell ref="BT34:BU34"/>
    <mergeCell ref="BV34:BX34"/>
    <mergeCell ref="BY34:BZ34"/>
    <mergeCell ref="CA34:CC34"/>
    <mergeCell ref="CD34:CF34"/>
    <mergeCell ref="BD34:BE34"/>
    <mergeCell ref="BF34:BH34"/>
    <mergeCell ref="BI34:BJ34"/>
    <mergeCell ref="BK34:BL34"/>
    <mergeCell ref="BM34:BO34"/>
    <mergeCell ref="BP34:BQ34"/>
    <mergeCell ref="AP34:AR34"/>
    <mergeCell ref="AS34:AT34"/>
    <mergeCell ref="AU34:AV34"/>
    <mergeCell ref="AW34:AX34"/>
    <mergeCell ref="AY34:AZ34"/>
    <mergeCell ref="BB34:BC34"/>
    <mergeCell ref="AM35:AO35"/>
    <mergeCell ref="AP35:AR35"/>
    <mergeCell ref="R35:S35"/>
    <mergeCell ref="T35:U35"/>
    <mergeCell ref="V35:X35"/>
    <mergeCell ref="Y35:Z35"/>
    <mergeCell ref="AA35:AB35"/>
    <mergeCell ref="AC35:AD35"/>
    <mergeCell ref="B35:D35"/>
    <mergeCell ref="E35:H35"/>
    <mergeCell ref="J35:K35"/>
    <mergeCell ref="L35:M35"/>
    <mergeCell ref="N35:O35"/>
    <mergeCell ref="P35:Q35"/>
    <mergeCell ref="CG34:CI34"/>
    <mergeCell ref="CJ34:CL34"/>
    <mergeCell ref="CM34:CO34"/>
    <mergeCell ref="AC34:AD34"/>
    <mergeCell ref="AE34:AF34"/>
    <mergeCell ref="AG34:AH34"/>
    <mergeCell ref="AI34:AJ34"/>
    <mergeCell ref="AK34:AL34"/>
    <mergeCell ref="AM34:AO34"/>
    <mergeCell ref="P34:Q34"/>
    <mergeCell ref="R34:S34"/>
    <mergeCell ref="T34:U34"/>
    <mergeCell ref="V34:X34"/>
    <mergeCell ref="Y34:Z34"/>
    <mergeCell ref="AA34:AB34"/>
    <mergeCell ref="CJ35:CL35"/>
    <mergeCell ref="CM35:CO35"/>
    <mergeCell ref="CP35:CR35"/>
    <mergeCell ref="CS35:CU35"/>
    <mergeCell ref="CV35:CX35"/>
    <mergeCell ref="B36:D36"/>
    <mergeCell ref="E36:H36"/>
    <mergeCell ref="J36:K36"/>
    <mergeCell ref="L36:M36"/>
    <mergeCell ref="N36:O36"/>
    <mergeCell ref="BT35:BU35"/>
    <mergeCell ref="BV35:BX35"/>
    <mergeCell ref="BY35:BZ35"/>
    <mergeCell ref="CA35:CC35"/>
    <mergeCell ref="CD35:CF35"/>
    <mergeCell ref="CG35:CI35"/>
    <mergeCell ref="BF35:BH35"/>
    <mergeCell ref="BI35:BJ35"/>
    <mergeCell ref="BK35:BL35"/>
    <mergeCell ref="BM35:BO35"/>
    <mergeCell ref="BP35:BQ35"/>
    <mergeCell ref="BR35:BS35"/>
    <mergeCell ref="AS35:AT35"/>
    <mergeCell ref="AU35:AV35"/>
    <mergeCell ref="AW35:AX35"/>
    <mergeCell ref="AY35:AZ35"/>
    <mergeCell ref="BB35:BC35"/>
    <mergeCell ref="BD35:BE35"/>
    <mergeCell ref="AE35:AF35"/>
    <mergeCell ref="AG35:AH35"/>
    <mergeCell ref="AI35:AJ35"/>
    <mergeCell ref="AK35:AL35"/>
    <mergeCell ref="CP36:CR36"/>
    <mergeCell ref="CS36:CU36"/>
    <mergeCell ref="CV36:CX36"/>
    <mergeCell ref="BR36:BS36"/>
    <mergeCell ref="BT36:BU36"/>
    <mergeCell ref="BV36:BX36"/>
    <mergeCell ref="BY36:BZ36"/>
    <mergeCell ref="CA36:CC36"/>
    <mergeCell ref="CD36:CF36"/>
    <mergeCell ref="BD36:BE36"/>
    <mergeCell ref="BF36:BH36"/>
    <mergeCell ref="BI36:BJ36"/>
    <mergeCell ref="BK36:BL36"/>
    <mergeCell ref="BM36:BO36"/>
    <mergeCell ref="BP36:BQ36"/>
    <mergeCell ref="AP36:AR36"/>
    <mergeCell ref="AS36:AT36"/>
    <mergeCell ref="AU36:AV36"/>
    <mergeCell ref="AW36:AX36"/>
    <mergeCell ref="AY36:AZ36"/>
    <mergeCell ref="BB36:BC36"/>
    <mergeCell ref="AM37:AO37"/>
    <mergeCell ref="AP37:AR37"/>
    <mergeCell ref="R37:S37"/>
    <mergeCell ref="T37:U37"/>
    <mergeCell ref="V37:X37"/>
    <mergeCell ref="Y37:Z37"/>
    <mergeCell ref="AA37:AB37"/>
    <mergeCell ref="AC37:AD37"/>
    <mergeCell ref="B37:D37"/>
    <mergeCell ref="E37:H37"/>
    <mergeCell ref="J37:K37"/>
    <mergeCell ref="L37:M37"/>
    <mergeCell ref="N37:O37"/>
    <mergeCell ref="P37:Q37"/>
    <mergeCell ref="CG36:CI36"/>
    <mergeCell ref="CJ36:CL36"/>
    <mergeCell ref="CM36:CO36"/>
    <mergeCell ref="AC36:AD36"/>
    <mergeCell ref="AE36:AF36"/>
    <mergeCell ref="AG36:AH36"/>
    <mergeCell ref="AI36:AJ36"/>
    <mergeCell ref="AK36:AL36"/>
    <mergeCell ref="AM36:AO36"/>
    <mergeCell ref="P36:Q36"/>
    <mergeCell ref="R36:S36"/>
    <mergeCell ref="T36:U36"/>
    <mergeCell ref="V36:X36"/>
    <mergeCell ref="Y36:Z36"/>
    <mergeCell ref="AA36:AB36"/>
    <mergeCell ref="CJ37:CL37"/>
    <mergeCell ref="CM37:CO37"/>
    <mergeCell ref="CP37:CR37"/>
    <mergeCell ref="CS37:CU37"/>
    <mergeCell ref="CV37:CX37"/>
    <mergeCell ref="B38:D38"/>
    <mergeCell ref="E38:H38"/>
    <mergeCell ref="J38:K38"/>
    <mergeCell ref="L38:M38"/>
    <mergeCell ref="N38:O38"/>
    <mergeCell ref="BT37:BU37"/>
    <mergeCell ref="BV37:BX37"/>
    <mergeCell ref="BY37:BZ37"/>
    <mergeCell ref="CA37:CC37"/>
    <mergeCell ref="CD37:CF37"/>
    <mergeCell ref="CG37:CI37"/>
    <mergeCell ref="BF37:BH37"/>
    <mergeCell ref="BI37:BJ37"/>
    <mergeCell ref="BK37:BL37"/>
    <mergeCell ref="BM37:BO37"/>
    <mergeCell ref="BP37:BQ37"/>
    <mergeCell ref="BR37:BS37"/>
    <mergeCell ref="AS37:AT37"/>
    <mergeCell ref="AU37:AV37"/>
    <mergeCell ref="AW37:AX37"/>
    <mergeCell ref="AY37:AZ37"/>
    <mergeCell ref="BB37:BC37"/>
    <mergeCell ref="BD37:BE37"/>
    <mergeCell ref="AE37:AF37"/>
    <mergeCell ref="AG37:AH37"/>
    <mergeCell ref="AI37:AJ37"/>
    <mergeCell ref="AK37:AL37"/>
    <mergeCell ref="CP38:CR38"/>
    <mergeCell ref="CS38:CU38"/>
    <mergeCell ref="CV38:CX38"/>
    <mergeCell ref="BR38:BS38"/>
    <mergeCell ref="BT38:BU38"/>
    <mergeCell ref="BV38:BX38"/>
    <mergeCell ref="BY38:BZ38"/>
    <mergeCell ref="CA38:CC38"/>
    <mergeCell ref="CD38:CF38"/>
    <mergeCell ref="BD38:BE38"/>
    <mergeCell ref="BF38:BH38"/>
    <mergeCell ref="BI38:BJ38"/>
    <mergeCell ref="BK38:BL38"/>
    <mergeCell ref="BM38:BO38"/>
    <mergeCell ref="BP38:BQ38"/>
    <mergeCell ref="AP38:AR38"/>
    <mergeCell ref="AS38:AT38"/>
    <mergeCell ref="AU38:AV38"/>
    <mergeCell ref="AW38:AX38"/>
    <mergeCell ref="AY38:AZ38"/>
    <mergeCell ref="BB38:BC38"/>
    <mergeCell ref="CG38:CI38"/>
    <mergeCell ref="CJ38:CL38"/>
    <mergeCell ref="CM38:CO38"/>
    <mergeCell ref="CJ39:CL39"/>
    <mergeCell ref="CM39:CO39"/>
    <mergeCell ref="BR39:BS39"/>
    <mergeCell ref="AS39:AT39"/>
    <mergeCell ref="AU39:AV39"/>
    <mergeCell ref="AW39:AX39"/>
    <mergeCell ref="AY39:AZ39"/>
    <mergeCell ref="BB39:BC39"/>
    <mergeCell ref="BD39:BE39"/>
    <mergeCell ref="AE39:AF39"/>
    <mergeCell ref="AG39:AH39"/>
    <mergeCell ref="R39:S39"/>
    <mergeCell ref="T39:U39"/>
    <mergeCell ref="V39:X39"/>
    <mergeCell ref="Y39:Z39"/>
    <mergeCell ref="AA39:AB39"/>
    <mergeCell ref="AC39:AD39"/>
    <mergeCell ref="AE40:AF40"/>
    <mergeCell ref="AG40:AH40"/>
    <mergeCell ref="AI40:AJ40"/>
    <mergeCell ref="AK40:AL40"/>
    <mergeCell ref="AM40:AO40"/>
    <mergeCell ref="B39:D39"/>
    <mergeCell ref="E39:H39"/>
    <mergeCell ref="J39:K39"/>
    <mergeCell ref="L39:M39"/>
    <mergeCell ref="N39:O39"/>
    <mergeCell ref="P39:Q39"/>
    <mergeCell ref="R40:S40"/>
    <mergeCell ref="T40:U40"/>
    <mergeCell ref="V40:X40"/>
    <mergeCell ref="Y40:Z40"/>
    <mergeCell ref="AA40:AB40"/>
    <mergeCell ref="AC38:AD38"/>
    <mergeCell ref="AE38:AF38"/>
    <mergeCell ref="AG38:AH38"/>
    <mergeCell ref="AI38:AJ38"/>
    <mergeCell ref="AK38:AL38"/>
    <mergeCell ref="AM38:AO38"/>
    <mergeCell ref="P38:Q38"/>
    <mergeCell ref="R38:S38"/>
    <mergeCell ref="T38:U38"/>
    <mergeCell ref="V38:X38"/>
    <mergeCell ref="Y38:Z38"/>
    <mergeCell ref="AA38:AB38"/>
    <mergeCell ref="AW40:AX40"/>
    <mergeCell ref="AY40:AZ40"/>
    <mergeCell ref="BB40:BC40"/>
    <mergeCell ref="P40:Q40"/>
    <mergeCell ref="CS41:CU41"/>
    <mergeCell ref="CP39:CR39"/>
    <mergeCell ref="CS39:CU39"/>
    <mergeCell ref="CV39:CX39"/>
    <mergeCell ref="B40:D40"/>
    <mergeCell ref="E40:H40"/>
    <mergeCell ref="J40:K40"/>
    <mergeCell ref="L40:M40"/>
    <mergeCell ref="N40:O40"/>
    <mergeCell ref="BT39:BU39"/>
    <mergeCell ref="BV39:BX39"/>
    <mergeCell ref="BY39:BZ39"/>
    <mergeCell ref="CA39:CC39"/>
    <mergeCell ref="CD39:CF39"/>
    <mergeCell ref="CG39:CI39"/>
    <mergeCell ref="BF39:BH39"/>
    <mergeCell ref="BI39:BJ39"/>
    <mergeCell ref="BK39:BL39"/>
    <mergeCell ref="BM39:BO39"/>
    <mergeCell ref="BP39:BQ39"/>
    <mergeCell ref="CV41:CX41"/>
    <mergeCell ref="AI39:AJ39"/>
    <mergeCell ref="AK39:AL39"/>
    <mergeCell ref="AP40:AR40"/>
    <mergeCell ref="AS40:AT40"/>
    <mergeCell ref="AM39:AO39"/>
    <mergeCell ref="AP39:AR39"/>
    <mergeCell ref="AC40:AD40"/>
    <mergeCell ref="A1:DB1"/>
    <mergeCell ref="A2:DB2"/>
    <mergeCell ref="A3:DB3"/>
    <mergeCell ref="A4:DB4"/>
    <mergeCell ref="CM42:CO42"/>
    <mergeCell ref="CP42:CR42"/>
    <mergeCell ref="CS42:CU42"/>
    <mergeCell ref="CV42:CX42"/>
    <mergeCell ref="I41:CL41"/>
    <mergeCell ref="B41:D41"/>
    <mergeCell ref="E41:H41"/>
    <mergeCell ref="CM41:CO41"/>
    <mergeCell ref="CP41:CR41"/>
    <mergeCell ref="CG40:CI40"/>
    <mergeCell ref="CJ40:CL40"/>
    <mergeCell ref="CM40:CO40"/>
    <mergeCell ref="CP40:CR40"/>
    <mergeCell ref="CS40:CU40"/>
    <mergeCell ref="CV40:CX40"/>
    <mergeCell ref="BR40:BS40"/>
    <mergeCell ref="BT40:BU40"/>
    <mergeCell ref="BV40:BX40"/>
    <mergeCell ref="BY40:BZ40"/>
    <mergeCell ref="CA40:CC40"/>
    <mergeCell ref="CD40:CF40"/>
    <mergeCell ref="BD40:BE40"/>
    <mergeCell ref="BF40:BH40"/>
    <mergeCell ref="BI40:BJ40"/>
    <mergeCell ref="BK40:BL40"/>
    <mergeCell ref="BM40:BO40"/>
    <mergeCell ref="BP40:BQ40"/>
    <mergeCell ref="AU40:AV40"/>
  </mergeCells>
  <pageMargins left="0.7" right="0.7" top="0.75" bottom="0.75" header="0.3" footer="0.3"/>
  <pageSetup paperSize="9" scale="3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7"/>
  <sheetViews>
    <sheetView topLeftCell="A13" workbookViewId="0">
      <selection activeCell="A3" sqref="A3:XFD3"/>
    </sheetView>
  </sheetViews>
  <sheetFormatPr defaultRowHeight="15"/>
  <cols>
    <col min="1" max="1" width="6.5" style="415" customWidth="1"/>
    <col min="2" max="2" width="153.33203125" style="415" customWidth="1"/>
    <col min="3" max="16384" width="9.33203125" style="415"/>
  </cols>
  <sheetData>
    <row r="1" spans="1:101" ht="33">
      <c r="A1" s="1031" t="s">
        <v>409</v>
      </c>
      <c r="B1" s="1032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  <c r="AI1" s="408"/>
      <c r="AJ1" s="408"/>
      <c r="AK1" s="408"/>
      <c r="AL1" s="408"/>
      <c r="AM1" s="408"/>
      <c r="AN1" s="408"/>
      <c r="AO1" s="408"/>
      <c r="AP1" s="408"/>
      <c r="AQ1" s="408"/>
      <c r="AR1" s="408"/>
      <c r="AS1" s="408"/>
      <c r="AT1" s="408"/>
      <c r="AU1" s="408"/>
      <c r="AV1" s="408"/>
      <c r="AW1" s="408"/>
      <c r="AX1" s="408"/>
      <c r="AY1" s="408"/>
      <c r="AZ1" s="408"/>
      <c r="BA1" s="408"/>
      <c r="BB1" s="408"/>
      <c r="BC1" s="408"/>
      <c r="BD1" s="408"/>
      <c r="BE1" s="408"/>
      <c r="BF1" s="408"/>
      <c r="BG1" s="408"/>
      <c r="BH1" s="408"/>
      <c r="BI1" s="408"/>
      <c r="BJ1" s="408"/>
      <c r="BK1" s="408"/>
      <c r="BL1" s="408"/>
      <c r="BM1" s="408"/>
      <c r="BN1" s="408"/>
      <c r="BO1" s="408"/>
      <c r="BP1" s="408"/>
      <c r="BQ1" s="408"/>
      <c r="BR1" s="408"/>
      <c r="BS1" s="408"/>
      <c r="BT1" s="408"/>
      <c r="BU1" s="408"/>
      <c r="BV1" s="408"/>
      <c r="BW1" s="408"/>
      <c r="BX1" s="408"/>
      <c r="BY1" s="408"/>
      <c r="BZ1" s="408"/>
      <c r="CA1" s="408"/>
      <c r="CB1" s="408"/>
      <c r="CC1" s="408"/>
      <c r="CD1" s="408"/>
      <c r="CE1" s="408"/>
      <c r="CF1" s="408"/>
      <c r="CG1" s="408"/>
      <c r="CH1" s="408"/>
      <c r="CI1" s="408"/>
      <c r="CJ1" s="408"/>
      <c r="CK1" s="408"/>
      <c r="CL1" s="408"/>
      <c r="CM1" s="408"/>
      <c r="CN1" s="408"/>
      <c r="CO1" s="408"/>
      <c r="CP1" s="408"/>
      <c r="CQ1" s="408"/>
      <c r="CR1" s="408"/>
      <c r="CS1" s="408"/>
      <c r="CT1" s="408"/>
      <c r="CU1" s="408"/>
      <c r="CV1" s="408"/>
      <c r="CW1" s="409"/>
    </row>
    <row r="2" spans="1:101" ht="33" customHeight="1">
      <c r="A2" s="1034" t="s">
        <v>522</v>
      </c>
      <c r="B2" s="799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  <c r="S2" s="404"/>
      <c r="T2" s="404"/>
      <c r="U2" s="404"/>
      <c r="V2" s="404"/>
      <c r="W2" s="404"/>
      <c r="X2" s="404"/>
      <c r="Y2" s="404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404"/>
      <c r="BA2" s="404"/>
      <c r="BB2" s="404"/>
      <c r="BC2" s="404"/>
      <c r="BD2" s="404"/>
      <c r="BE2" s="404"/>
      <c r="BF2" s="404"/>
      <c r="BG2" s="404"/>
      <c r="BH2" s="404"/>
      <c r="BI2" s="404"/>
      <c r="BJ2" s="404"/>
      <c r="BK2" s="404"/>
      <c r="BL2" s="404"/>
      <c r="BM2" s="404"/>
      <c r="BN2" s="404"/>
      <c r="BO2" s="404"/>
      <c r="BP2" s="404"/>
      <c r="BQ2" s="404"/>
      <c r="BR2" s="404"/>
      <c r="BS2" s="404"/>
      <c r="BT2" s="404"/>
      <c r="BU2" s="404"/>
      <c r="BV2" s="404"/>
      <c r="BW2" s="404"/>
      <c r="BX2" s="404"/>
      <c r="BY2" s="404"/>
      <c r="BZ2" s="404"/>
      <c r="CA2" s="404"/>
      <c r="CB2" s="404"/>
      <c r="CC2" s="404"/>
      <c r="CD2" s="404"/>
      <c r="CE2" s="404"/>
      <c r="CF2" s="404"/>
      <c r="CG2" s="404"/>
      <c r="CH2" s="404"/>
      <c r="CI2" s="404"/>
      <c r="CJ2" s="404"/>
      <c r="CK2" s="404"/>
      <c r="CL2" s="404"/>
      <c r="CM2" s="404"/>
      <c r="CN2" s="404"/>
      <c r="CO2" s="404"/>
      <c r="CP2" s="404"/>
      <c r="CQ2" s="404"/>
      <c r="CR2" s="404"/>
      <c r="CS2" s="404"/>
      <c r="CT2" s="404"/>
      <c r="CU2" s="404"/>
      <c r="CV2" s="404"/>
      <c r="CW2" s="410"/>
    </row>
    <row r="3" spans="1:101" ht="33">
      <c r="A3" s="1033" t="s">
        <v>21</v>
      </c>
      <c r="B3" s="797"/>
      <c r="C3" s="404"/>
      <c r="D3" s="404"/>
      <c r="E3" s="404"/>
      <c r="F3" s="404"/>
      <c r="G3" s="404"/>
      <c r="H3" s="404"/>
      <c r="I3" s="404"/>
      <c r="J3" s="404"/>
      <c r="K3" s="404"/>
      <c r="L3" s="404"/>
      <c r="M3" s="404"/>
      <c r="N3" s="404"/>
      <c r="O3" s="404"/>
      <c r="P3" s="404"/>
      <c r="Q3" s="404"/>
      <c r="R3" s="404"/>
      <c r="S3" s="404"/>
      <c r="T3" s="404"/>
      <c r="U3" s="404"/>
      <c r="V3" s="404"/>
      <c r="W3" s="404"/>
      <c r="X3" s="404"/>
      <c r="Y3" s="404"/>
      <c r="Z3" s="404"/>
      <c r="AA3" s="404"/>
      <c r="AB3" s="404"/>
      <c r="AC3" s="404"/>
      <c r="AD3" s="404"/>
      <c r="AE3" s="404"/>
      <c r="AF3" s="404"/>
      <c r="AG3" s="404"/>
      <c r="AH3" s="404"/>
      <c r="AI3" s="404"/>
      <c r="AJ3" s="404"/>
      <c r="AK3" s="404"/>
      <c r="AL3" s="404"/>
      <c r="AM3" s="404"/>
      <c r="AN3" s="404"/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  <c r="AZ3" s="404"/>
      <c r="BA3" s="404"/>
      <c r="BB3" s="404"/>
      <c r="BC3" s="404"/>
      <c r="BD3" s="404"/>
      <c r="BE3" s="404"/>
      <c r="BF3" s="404"/>
      <c r="BG3" s="404"/>
      <c r="BH3" s="404"/>
      <c r="BI3" s="404"/>
      <c r="BJ3" s="404"/>
      <c r="BK3" s="404"/>
      <c r="BL3" s="404"/>
      <c r="BM3" s="404"/>
      <c r="BN3" s="404"/>
      <c r="BO3" s="404"/>
      <c r="BP3" s="404"/>
      <c r="BQ3" s="404"/>
      <c r="BR3" s="404"/>
      <c r="BS3" s="404"/>
      <c r="BT3" s="404"/>
      <c r="BU3" s="404"/>
      <c r="BV3" s="404"/>
      <c r="BW3" s="404"/>
      <c r="BX3" s="404"/>
      <c r="BY3" s="404"/>
      <c r="BZ3" s="404"/>
      <c r="CA3" s="404"/>
      <c r="CB3" s="404"/>
      <c r="CC3" s="404"/>
      <c r="CD3" s="404"/>
      <c r="CE3" s="404"/>
      <c r="CF3" s="404"/>
      <c r="CG3" s="404"/>
      <c r="CH3" s="404"/>
      <c r="CI3" s="404"/>
      <c r="CJ3" s="404"/>
      <c r="CK3" s="404"/>
      <c r="CL3" s="404"/>
      <c r="CM3" s="404"/>
      <c r="CN3" s="404"/>
      <c r="CO3" s="404"/>
      <c r="CP3" s="404"/>
      <c r="CQ3" s="404"/>
      <c r="CR3" s="404"/>
      <c r="CS3" s="404"/>
      <c r="CT3" s="404"/>
      <c r="CU3" s="404"/>
      <c r="CV3" s="404"/>
      <c r="CW3" s="410"/>
    </row>
    <row r="4" spans="1:101" ht="18" customHeight="1">
      <c r="A4" s="1035" t="s">
        <v>0</v>
      </c>
      <c r="B4" s="1035" t="s">
        <v>520</v>
      </c>
    </row>
    <row r="5" spans="1:101" ht="21.75" customHeight="1">
      <c r="A5" s="1036"/>
      <c r="B5" s="1036"/>
    </row>
    <row r="6" spans="1:101" ht="20.25" customHeight="1">
      <c r="A6" s="445">
        <v>1</v>
      </c>
      <c r="B6" s="446" t="s">
        <v>717</v>
      </c>
    </row>
    <row r="7" spans="1:101" ht="31.5" customHeight="1">
      <c r="A7" s="445">
        <v>2</v>
      </c>
      <c r="B7" s="446" t="s">
        <v>718</v>
      </c>
    </row>
    <row r="8" spans="1:101" ht="33" customHeight="1">
      <c r="A8" s="445">
        <v>3</v>
      </c>
      <c r="B8" s="446" t="s">
        <v>719</v>
      </c>
    </row>
    <row r="9" spans="1:101" ht="33" customHeight="1">
      <c r="A9" s="445">
        <v>4</v>
      </c>
      <c r="B9" s="446" t="s">
        <v>720</v>
      </c>
    </row>
    <row r="10" spans="1:101" ht="30.75" customHeight="1">
      <c r="A10" s="445">
        <v>5</v>
      </c>
      <c r="B10" s="446" t="s">
        <v>721</v>
      </c>
    </row>
    <row r="11" spans="1:101" ht="32.25" customHeight="1">
      <c r="A11" s="445">
        <v>6</v>
      </c>
      <c r="B11" s="446" t="s">
        <v>288</v>
      </c>
    </row>
    <row r="12" spans="1:101" ht="33" customHeight="1">
      <c r="A12" s="445">
        <v>7</v>
      </c>
      <c r="B12" s="446" t="s">
        <v>289</v>
      </c>
    </row>
    <row r="13" spans="1:101" ht="31.5" customHeight="1">
      <c r="A13" s="445">
        <v>8</v>
      </c>
      <c r="B13" s="446" t="s">
        <v>722</v>
      </c>
    </row>
    <row r="14" spans="1:101" ht="33" customHeight="1">
      <c r="A14" s="445">
        <v>9</v>
      </c>
      <c r="B14" s="446" t="s">
        <v>723</v>
      </c>
    </row>
    <row r="15" spans="1:101" ht="29.25" customHeight="1">
      <c r="A15" s="445"/>
      <c r="B15" s="445"/>
    </row>
    <row r="16" spans="1:101" ht="39" customHeight="1" thickBot="1">
      <c r="B16" s="652"/>
      <c r="C16" s="447"/>
      <c r="D16" s="447"/>
      <c r="E16" s="447"/>
      <c r="F16" s="447"/>
      <c r="G16" s="447"/>
      <c r="H16" s="447"/>
    </row>
    <row r="17" spans="2:2">
      <c r="B17" s="555">
        <f>COUNTA(A6:A14)</f>
        <v>9</v>
      </c>
    </row>
  </sheetData>
  <mergeCells count="5">
    <mergeCell ref="A1:B1"/>
    <mergeCell ref="A3:B3"/>
    <mergeCell ref="A2:B2"/>
    <mergeCell ref="A4:A5"/>
    <mergeCell ref="B4:B5"/>
  </mergeCells>
  <pageMargins left="0.7" right="0.7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0"/>
  <sheetViews>
    <sheetView view="pageBreakPreview" topLeftCell="A3" zoomScale="60" workbookViewId="0">
      <selection activeCell="CD18" sqref="CD18:CO18"/>
    </sheetView>
  </sheetViews>
  <sheetFormatPr defaultRowHeight="12.75"/>
  <cols>
    <col min="1" max="1" width="9.33203125" style="4"/>
    <col min="2" max="5" width="9.33203125" style="48"/>
    <col min="6" max="6" width="123.83203125" style="48" customWidth="1"/>
    <col min="7" max="81" width="0" style="4" hidden="1" customWidth="1"/>
    <col min="82" max="84" width="9.33203125" style="4"/>
    <col min="85" max="85" width="5.1640625" style="4" customWidth="1"/>
    <col min="86" max="92" width="9.33203125" style="4"/>
    <col min="93" max="93" width="26.83203125" style="4" customWidth="1"/>
    <col min="94" max="104" width="0" style="4" hidden="1" customWidth="1"/>
    <col min="105" max="105" width="4.83203125" style="4" hidden="1" customWidth="1"/>
    <col min="106" max="106" width="52.1640625" style="4" customWidth="1"/>
    <col min="107" max="16384" width="9.33203125" style="4"/>
  </cols>
  <sheetData>
    <row r="1" spans="1:106" ht="33">
      <c r="A1" s="1037" t="s">
        <v>409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038"/>
      <c r="O1" s="1038"/>
      <c r="P1" s="1038"/>
      <c r="Q1" s="1038"/>
      <c r="R1" s="1038"/>
      <c r="S1" s="1038"/>
      <c r="T1" s="1038"/>
      <c r="U1" s="1038"/>
      <c r="V1" s="1038"/>
      <c r="W1" s="1038"/>
      <c r="X1" s="1038"/>
      <c r="Y1" s="1038"/>
      <c r="Z1" s="1038"/>
      <c r="AA1" s="1038"/>
      <c r="AB1" s="1038"/>
      <c r="AC1" s="1038"/>
      <c r="AD1" s="1038"/>
      <c r="AE1" s="1038"/>
      <c r="AF1" s="1038"/>
      <c r="AG1" s="1038"/>
      <c r="AH1" s="1038"/>
      <c r="AI1" s="1038"/>
      <c r="AJ1" s="1038"/>
      <c r="AK1" s="1038"/>
      <c r="AL1" s="1038"/>
      <c r="AM1" s="1038"/>
      <c r="AN1" s="1038"/>
      <c r="AO1" s="1038"/>
      <c r="AP1" s="1038"/>
      <c r="AQ1" s="1038"/>
      <c r="AR1" s="1038"/>
      <c r="AS1" s="1038"/>
      <c r="AT1" s="1038"/>
      <c r="AU1" s="1038"/>
      <c r="AV1" s="1038"/>
      <c r="AW1" s="1038"/>
      <c r="AX1" s="1038"/>
      <c r="AY1" s="1038"/>
      <c r="AZ1" s="1038"/>
      <c r="BA1" s="1038"/>
      <c r="BB1" s="1038"/>
      <c r="BC1" s="1038"/>
      <c r="BD1" s="1038"/>
      <c r="BE1" s="1038"/>
      <c r="BF1" s="1038"/>
      <c r="BG1" s="1038"/>
      <c r="BH1" s="1038"/>
      <c r="BI1" s="1038"/>
      <c r="BJ1" s="1038"/>
      <c r="BK1" s="1038"/>
      <c r="BL1" s="1038"/>
      <c r="BM1" s="1038"/>
      <c r="BN1" s="1038"/>
      <c r="BO1" s="1038"/>
      <c r="BP1" s="1038"/>
      <c r="BQ1" s="1038"/>
      <c r="BR1" s="1038"/>
      <c r="BS1" s="1038"/>
      <c r="BT1" s="1038"/>
      <c r="BU1" s="1038"/>
      <c r="BV1" s="1038"/>
      <c r="BW1" s="1038"/>
      <c r="BX1" s="1038"/>
      <c r="BY1" s="1038"/>
      <c r="BZ1" s="1038"/>
      <c r="CA1" s="1038"/>
      <c r="CB1" s="1038"/>
      <c r="CC1" s="1038"/>
      <c r="CD1" s="1038"/>
      <c r="CE1" s="1038"/>
      <c r="CF1" s="1038"/>
      <c r="CG1" s="1038"/>
      <c r="CH1" s="1038"/>
      <c r="CI1" s="1038"/>
      <c r="CJ1" s="1038"/>
      <c r="CK1" s="1038"/>
      <c r="CL1" s="1038"/>
      <c r="CM1" s="1038"/>
      <c r="CN1" s="1038"/>
      <c r="CO1" s="1038"/>
      <c r="CP1" s="1038"/>
      <c r="CQ1" s="1038"/>
      <c r="CR1" s="1038"/>
      <c r="CS1" s="1038"/>
      <c r="CT1" s="1038"/>
      <c r="CU1" s="1038"/>
      <c r="CV1" s="1038"/>
      <c r="CW1" s="1038"/>
      <c r="CX1" s="1038"/>
      <c r="CY1" s="1038"/>
      <c r="CZ1" s="1038"/>
      <c r="DA1" s="1038"/>
      <c r="DB1" s="1039"/>
    </row>
    <row r="2" spans="1:106" ht="33">
      <c r="A2" s="1040" t="s">
        <v>522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802"/>
      <c r="AD2" s="802"/>
      <c r="AE2" s="802"/>
      <c r="AF2" s="802"/>
      <c r="AG2" s="802"/>
      <c r="AH2" s="802"/>
      <c r="AI2" s="802"/>
      <c r="AJ2" s="802"/>
      <c r="AK2" s="802"/>
      <c r="AL2" s="802"/>
      <c r="AM2" s="802"/>
      <c r="AN2" s="802"/>
      <c r="AO2" s="802"/>
      <c r="AP2" s="802"/>
      <c r="AQ2" s="802"/>
      <c r="AR2" s="802"/>
      <c r="AS2" s="802"/>
      <c r="AT2" s="802"/>
      <c r="AU2" s="802"/>
      <c r="AV2" s="802"/>
      <c r="AW2" s="802"/>
      <c r="AX2" s="802"/>
      <c r="AY2" s="802"/>
      <c r="AZ2" s="802"/>
      <c r="BA2" s="802"/>
      <c r="BB2" s="802"/>
      <c r="BC2" s="802"/>
      <c r="BD2" s="802"/>
      <c r="BE2" s="802"/>
      <c r="BF2" s="802"/>
      <c r="BG2" s="802"/>
      <c r="BH2" s="802"/>
      <c r="BI2" s="802"/>
      <c r="BJ2" s="802"/>
      <c r="BK2" s="802"/>
      <c r="BL2" s="802"/>
      <c r="BM2" s="802"/>
      <c r="BN2" s="802"/>
      <c r="BO2" s="802"/>
      <c r="BP2" s="802"/>
      <c r="BQ2" s="802"/>
      <c r="BR2" s="802"/>
      <c r="BS2" s="802"/>
      <c r="BT2" s="802"/>
      <c r="BU2" s="802"/>
      <c r="BV2" s="802"/>
      <c r="BW2" s="802"/>
      <c r="BX2" s="802"/>
      <c r="BY2" s="802"/>
      <c r="BZ2" s="802"/>
      <c r="CA2" s="802"/>
      <c r="CB2" s="802"/>
      <c r="CC2" s="802"/>
      <c r="CD2" s="802"/>
      <c r="CE2" s="802"/>
      <c r="CF2" s="802"/>
      <c r="CG2" s="802"/>
      <c r="CH2" s="802"/>
      <c r="CI2" s="802"/>
      <c r="CJ2" s="802"/>
      <c r="CK2" s="802"/>
      <c r="CL2" s="802"/>
      <c r="CM2" s="802"/>
      <c r="CN2" s="802"/>
      <c r="CO2" s="802"/>
      <c r="CP2" s="802"/>
      <c r="CQ2" s="802"/>
      <c r="CR2" s="802"/>
      <c r="CS2" s="802"/>
      <c r="CT2" s="802"/>
      <c r="CU2" s="802"/>
      <c r="CV2" s="802"/>
      <c r="CW2" s="802"/>
      <c r="CX2" s="802"/>
      <c r="CY2" s="802"/>
      <c r="CZ2" s="802"/>
      <c r="DA2" s="802"/>
      <c r="DB2" s="1041"/>
    </row>
    <row r="3" spans="1:106" ht="33">
      <c r="A3" s="1034" t="s">
        <v>523</v>
      </c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799"/>
      <c r="AL3" s="799"/>
      <c r="AM3" s="799"/>
      <c r="AN3" s="799"/>
      <c r="AO3" s="799"/>
      <c r="AP3" s="799"/>
      <c r="AQ3" s="799"/>
      <c r="AR3" s="799"/>
      <c r="AS3" s="799"/>
      <c r="AT3" s="799"/>
      <c r="AU3" s="799"/>
      <c r="AV3" s="799"/>
      <c r="AW3" s="799"/>
      <c r="AX3" s="799"/>
      <c r="AY3" s="799"/>
      <c r="AZ3" s="799"/>
      <c r="BA3" s="799"/>
      <c r="BB3" s="799"/>
      <c r="BC3" s="799"/>
      <c r="BD3" s="799"/>
      <c r="BE3" s="799"/>
      <c r="BF3" s="799"/>
      <c r="BG3" s="799"/>
      <c r="BH3" s="799"/>
      <c r="BI3" s="799"/>
      <c r="BJ3" s="799"/>
      <c r="BK3" s="799"/>
      <c r="BL3" s="799"/>
      <c r="BM3" s="799"/>
      <c r="BN3" s="799"/>
      <c r="BO3" s="799"/>
      <c r="BP3" s="799"/>
      <c r="BQ3" s="799"/>
      <c r="BR3" s="799"/>
      <c r="BS3" s="799"/>
      <c r="BT3" s="799"/>
      <c r="BU3" s="799"/>
      <c r="BV3" s="799"/>
      <c r="BW3" s="799"/>
      <c r="BX3" s="799"/>
      <c r="BY3" s="799"/>
      <c r="BZ3" s="799"/>
      <c r="CA3" s="799"/>
      <c r="CB3" s="799"/>
      <c r="CC3" s="799"/>
      <c r="CD3" s="799"/>
      <c r="CE3" s="799"/>
      <c r="CF3" s="799"/>
      <c r="CG3" s="799"/>
      <c r="CH3" s="799"/>
      <c r="CI3" s="799"/>
      <c r="CJ3" s="799"/>
      <c r="CK3" s="799"/>
      <c r="CL3" s="799"/>
      <c r="CM3" s="799"/>
      <c r="CN3" s="799"/>
      <c r="CO3" s="799"/>
      <c r="CP3" s="799"/>
      <c r="CQ3" s="799"/>
      <c r="CR3" s="799"/>
      <c r="CS3" s="799"/>
      <c r="CT3" s="799"/>
      <c r="CU3" s="799"/>
      <c r="CV3" s="799"/>
      <c r="CW3" s="799"/>
      <c r="CX3" s="799"/>
      <c r="CY3" s="799"/>
      <c r="CZ3" s="799"/>
      <c r="DA3" s="799"/>
      <c r="DB3" s="1042"/>
    </row>
    <row r="4" spans="1:106" ht="33">
      <c r="A4" s="1043" t="s">
        <v>21</v>
      </c>
      <c r="B4" s="802"/>
      <c r="C4" s="802"/>
      <c r="D4" s="802"/>
      <c r="E4" s="802"/>
      <c r="F4" s="802"/>
      <c r="G4" s="802"/>
      <c r="H4" s="802"/>
      <c r="I4" s="802"/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2"/>
      <c r="W4" s="802"/>
      <c r="X4" s="802"/>
      <c r="Y4" s="802"/>
      <c r="Z4" s="802"/>
      <c r="AA4" s="802"/>
      <c r="AB4" s="802"/>
      <c r="AC4" s="802"/>
      <c r="AD4" s="802"/>
      <c r="AE4" s="802"/>
      <c r="AF4" s="802"/>
      <c r="AG4" s="802"/>
      <c r="AH4" s="802"/>
      <c r="AI4" s="802"/>
      <c r="AJ4" s="802"/>
      <c r="AK4" s="802"/>
      <c r="AL4" s="802"/>
      <c r="AM4" s="802"/>
      <c r="AN4" s="802"/>
      <c r="AO4" s="802"/>
      <c r="AP4" s="802"/>
      <c r="AQ4" s="802"/>
      <c r="AR4" s="802"/>
      <c r="AS4" s="802"/>
      <c r="AT4" s="802"/>
      <c r="AU4" s="802"/>
      <c r="AV4" s="802"/>
      <c r="AW4" s="802"/>
      <c r="AX4" s="802"/>
      <c r="AY4" s="802"/>
      <c r="AZ4" s="802"/>
      <c r="BA4" s="802"/>
      <c r="BB4" s="802"/>
      <c r="BC4" s="802"/>
      <c r="BD4" s="802"/>
      <c r="BE4" s="802"/>
      <c r="BF4" s="802"/>
      <c r="BG4" s="802"/>
      <c r="BH4" s="802"/>
      <c r="BI4" s="802"/>
      <c r="BJ4" s="802"/>
      <c r="BK4" s="802"/>
      <c r="BL4" s="802"/>
      <c r="BM4" s="802"/>
      <c r="BN4" s="802"/>
      <c r="BO4" s="802"/>
      <c r="BP4" s="802"/>
      <c r="BQ4" s="802"/>
      <c r="BR4" s="802"/>
      <c r="BS4" s="802"/>
      <c r="BT4" s="802"/>
      <c r="BU4" s="802"/>
      <c r="BV4" s="802"/>
      <c r="BW4" s="802"/>
      <c r="BX4" s="802"/>
      <c r="BY4" s="802"/>
      <c r="BZ4" s="802"/>
      <c r="CA4" s="802"/>
      <c r="CB4" s="802"/>
      <c r="CC4" s="802"/>
      <c r="CD4" s="802"/>
      <c r="CE4" s="802"/>
      <c r="CF4" s="802"/>
      <c r="CG4" s="802"/>
      <c r="CH4" s="802"/>
      <c r="CI4" s="802"/>
      <c r="CJ4" s="802"/>
      <c r="CK4" s="802"/>
      <c r="CL4" s="802"/>
      <c r="CM4" s="802"/>
      <c r="CN4" s="802"/>
      <c r="CO4" s="802"/>
      <c r="CP4" s="802"/>
      <c r="CQ4" s="802"/>
      <c r="CR4" s="802"/>
      <c r="CS4" s="802"/>
      <c r="CT4" s="802"/>
      <c r="CU4" s="802"/>
      <c r="CV4" s="802"/>
      <c r="CW4" s="802"/>
      <c r="CX4" s="802"/>
      <c r="CY4" s="802"/>
      <c r="CZ4" s="802"/>
      <c r="DA4" s="802"/>
      <c r="DB4" s="1041"/>
    </row>
    <row r="5" spans="1:106" ht="18" hidden="1">
      <c r="A5" s="1085" t="s">
        <v>0</v>
      </c>
      <c r="B5" s="1087" t="s">
        <v>408</v>
      </c>
      <c r="C5" s="1088"/>
      <c r="D5" s="1088"/>
      <c r="E5" s="1088"/>
      <c r="F5" s="1089"/>
      <c r="G5" s="1093" t="s">
        <v>29</v>
      </c>
      <c r="H5" s="1094"/>
      <c r="I5" s="1095"/>
      <c r="J5" s="1093" t="s">
        <v>30</v>
      </c>
      <c r="K5" s="1095"/>
      <c r="L5" s="830" t="s">
        <v>1</v>
      </c>
      <c r="M5" s="831"/>
      <c r="N5" s="831"/>
      <c r="O5" s="831"/>
      <c r="P5" s="831"/>
      <c r="Q5" s="831"/>
      <c r="R5" s="831"/>
      <c r="S5" s="832"/>
      <c r="T5" s="830" t="s">
        <v>2</v>
      </c>
      <c r="U5" s="831"/>
      <c r="V5" s="831"/>
      <c r="W5" s="831"/>
      <c r="X5" s="831"/>
      <c r="Y5" s="831"/>
      <c r="Z5" s="831"/>
      <c r="AA5" s="831"/>
      <c r="AB5" s="832"/>
      <c r="AC5" s="830" t="s">
        <v>3</v>
      </c>
      <c r="AD5" s="831"/>
      <c r="AE5" s="831"/>
      <c r="AF5" s="831"/>
      <c r="AG5" s="831"/>
      <c r="AH5" s="831"/>
      <c r="AI5" s="831"/>
      <c r="AJ5" s="832"/>
      <c r="AK5" s="1080" t="s">
        <v>31</v>
      </c>
      <c r="AL5" s="1096"/>
      <c r="AM5" s="1096"/>
      <c r="AN5" s="1096"/>
      <c r="AO5" s="1096"/>
      <c r="AP5" s="1096"/>
      <c r="AQ5" s="1096"/>
      <c r="AR5" s="1096"/>
      <c r="AS5" s="1096"/>
      <c r="AT5" s="1096"/>
      <c r="AU5" s="1081"/>
      <c r="AV5" s="830" t="s">
        <v>4</v>
      </c>
      <c r="AW5" s="831"/>
      <c r="AX5" s="831"/>
      <c r="AY5" s="831"/>
      <c r="AZ5" s="831"/>
      <c r="BA5" s="832"/>
      <c r="BB5" s="830" t="s">
        <v>5</v>
      </c>
      <c r="BC5" s="831"/>
      <c r="BD5" s="831"/>
      <c r="BE5" s="831"/>
      <c r="BF5" s="831"/>
      <c r="BG5" s="831"/>
      <c r="BH5" s="831"/>
      <c r="BI5" s="831"/>
      <c r="BJ5" s="832"/>
      <c r="BK5" s="830" t="s">
        <v>6</v>
      </c>
      <c r="BL5" s="831"/>
      <c r="BM5" s="831"/>
      <c r="BN5" s="831"/>
      <c r="BO5" s="831"/>
      <c r="BP5" s="831"/>
      <c r="BQ5" s="831"/>
      <c r="BR5" s="831"/>
      <c r="BS5" s="832"/>
      <c r="BT5" s="816" t="s">
        <v>32</v>
      </c>
      <c r="BU5" s="817"/>
      <c r="BV5" s="817"/>
      <c r="BW5" s="817"/>
      <c r="BX5" s="817"/>
      <c r="BY5" s="817"/>
      <c r="BZ5" s="817"/>
      <c r="CA5" s="817"/>
      <c r="CB5" s="817"/>
      <c r="CC5" s="818"/>
      <c r="CD5" s="1101" t="s">
        <v>25</v>
      </c>
      <c r="CE5" s="1102"/>
      <c r="CF5" s="1102"/>
      <c r="CG5" s="1102"/>
      <c r="CH5" s="1102"/>
      <c r="CI5" s="1102"/>
      <c r="CJ5" s="1102"/>
      <c r="CK5" s="1102"/>
      <c r="CL5" s="1102"/>
      <c r="CM5" s="1102"/>
      <c r="CN5" s="1102"/>
      <c r="CO5" s="1103"/>
      <c r="CP5" s="816" t="s">
        <v>7</v>
      </c>
      <c r="CQ5" s="817"/>
      <c r="CR5" s="817"/>
      <c r="CS5" s="817"/>
      <c r="CT5" s="817"/>
      <c r="CU5" s="817"/>
      <c r="CV5" s="817"/>
      <c r="CW5" s="818"/>
      <c r="CX5" s="1097" t="s">
        <v>33</v>
      </c>
      <c r="CY5" s="1098"/>
      <c r="CZ5" s="1098"/>
      <c r="DA5" s="1098"/>
      <c r="DB5" s="1104" t="s">
        <v>544</v>
      </c>
    </row>
    <row r="6" spans="1:106" ht="138" customHeight="1">
      <c r="A6" s="1086"/>
      <c r="B6" s="1090"/>
      <c r="C6" s="1091"/>
      <c r="D6" s="1091"/>
      <c r="E6" s="1091"/>
      <c r="F6" s="1092"/>
      <c r="G6" s="883"/>
      <c r="H6" s="884"/>
      <c r="I6" s="885"/>
      <c r="J6" s="883"/>
      <c r="K6" s="885"/>
      <c r="L6" s="1082" t="s">
        <v>8</v>
      </c>
      <c r="M6" s="1084"/>
      <c r="N6" s="830" t="s">
        <v>9</v>
      </c>
      <c r="O6" s="832"/>
      <c r="P6" s="1080" t="s">
        <v>10</v>
      </c>
      <c r="Q6" s="1081"/>
      <c r="R6" s="830" t="s">
        <v>11</v>
      </c>
      <c r="S6" s="832"/>
      <c r="T6" s="830" t="s">
        <v>8</v>
      </c>
      <c r="U6" s="832"/>
      <c r="V6" s="1080" t="s">
        <v>9</v>
      </c>
      <c r="W6" s="1096"/>
      <c r="X6" s="1081"/>
      <c r="Y6" s="1080" t="s">
        <v>10</v>
      </c>
      <c r="Z6" s="1081"/>
      <c r="AA6" s="830" t="s">
        <v>11</v>
      </c>
      <c r="AB6" s="832"/>
      <c r="AC6" s="830" t="s">
        <v>8</v>
      </c>
      <c r="AD6" s="832"/>
      <c r="AE6" s="830" t="s">
        <v>9</v>
      </c>
      <c r="AF6" s="832"/>
      <c r="AG6" s="816" t="s">
        <v>10</v>
      </c>
      <c r="AH6" s="818"/>
      <c r="AI6" s="830" t="s">
        <v>11</v>
      </c>
      <c r="AJ6" s="832"/>
      <c r="AK6" s="830" t="s">
        <v>8</v>
      </c>
      <c r="AL6" s="832"/>
      <c r="AM6" s="830" t="s">
        <v>9</v>
      </c>
      <c r="AN6" s="832"/>
      <c r="AO6" s="830" t="s">
        <v>10</v>
      </c>
      <c r="AP6" s="831"/>
      <c r="AQ6" s="831"/>
      <c r="AR6" s="832"/>
      <c r="AS6" s="830" t="s">
        <v>11</v>
      </c>
      <c r="AT6" s="831"/>
      <c r="AU6" s="832"/>
      <c r="AV6" s="7" t="s">
        <v>8</v>
      </c>
      <c r="AW6" s="816" t="s">
        <v>9</v>
      </c>
      <c r="AX6" s="818"/>
      <c r="AY6" s="816" t="s">
        <v>10</v>
      </c>
      <c r="AZ6" s="818"/>
      <c r="BA6" s="8" t="s">
        <v>11</v>
      </c>
      <c r="BB6" s="830" t="s">
        <v>8</v>
      </c>
      <c r="BC6" s="832"/>
      <c r="BD6" s="830" t="s">
        <v>9</v>
      </c>
      <c r="BE6" s="832"/>
      <c r="BF6" s="830" t="s">
        <v>10</v>
      </c>
      <c r="BG6" s="831"/>
      <c r="BH6" s="832"/>
      <c r="BI6" s="1080" t="s">
        <v>11</v>
      </c>
      <c r="BJ6" s="1081"/>
      <c r="BK6" s="816" t="s">
        <v>8</v>
      </c>
      <c r="BL6" s="818"/>
      <c r="BM6" s="816" t="s">
        <v>9</v>
      </c>
      <c r="BN6" s="817"/>
      <c r="BO6" s="818"/>
      <c r="BP6" s="830" t="s">
        <v>10</v>
      </c>
      <c r="BQ6" s="832"/>
      <c r="BR6" s="830" t="s">
        <v>11</v>
      </c>
      <c r="BS6" s="832"/>
      <c r="BT6" s="830" t="s">
        <v>8</v>
      </c>
      <c r="BU6" s="832"/>
      <c r="BV6" s="830" t="s">
        <v>9</v>
      </c>
      <c r="BW6" s="831"/>
      <c r="BX6" s="832"/>
      <c r="BY6" s="1080" t="s">
        <v>10</v>
      </c>
      <c r="BZ6" s="1081"/>
      <c r="CA6" s="1082" t="s">
        <v>11</v>
      </c>
      <c r="CB6" s="1083"/>
      <c r="CC6" s="1084"/>
      <c r="CD6" s="830" t="s">
        <v>8</v>
      </c>
      <c r="CE6" s="831"/>
      <c r="CF6" s="832"/>
      <c r="CG6" s="1080" t="s">
        <v>9</v>
      </c>
      <c r="CH6" s="1096"/>
      <c r="CI6" s="1081"/>
      <c r="CJ6" s="1082" t="s">
        <v>10</v>
      </c>
      <c r="CK6" s="1083"/>
      <c r="CL6" s="1084"/>
      <c r="CM6" s="830" t="s">
        <v>11</v>
      </c>
      <c r="CN6" s="831"/>
      <c r="CO6" s="832"/>
      <c r="CP6" s="830" t="s">
        <v>9</v>
      </c>
      <c r="CQ6" s="831"/>
      <c r="CR6" s="832"/>
      <c r="CS6" s="1082" t="s">
        <v>10</v>
      </c>
      <c r="CT6" s="1083"/>
      <c r="CU6" s="1084"/>
      <c r="CV6" s="1080" t="s">
        <v>11</v>
      </c>
      <c r="CW6" s="1081"/>
      <c r="CX6" s="1099"/>
      <c r="CY6" s="1100"/>
      <c r="CZ6" s="1100"/>
      <c r="DA6" s="1100"/>
      <c r="DB6" s="1105"/>
    </row>
    <row r="7" spans="1:106" ht="26.25">
      <c r="A7" s="238">
        <v>1</v>
      </c>
      <c r="B7" s="958" t="s">
        <v>282</v>
      </c>
      <c r="C7" s="959"/>
      <c r="D7" s="959"/>
      <c r="E7" s="959"/>
      <c r="F7" s="960"/>
      <c r="G7" s="958" t="s">
        <v>283</v>
      </c>
      <c r="H7" s="959"/>
      <c r="I7" s="960"/>
      <c r="J7" s="942">
        <v>9</v>
      </c>
      <c r="K7" s="944"/>
      <c r="L7" s="950">
        <v>3</v>
      </c>
      <c r="M7" s="951"/>
      <c r="N7" s="942">
        <v>121</v>
      </c>
      <c r="O7" s="944"/>
      <c r="P7" s="945">
        <v>129</v>
      </c>
      <c r="Q7" s="947"/>
      <c r="R7" s="942">
        <v>250</v>
      </c>
      <c r="S7" s="944"/>
      <c r="T7" s="942">
        <v>4</v>
      </c>
      <c r="U7" s="944"/>
      <c r="V7" s="945">
        <v>123</v>
      </c>
      <c r="W7" s="946"/>
      <c r="X7" s="947"/>
      <c r="Y7" s="945">
        <v>129</v>
      </c>
      <c r="Z7" s="947"/>
      <c r="AA7" s="942">
        <v>252</v>
      </c>
      <c r="AB7" s="944"/>
      <c r="AC7" s="942">
        <v>3</v>
      </c>
      <c r="AD7" s="944"/>
      <c r="AE7" s="942">
        <v>117</v>
      </c>
      <c r="AF7" s="944"/>
      <c r="AG7" s="945">
        <v>110</v>
      </c>
      <c r="AH7" s="947"/>
      <c r="AI7" s="942">
        <v>227</v>
      </c>
      <c r="AJ7" s="944"/>
      <c r="AK7" s="942">
        <v>10</v>
      </c>
      <c r="AL7" s="944"/>
      <c r="AM7" s="942">
        <v>361</v>
      </c>
      <c r="AN7" s="944"/>
      <c r="AO7" s="942">
        <v>368</v>
      </c>
      <c r="AP7" s="943"/>
      <c r="AQ7" s="943"/>
      <c r="AR7" s="944"/>
      <c r="AS7" s="942">
        <v>729</v>
      </c>
      <c r="AT7" s="943"/>
      <c r="AU7" s="944"/>
      <c r="AV7" s="92">
        <v>0</v>
      </c>
      <c r="AW7" s="945">
        <v>0</v>
      </c>
      <c r="AX7" s="947"/>
      <c r="AY7" s="945">
        <v>0</v>
      </c>
      <c r="AZ7" s="947"/>
      <c r="BA7" s="91">
        <v>0</v>
      </c>
      <c r="BB7" s="942">
        <v>0</v>
      </c>
      <c r="BC7" s="944"/>
      <c r="BD7" s="942">
        <v>0</v>
      </c>
      <c r="BE7" s="944"/>
      <c r="BF7" s="942">
        <v>0</v>
      </c>
      <c r="BG7" s="943"/>
      <c r="BH7" s="944"/>
      <c r="BI7" s="952">
        <v>0</v>
      </c>
      <c r="BJ7" s="954"/>
      <c r="BK7" s="945">
        <v>0</v>
      </c>
      <c r="BL7" s="947"/>
      <c r="BM7" s="945">
        <v>0</v>
      </c>
      <c r="BN7" s="946"/>
      <c r="BO7" s="947"/>
      <c r="BP7" s="942">
        <v>0</v>
      </c>
      <c r="BQ7" s="944"/>
      <c r="BR7" s="942">
        <v>0</v>
      </c>
      <c r="BS7" s="944"/>
      <c r="BT7" s="942">
        <v>0</v>
      </c>
      <c r="BU7" s="944"/>
      <c r="BV7" s="942">
        <v>0</v>
      </c>
      <c r="BW7" s="943"/>
      <c r="BX7" s="944"/>
      <c r="BY7" s="952">
        <v>0</v>
      </c>
      <c r="BZ7" s="954"/>
      <c r="CA7" s="950">
        <v>0</v>
      </c>
      <c r="CB7" s="1059"/>
      <c r="CC7" s="951"/>
      <c r="CD7" s="942">
        <v>10</v>
      </c>
      <c r="CE7" s="943"/>
      <c r="CF7" s="944"/>
      <c r="CG7" s="945">
        <v>361</v>
      </c>
      <c r="CH7" s="946"/>
      <c r="CI7" s="947"/>
      <c r="CJ7" s="950">
        <v>368</v>
      </c>
      <c r="CK7" s="1059"/>
      <c r="CL7" s="951"/>
      <c r="CM7" s="942">
        <v>729</v>
      </c>
      <c r="CN7" s="943"/>
      <c r="CO7" s="944"/>
      <c r="CP7" s="942">
        <v>5</v>
      </c>
      <c r="CQ7" s="943"/>
      <c r="CR7" s="944"/>
      <c r="CS7" s="950">
        <v>8</v>
      </c>
      <c r="CT7" s="1059"/>
      <c r="CU7" s="951"/>
      <c r="CV7" s="945">
        <v>13</v>
      </c>
      <c r="CW7" s="947"/>
      <c r="CX7" s="955" t="s">
        <v>35</v>
      </c>
      <c r="CY7" s="956"/>
      <c r="CZ7" s="956"/>
      <c r="DA7" s="956"/>
      <c r="DB7" s="239">
        <f>IF(CL39&lt;1001,30000 * 3,50000*3)</f>
        <v>90000</v>
      </c>
    </row>
    <row r="8" spans="1:106" ht="26.25">
      <c r="A8" s="238">
        <v>2</v>
      </c>
      <c r="B8" s="958" t="s">
        <v>284</v>
      </c>
      <c r="C8" s="959"/>
      <c r="D8" s="959"/>
      <c r="E8" s="959"/>
      <c r="F8" s="960"/>
      <c r="G8" s="958" t="s">
        <v>283</v>
      </c>
      <c r="H8" s="959"/>
      <c r="I8" s="960"/>
      <c r="J8" s="942">
        <v>9</v>
      </c>
      <c r="K8" s="944"/>
      <c r="L8" s="950">
        <v>0</v>
      </c>
      <c r="M8" s="951"/>
      <c r="N8" s="942">
        <v>0</v>
      </c>
      <c r="O8" s="944"/>
      <c r="P8" s="952">
        <v>0</v>
      </c>
      <c r="Q8" s="954"/>
      <c r="R8" s="942">
        <v>0</v>
      </c>
      <c r="S8" s="944"/>
      <c r="T8" s="942">
        <v>0</v>
      </c>
      <c r="U8" s="944"/>
      <c r="V8" s="952">
        <v>0</v>
      </c>
      <c r="W8" s="953"/>
      <c r="X8" s="954"/>
      <c r="Y8" s="952">
        <v>0</v>
      </c>
      <c r="Z8" s="954"/>
      <c r="AA8" s="942">
        <v>0</v>
      </c>
      <c r="AB8" s="944"/>
      <c r="AC8" s="942">
        <v>0</v>
      </c>
      <c r="AD8" s="944"/>
      <c r="AE8" s="942">
        <v>0</v>
      </c>
      <c r="AF8" s="944"/>
      <c r="AG8" s="945">
        <v>0</v>
      </c>
      <c r="AH8" s="947"/>
      <c r="AI8" s="942">
        <v>0</v>
      </c>
      <c r="AJ8" s="944"/>
      <c r="AK8" s="942">
        <v>0</v>
      </c>
      <c r="AL8" s="944"/>
      <c r="AM8" s="942">
        <v>0</v>
      </c>
      <c r="AN8" s="944"/>
      <c r="AO8" s="942">
        <v>0</v>
      </c>
      <c r="AP8" s="943"/>
      <c r="AQ8" s="943"/>
      <c r="AR8" s="944"/>
      <c r="AS8" s="942">
        <v>0</v>
      </c>
      <c r="AT8" s="943"/>
      <c r="AU8" s="944"/>
      <c r="AV8" s="92">
        <v>3</v>
      </c>
      <c r="AW8" s="945">
        <v>90</v>
      </c>
      <c r="AX8" s="947"/>
      <c r="AY8" s="945">
        <v>76</v>
      </c>
      <c r="AZ8" s="947"/>
      <c r="BA8" s="91">
        <v>166</v>
      </c>
      <c r="BB8" s="942">
        <v>3</v>
      </c>
      <c r="BC8" s="944"/>
      <c r="BD8" s="942">
        <v>65</v>
      </c>
      <c r="BE8" s="944"/>
      <c r="BF8" s="942">
        <v>66</v>
      </c>
      <c r="BG8" s="943"/>
      <c r="BH8" s="944"/>
      <c r="BI8" s="945">
        <v>131</v>
      </c>
      <c r="BJ8" s="947"/>
      <c r="BK8" s="945">
        <v>3</v>
      </c>
      <c r="BL8" s="947"/>
      <c r="BM8" s="945">
        <v>56</v>
      </c>
      <c r="BN8" s="946"/>
      <c r="BO8" s="947"/>
      <c r="BP8" s="942">
        <v>38</v>
      </c>
      <c r="BQ8" s="944"/>
      <c r="BR8" s="942">
        <v>94</v>
      </c>
      <c r="BS8" s="944"/>
      <c r="BT8" s="942">
        <v>9</v>
      </c>
      <c r="BU8" s="944"/>
      <c r="BV8" s="942">
        <v>211</v>
      </c>
      <c r="BW8" s="943"/>
      <c r="BX8" s="944"/>
      <c r="BY8" s="945">
        <v>180</v>
      </c>
      <c r="BZ8" s="947"/>
      <c r="CA8" s="950">
        <v>391</v>
      </c>
      <c r="CB8" s="1059"/>
      <c r="CC8" s="951"/>
      <c r="CD8" s="942">
        <v>9</v>
      </c>
      <c r="CE8" s="943"/>
      <c r="CF8" s="944"/>
      <c r="CG8" s="945">
        <v>211</v>
      </c>
      <c r="CH8" s="946"/>
      <c r="CI8" s="947"/>
      <c r="CJ8" s="950">
        <v>180</v>
      </c>
      <c r="CK8" s="1059"/>
      <c r="CL8" s="951"/>
      <c r="CM8" s="942">
        <v>391</v>
      </c>
      <c r="CN8" s="943"/>
      <c r="CO8" s="944"/>
      <c r="CP8" s="942">
        <v>8</v>
      </c>
      <c r="CQ8" s="943"/>
      <c r="CR8" s="944"/>
      <c r="CS8" s="950">
        <v>9</v>
      </c>
      <c r="CT8" s="1059"/>
      <c r="CU8" s="951"/>
      <c r="CV8" s="945">
        <v>17</v>
      </c>
      <c r="CW8" s="947"/>
      <c r="CX8" s="955" t="s">
        <v>35</v>
      </c>
      <c r="CY8" s="956"/>
      <c r="CZ8" s="956"/>
      <c r="DA8" s="956"/>
      <c r="DB8" s="239">
        <f t="shared" ref="DB8:DB15" si="0">IF(CL40&lt;1001,30000 * 3,50000*3)</f>
        <v>90000</v>
      </c>
    </row>
    <row r="9" spans="1:106" ht="26.25">
      <c r="A9" s="238">
        <v>3</v>
      </c>
      <c r="B9" s="958" t="s">
        <v>285</v>
      </c>
      <c r="C9" s="959"/>
      <c r="D9" s="959"/>
      <c r="E9" s="959"/>
      <c r="F9" s="960"/>
      <c r="G9" s="958" t="s">
        <v>283</v>
      </c>
      <c r="H9" s="959"/>
      <c r="I9" s="960"/>
      <c r="J9" s="942">
        <v>7</v>
      </c>
      <c r="K9" s="944"/>
      <c r="L9" s="950">
        <v>2</v>
      </c>
      <c r="M9" s="951"/>
      <c r="N9" s="942">
        <v>72</v>
      </c>
      <c r="O9" s="944"/>
      <c r="P9" s="945">
        <v>55</v>
      </c>
      <c r="Q9" s="947"/>
      <c r="R9" s="942">
        <v>127</v>
      </c>
      <c r="S9" s="944"/>
      <c r="T9" s="942">
        <v>2</v>
      </c>
      <c r="U9" s="944"/>
      <c r="V9" s="945">
        <v>40</v>
      </c>
      <c r="W9" s="946"/>
      <c r="X9" s="947"/>
      <c r="Y9" s="945">
        <v>45</v>
      </c>
      <c r="Z9" s="947"/>
      <c r="AA9" s="942">
        <v>85</v>
      </c>
      <c r="AB9" s="944"/>
      <c r="AC9" s="942">
        <v>2</v>
      </c>
      <c r="AD9" s="944"/>
      <c r="AE9" s="942">
        <v>46</v>
      </c>
      <c r="AF9" s="944"/>
      <c r="AG9" s="945">
        <v>41</v>
      </c>
      <c r="AH9" s="947"/>
      <c r="AI9" s="942">
        <v>87</v>
      </c>
      <c r="AJ9" s="944"/>
      <c r="AK9" s="942">
        <v>6</v>
      </c>
      <c r="AL9" s="944"/>
      <c r="AM9" s="942">
        <v>158</v>
      </c>
      <c r="AN9" s="944"/>
      <c r="AO9" s="942">
        <v>141</v>
      </c>
      <c r="AP9" s="943"/>
      <c r="AQ9" s="943"/>
      <c r="AR9" s="944"/>
      <c r="AS9" s="942">
        <v>299</v>
      </c>
      <c r="AT9" s="943"/>
      <c r="AU9" s="944"/>
      <c r="AV9" s="92">
        <v>3</v>
      </c>
      <c r="AW9" s="945">
        <v>29</v>
      </c>
      <c r="AX9" s="947"/>
      <c r="AY9" s="945">
        <v>31</v>
      </c>
      <c r="AZ9" s="947"/>
      <c r="BA9" s="91">
        <v>60</v>
      </c>
      <c r="BB9" s="942">
        <v>3</v>
      </c>
      <c r="BC9" s="944"/>
      <c r="BD9" s="942">
        <v>41</v>
      </c>
      <c r="BE9" s="944"/>
      <c r="BF9" s="942">
        <v>40</v>
      </c>
      <c r="BG9" s="943"/>
      <c r="BH9" s="944"/>
      <c r="BI9" s="945">
        <v>81</v>
      </c>
      <c r="BJ9" s="947"/>
      <c r="BK9" s="945">
        <v>3</v>
      </c>
      <c r="BL9" s="947"/>
      <c r="BM9" s="945">
        <v>34</v>
      </c>
      <c r="BN9" s="946"/>
      <c r="BO9" s="947"/>
      <c r="BP9" s="942">
        <v>32</v>
      </c>
      <c r="BQ9" s="944"/>
      <c r="BR9" s="942">
        <v>66</v>
      </c>
      <c r="BS9" s="944"/>
      <c r="BT9" s="942">
        <v>9</v>
      </c>
      <c r="BU9" s="944"/>
      <c r="BV9" s="942">
        <v>104</v>
      </c>
      <c r="BW9" s="943"/>
      <c r="BX9" s="944"/>
      <c r="BY9" s="945">
        <v>103</v>
      </c>
      <c r="BZ9" s="947"/>
      <c r="CA9" s="950">
        <v>207</v>
      </c>
      <c r="CB9" s="1059"/>
      <c r="CC9" s="951"/>
      <c r="CD9" s="942">
        <v>15</v>
      </c>
      <c r="CE9" s="943"/>
      <c r="CF9" s="944"/>
      <c r="CG9" s="945">
        <v>262</v>
      </c>
      <c r="CH9" s="946"/>
      <c r="CI9" s="947"/>
      <c r="CJ9" s="950">
        <v>244</v>
      </c>
      <c r="CK9" s="1059"/>
      <c r="CL9" s="951"/>
      <c r="CM9" s="942">
        <v>506</v>
      </c>
      <c r="CN9" s="943"/>
      <c r="CO9" s="944"/>
      <c r="CP9" s="942">
        <v>11</v>
      </c>
      <c r="CQ9" s="943"/>
      <c r="CR9" s="944"/>
      <c r="CS9" s="950">
        <v>5</v>
      </c>
      <c r="CT9" s="1059"/>
      <c r="CU9" s="951"/>
      <c r="CV9" s="945">
        <v>16</v>
      </c>
      <c r="CW9" s="947"/>
      <c r="CX9" s="955" t="s">
        <v>35</v>
      </c>
      <c r="CY9" s="956"/>
      <c r="CZ9" s="956"/>
      <c r="DA9" s="956"/>
      <c r="DB9" s="239">
        <f t="shared" si="0"/>
        <v>90000</v>
      </c>
    </row>
    <row r="10" spans="1:106" ht="26.25">
      <c r="A10" s="238">
        <v>4</v>
      </c>
      <c r="B10" s="958" t="s">
        <v>286</v>
      </c>
      <c r="C10" s="959"/>
      <c r="D10" s="959"/>
      <c r="E10" s="959"/>
      <c r="F10" s="960"/>
      <c r="G10" s="955" t="s">
        <v>21</v>
      </c>
      <c r="H10" s="956"/>
      <c r="I10" s="957"/>
      <c r="J10" s="942">
        <v>3</v>
      </c>
      <c r="K10" s="944"/>
      <c r="L10" s="950">
        <v>3</v>
      </c>
      <c r="M10" s="951"/>
      <c r="N10" s="942">
        <v>127</v>
      </c>
      <c r="O10" s="944"/>
      <c r="P10" s="945">
        <v>112</v>
      </c>
      <c r="Q10" s="947"/>
      <c r="R10" s="942">
        <v>239</v>
      </c>
      <c r="S10" s="944"/>
      <c r="T10" s="942">
        <v>3</v>
      </c>
      <c r="U10" s="944"/>
      <c r="V10" s="945">
        <v>131</v>
      </c>
      <c r="W10" s="946"/>
      <c r="X10" s="947"/>
      <c r="Y10" s="945">
        <v>76</v>
      </c>
      <c r="Z10" s="947"/>
      <c r="AA10" s="942">
        <v>207</v>
      </c>
      <c r="AB10" s="944"/>
      <c r="AC10" s="942">
        <v>3</v>
      </c>
      <c r="AD10" s="944"/>
      <c r="AE10" s="942">
        <v>69</v>
      </c>
      <c r="AF10" s="944"/>
      <c r="AG10" s="945">
        <v>66</v>
      </c>
      <c r="AH10" s="947"/>
      <c r="AI10" s="942">
        <v>135</v>
      </c>
      <c r="AJ10" s="944"/>
      <c r="AK10" s="942">
        <v>9</v>
      </c>
      <c r="AL10" s="944"/>
      <c r="AM10" s="942">
        <v>327</v>
      </c>
      <c r="AN10" s="944"/>
      <c r="AO10" s="942">
        <v>254</v>
      </c>
      <c r="AP10" s="943"/>
      <c r="AQ10" s="943"/>
      <c r="AR10" s="944"/>
      <c r="AS10" s="942">
        <v>581</v>
      </c>
      <c r="AT10" s="943"/>
      <c r="AU10" s="944"/>
      <c r="AV10" s="92">
        <v>3</v>
      </c>
      <c r="AW10" s="945">
        <v>76</v>
      </c>
      <c r="AX10" s="947"/>
      <c r="AY10" s="945">
        <v>55</v>
      </c>
      <c r="AZ10" s="947"/>
      <c r="BA10" s="91">
        <v>131</v>
      </c>
      <c r="BB10" s="942">
        <v>3</v>
      </c>
      <c r="BC10" s="944"/>
      <c r="BD10" s="942">
        <v>54</v>
      </c>
      <c r="BE10" s="944"/>
      <c r="BF10" s="942">
        <v>41</v>
      </c>
      <c r="BG10" s="943"/>
      <c r="BH10" s="944"/>
      <c r="BI10" s="945">
        <v>95</v>
      </c>
      <c r="BJ10" s="947"/>
      <c r="BK10" s="945">
        <v>3</v>
      </c>
      <c r="BL10" s="947"/>
      <c r="BM10" s="945">
        <v>25</v>
      </c>
      <c r="BN10" s="946"/>
      <c r="BO10" s="947"/>
      <c r="BP10" s="942">
        <v>29</v>
      </c>
      <c r="BQ10" s="944"/>
      <c r="BR10" s="942">
        <v>54</v>
      </c>
      <c r="BS10" s="944"/>
      <c r="BT10" s="942">
        <v>9</v>
      </c>
      <c r="BU10" s="944"/>
      <c r="BV10" s="942">
        <v>155</v>
      </c>
      <c r="BW10" s="943"/>
      <c r="BX10" s="944"/>
      <c r="BY10" s="945">
        <v>125</v>
      </c>
      <c r="BZ10" s="947"/>
      <c r="CA10" s="950">
        <v>280</v>
      </c>
      <c r="CB10" s="1059"/>
      <c r="CC10" s="951"/>
      <c r="CD10" s="942">
        <v>18</v>
      </c>
      <c r="CE10" s="943"/>
      <c r="CF10" s="944"/>
      <c r="CG10" s="945">
        <v>482</v>
      </c>
      <c r="CH10" s="946"/>
      <c r="CI10" s="947"/>
      <c r="CJ10" s="950">
        <v>379</v>
      </c>
      <c r="CK10" s="1059"/>
      <c r="CL10" s="951"/>
      <c r="CM10" s="942">
        <v>861</v>
      </c>
      <c r="CN10" s="943"/>
      <c r="CO10" s="944"/>
      <c r="CP10" s="942">
        <v>9</v>
      </c>
      <c r="CQ10" s="943"/>
      <c r="CR10" s="944"/>
      <c r="CS10" s="950">
        <v>10</v>
      </c>
      <c r="CT10" s="1059"/>
      <c r="CU10" s="951"/>
      <c r="CV10" s="945">
        <v>19</v>
      </c>
      <c r="CW10" s="947"/>
      <c r="CX10" s="955" t="s">
        <v>35</v>
      </c>
      <c r="CY10" s="956"/>
      <c r="CZ10" s="956"/>
      <c r="DA10" s="956"/>
      <c r="DB10" s="239">
        <f t="shared" si="0"/>
        <v>90000</v>
      </c>
    </row>
    <row r="11" spans="1:106" ht="26.25">
      <c r="A11" s="238">
        <v>5</v>
      </c>
      <c r="B11" s="958" t="s">
        <v>287</v>
      </c>
      <c r="C11" s="959"/>
      <c r="D11" s="959"/>
      <c r="E11" s="959"/>
      <c r="F11" s="960"/>
      <c r="G11" s="955" t="s">
        <v>21</v>
      </c>
      <c r="H11" s="956"/>
      <c r="I11" s="957"/>
      <c r="J11" s="942">
        <v>3</v>
      </c>
      <c r="K11" s="944"/>
      <c r="L11" s="950">
        <v>1</v>
      </c>
      <c r="M11" s="951"/>
      <c r="N11" s="942">
        <v>7</v>
      </c>
      <c r="O11" s="944"/>
      <c r="P11" s="945">
        <v>12</v>
      </c>
      <c r="Q11" s="947"/>
      <c r="R11" s="942">
        <v>19</v>
      </c>
      <c r="S11" s="944"/>
      <c r="T11" s="942">
        <v>1</v>
      </c>
      <c r="U11" s="944"/>
      <c r="V11" s="952">
        <v>7</v>
      </c>
      <c r="W11" s="953"/>
      <c r="X11" s="954"/>
      <c r="Y11" s="952">
        <v>6</v>
      </c>
      <c r="Z11" s="954"/>
      <c r="AA11" s="942">
        <v>13</v>
      </c>
      <c r="AB11" s="944"/>
      <c r="AC11" s="942">
        <v>1</v>
      </c>
      <c r="AD11" s="944"/>
      <c r="AE11" s="942">
        <v>11</v>
      </c>
      <c r="AF11" s="944"/>
      <c r="AG11" s="945">
        <v>6</v>
      </c>
      <c r="AH11" s="947"/>
      <c r="AI11" s="942">
        <v>17</v>
      </c>
      <c r="AJ11" s="944"/>
      <c r="AK11" s="942">
        <v>3</v>
      </c>
      <c r="AL11" s="944"/>
      <c r="AM11" s="942">
        <v>25</v>
      </c>
      <c r="AN11" s="944"/>
      <c r="AO11" s="942">
        <v>24</v>
      </c>
      <c r="AP11" s="943"/>
      <c r="AQ11" s="943"/>
      <c r="AR11" s="944"/>
      <c r="AS11" s="942">
        <v>49</v>
      </c>
      <c r="AT11" s="943"/>
      <c r="AU11" s="944"/>
      <c r="AV11" s="92">
        <v>1</v>
      </c>
      <c r="AW11" s="945">
        <v>6</v>
      </c>
      <c r="AX11" s="947"/>
      <c r="AY11" s="945">
        <v>7</v>
      </c>
      <c r="AZ11" s="947"/>
      <c r="BA11" s="91">
        <v>13</v>
      </c>
      <c r="BB11" s="942">
        <v>1</v>
      </c>
      <c r="BC11" s="944"/>
      <c r="BD11" s="942">
        <v>6</v>
      </c>
      <c r="BE11" s="944"/>
      <c r="BF11" s="942">
        <v>4</v>
      </c>
      <c r="BG11" s="943"/>
      <c r="BH11" s="944"/>
      <c r="BI11" s="945">
        <v>10</v>
      </c>
      <c r="BJ11" s="947"/>
      <c r="BK11" s="945">
        <v>1</v>
      </c>
      <c r="BL11" s="947"/>
      <c r="BM11" s="945">
        <v>3</v>
      </c>
      <c r="BN11" s="946"/>
      <c r="BO11" s="947"/>
      <c r="BP11" s="942">
        <v>3</v>
      </c>
      <c r="BQ11" s="944"/>
      <c r="BR11" s="942">
        <v>6</v>
      </c>
      <c r="BS11" s="944"/>
      <c r="BT11" s="942">
        <v>3</v>
      </c>
      <c r="BU11" s="944"/>
      <c r="BV11" s="942">
        <v>15</v>
      </c>
      <c r="BW11" s="943"/>
      <c r="BX11" s="944"/>
      <c r="BY11" s="945">
        <v>14</v>
      </c>
      <c r="BZ11" s="947"/>
      <c r="CA11" s="950">
        <v>29</v>
      </c>
      <c r="CB11" s="1059"/>
      <c r="CC11" s="951"/>
      <c r="CD11" s="942">
        <v>6</v>
      </c>
      <c r="CE11" s="943"/>
      <c r="CF11" s="944"/>
      <c r="CG11" s="945">
        <v>40</v>
      </c>
      <c r="CH11" s="946"/>
      <c r="CI11" s="947"/>
      <c r="CJ11" s="950">
        <v>38</v>
      </c>
      <c r="CK11" s="1059"/>
      <c r="CL11" s="951"/>
      <c r="CM11" s="942">
        <v>78</v>
      </c>
      <c r="CN11" s="943"/>
      <c r="CO11" s="944"/>
      <c r="CP11" s="942">
        <v>3</v>
      </c>
      <c r="CQ11" s="943"/>
      <c r="CR11" s="944"/>
      <c r="CS11" s="950">
        <v>7</v>
      </c>
      <c r="CT11" s="1059"/>
      <c r="CU11" s="951"/>
      <c r="CV11" s="945">
        <v>10</v>
      </c>
      <c r="CW11" s="947"/>
      <c r="CX11" s="955" t="s">
        <v>35</v>
      </c>
      <c r="CY11" s="956"/>
      <c r="CZ11" s="956"/>
      <c r="DA11" s="956"/>
      <c r="DB11" s="239">
        <f t="shared" si="0"/>
        <v>90000</v>
      </c>
    </row>
    <row r="12" spans="1:106" ht="26.25">
      <c r="A12" s="238">
        <v>6</v>
      </c>
      <c r="B12" s="958" t="s">
        <v>288</v>
      </c>
      <c r="C12" s="959"/>
      <c r="D12" s="959"/>
      <c r="E12" s="959"/>
      <c r="F12" s="960"/>
      <c r="G12" s="955" t="s">
        <v>21</v>
      </c>
      <c r="H12" s="956"/>
      <c r="I12" s="957"/>
      <c r="J12" s="942">
        <v>8</v>
      </c>
      <c r="K12" s="944"/>
      <c r="L12" s="950">
        <v>1</v>
      </c>
      <c r="M12" s="951"/>
      <c r="N12" s="942">
        <v>40</v>
      </c>
      <c r="O12" s="944"/>
      <c r="P12" s="945">
        <v>40</v>
      </c>
      <c r="Q12" s="947"/>
      <c r="R12" s="942">
        <v>80</v>
      </c>
      <c r="S12" s="944"/>
      <c r="T12" s="942">
        <v>1</v>
      </c>
      <c r="U12" s="944"/>
      <c r="V12" s="945">
        <v>25</v>
      </c>
      <c r="W12" s="946"/>
      <c r="X12" s="947"/>
      <c r="Y12" s="945">
        <v>27</v>
      </c>
      <c r="Z12" s="947"/>
      <c r="AA12" s="942">
        <v>52</v>
      </c>
      <c r="AB12" s="944"/>
      <c r="AC12" s="942">
        <v>1</v>
      </c>
      <c r="AD12" s="944"/>
      <c r="AE12" s="942">
        <v>27</v>
      </c>
      <c r="AF12" s="944"/>
      <c r="AG12" s="945">
        <v>25</v>
      </c>
      <c r="AH12" s="947"/>
      <c r="AI12" s="942">
        <v>52</v>
      </c>
      <c r="AJ12" s="944"/>
      <c r="AK12" s="942">
        <v>3</v>
      </c>
      <c r="AL12" s="944"/>
      <c r="AM12" s="942">
        <v>92</v>
      </c>
      <c r="AN12" s="944"/>
      <c r="AO12" s="942">
        <v>92</v>
      </c>
      <c r="AP12" s="943"/>
      <c r="AQ12" s="943"/>
      <c r="AR12" s="944"/>
      <c r="AS12" s="942">
        <v>184</v>
      </c>
      <c r="AT12" s="943"/>
      <c r="AU12" s="944"/>
      <c r="AV12" s="92">
        <v>1</v>
      </c>
      <c r="AW12" s="945">
        <v>17</v>
      </c>
      <c r="AX12" s="947"/>
      <c r="AY12" s="945">
        <v>16</v>
      </c>
      <c r="AZ12" s="947"/>
      <c r="BA12" s="91">
        <v>33</v>
      </c>
      <c r="BB12" s="942">
        <v>1</v>
      </c>
      <c r="BC12" s="944"/>
      <c r="BD12" s="942">
        <v>12</v>
      </c>
      <c r="BE12" s="944"/>
      <c r="BF12" s="942">
        <v>13</v>
      </c>
      <c r="BG12" s="943"/>
      <c r="BH12" s="944"/>
      <c r="BI12" s="945">
        <v>25</v>
      </c>
      <c r="BJ12" s="947"/>
      <c r="BK12" s="945">
        <v>1</v>
      </c>
      <c r="BL12" s="947"/>
      <c r="BM12" s="945">
        <v>12</v>
      </c>
      <c r="BN12" s="946"/>
      <c r="BO12" s="947"/>
      <c r="BP12" s="942">
        <v>18</v>
      </c>
      <c r="BQ12" s="944"/>
      <c r="BR12" s="942">
        <v>30</v>
      </c>
      <c r="BS12" s="944"/>
      <c r="BT12" s="942">
        <v>3</v>
      </c>
      <c r="BU12" s="944"/>
      <c r="BV12" s="942">
        <v>41</v>
      </c>
      <c r="BW12" s="943"/>
      <c r="BX12" s="944"/>
      <c r="BY12" s="945">
        <v>47</v>
      </c>
      <c r="BZ12" s="947"/>
      <c r="CA12" s="950">
        <v>88</v>
      </c>
      <c r="CB12" s="1059"/>
      <c r="CC12" s="951"/>
      <c r="CD12" s="942">
        <v>6</v>
      </c>
      <c r="CE12" s="943"/>
      <c r="CF12" s="944"/>
      <c r="CG12" s="945">
        <v>133</v>
      </c>
      <c r="CH12" s="946"/>
      <c r="CI12" s="947"/>
      <c r="CJ12" s="950">
        <v>139</v>
      </c>
      <c r="CK12" s="1059"/>
      <c r="CL12" s="951"/>
      <c r="CM12" s="942">
        <v>272</v>
      </c>
      <c r="CN12" s="943"/>
      <c r="CO12" s="944"/>
      <c r="CP12" s="942">
        <v>9</v>
      </c>
      <c r="CQ12" s="943"/>
      <c r="CR12" s="944"/>
      <c r="CS12" s="950">
        <v>3</v>
      </c>
      <c r="CT12" s="1059"/>
      <c r="CU12" s="951"/>
      <c r="CV12" s="945">
        <v>12</v>
      </c>
      <c r="CW12" s="947"/>
      <c r="CX12" s="955" t="s">
        <v>35</v>
      </c>
      <c r="CY12" s="956"/>
      <c r="CZ12" s="956"/>
      <c r="DA12" s="956"/>
      <c r="DB12" s="239">
        <f t="shared" si="0"/>
        <v>90000</v>
      </c>
    </row>
    <row r="13" spans="1:106" ht="26.25">
      <c r="A13" s="238">
        <v>7</v>
      </c>
      <c r="B13" s="958" t="s">
        <v>289</v>
      </c>
      <c r="C13" s="959"/>
      <c r="D13" s="959"/>
      <c r="E13" s="959"/>
      <c r="F13" s="960"/>
      <c r="G13" s="955" t="s">
        <v>21</v>
      </c>
      <c r="H13" s="956"/>
      <c r="I13" s="957"/>
      <c r="J13" s="942">
        <v>2</v>
      </c>
      <c r="K13" s="944"/>
      <c r="L13" s="950">
        <v>2</v>
      </c>
      <c r="M13" s="951"/>
      <c r="N13" s="942">
        <v>48</v>
      </c>
      <c r="O13" s="944"/>
      <c r="P13" s="945">
        <v>52</v>
      </c>
      <c r="Q13" s="947"/>
      <c r="R13" s="942">
        <v>100</v>
      </c>
      <c r="S13" s="944"/>
      <c r="T13" s="942">
        <v>2</v>
      </c>
      <c r="U13" s="944"/>
      <c r="V13" s="945">
        <v>47</v>
      </c>
      <c r="W13" s="946"/>
      <c r="X13" s="947"/>
      <c r="Y13" s="945">
        <v>66</v>
      </c>
      <c r="Z13" s="947"/>
      <c r="AA13" s="942">
        <v>113</v>
      </c>
      <c r="AB13" s="944"/>
      <c r="AC13" s="942">
        <v>2</v>
      </c>
      <c r="AD13" s="944"/>
      <c r="AE13" s="942">
        <v>50</v>
      </c>
      <c r="AF13" s="944"/>
      <c r="AG13" s="945">
        <v>60</v>
      </c>
      <c r="AH13" s="947"/>
      <c r="AI13" s="942">
        <v>110</v>
      </c>
      <c r="AJ13" s="944"/>
      <c r="AK13" s="942">
        <v>6</v>
      </c>
      <c r="AL13" s="944"/>
      <c r="AM13" s="942">
        <v>145</v>
      </c>
      <c r="AN13" s="944"/>
      <c r="AO13" s="942">
        <v>178</v>
      </c>
      <c r="AP13" s="943"/>
      <c r="AQ13" s="943"/>
      <c r="AR13" s="944"/>
      <c r="AS13" s="942">
        <v>323</v>
      </c>
      <c r="AT13" s="943"/>
      <c r="AU13" s="944"/>
      <c r="AV13" s="92">
        <v>2</v>
      </c>
      <c r="AW13" s="945">
        <v>50</v>
      </c>
      <c r="AX13" s="947"/>
      <c r="AY13" s="945">
        <v>62</v>
      </c>
      <c r="AZ13" s="947"/>
      <c r="BA13" s="91">
        <v>112</v>
      </c>
      <c r="BB13" s="942">
        <v>2</v>
      </c>
      <c r="BC13" s="944"/>
      <c r="BD13" s="942">
        <v>30</v>
      </c>
      <c r="BE13" s="944"/>
      <c r="BF13" s="942">
        <v>39</v>
      </c>
      <c r="BG13" s="943"/>
      <c r="BH13" s="944"/>
      <c r="BI13" s="945">
        <v>69</v>
      </c>
      <c r="BJ13" s="947"/>
      <c r="BK13" s="945">
        <v>2</v>
      </c>
      <c r="BL13" s="947"/>
      <c r="BM13" s="945">
        <v>28</v>
      </c>
      <c r="BN13" s="946"/>
      <c r="BO13" s="947"/>
      <c r="BP13" s="942">
        <v>23</v>
      </c>
      <c r="BQ13" s="944"/>
      <c r="BR13" s="942">
        <v>51</v>
      </c>
      <c r="BS13" s="944"/>
      <c r="BT13" s="942">
        <v>6</v>
      </c>
      <c r="BU13" s="944"/>
      <c r="BV13" s="942">
        <v>108</v>
      </c>
      <c r="BW13" s="943"/>
      <c r="BX13" s="944"/>
      <c r="BY13" s="945">
        <v>124</v>
      </c>
      <c r="BZ13" s="947"/>
      <c r="CA13" s="950">
        <v>232</v>
      </c>
      <c r="CB13" s="1059"/>
      <c r="CC13" s="951"/>
      <c r="CD13" s="942">
        <v>12</v>
      </c>
      <c r="CE13" s="943"/>
      <c r="CF13" s="944"/>
      <c r="CG13" s="945">
        <v>253</v>
      </c>
      <c r="CH13" s="946"/>
      <c r="CI13" s="947"/>
      <c r="CJ13" s="950">
        <v>302</v>
      </c>
      <c r="CK13" s="1059"/>
      <c r="CL13" s="951"/>
      <c r="CM13" s="942">
        <v>555</v>
      </c>
      <c r="CN13" s="943"/>
      <c r="CO13" s="944"/>
      <c r="CP13" s="942">
        <v>15</v>
      </c>
      <c r="CQ13" s="943"/>
      <c r="CR13" s="944"/>
      <c r="CS13" s="950">
        <v>4</v>
      </c>
      <c r="CT13" s="1059"/>
      <c r="CU13" s="951"/>
      <c r="CV13" s="945">
        <v>19</v>
      </c>
      <c r="CW13" s="947"/>
      <c r="CX13" s="955" t="s">
        <v>35</v>
      </c>
      <c r="CY13" s="956"/>
      <c r="CZ13" s="956"/>
      <c r="DA13" s="956"/>
      <c r="DB13" s="239">
        <f t="shared" si="0"/>
        <v>90000</v>
      </c>
    </row>
    <row r="14" spans="1:106" ht="24" customHeight="1">
      <c r="A14" s="238">
        <v>8</v>
      </c>
      <c r="B14" s="958" t="s">
        <v>290</v>
      </c>
      <c r="C14" s="959"/>
      <c r="D14" s="959"/>
      <c r="E14" s="959"/>
      <c r="F14" s="960"/>
      <c r="G14" s="958" t="s">
        <v>283</v>
      </c>
      <c r="H14" s="959"/>
      <c r="I14" s="960"/>
      <c r="J14" s="942">
        <v>5</v>
      </c>
      <c r="K14" s="944"/>
      <c r="L14" s="950">
        <v>1</v>
      </c>
      <c r="M14" s="951"/>
      <c r="N14" s="942">
        <v>25</v>
      </c>
      <c r="O14" s="944"/>
      <c r="P14" s="945">
        <v>19</v>
      </c>
      <c r="Q14" s="947"/>
      <c r="R14" s="942">
        <v>44</v>
      </c>
      <c r="S14" s="944"/>
      <c r="T14" s="942">
        <v>1</v>
      </c>
      <c r="U14" s="944"/>
      <c r="V14" s="952">
        <v>7</v>
      </c>
      <c r="W14" s="953"/>
      <c r="X14" s="954"/>
      <c r="Y14" s="952">
        <v>3</v>
      </c>
      <c r="Z14" s="954"/>
      <c r="AA14" s="942">
        <v>10</v>
      </c>
      <c r="AB14" s="944"/>
      <c r="AC14" s="942">
        <v>1</v>
      </c>
      <c r="AD14" s="944"/>
      <c r="AE14" s="942">
        <v>5</v>
      </c>
      <c r="AF14" s="944"/>
      <c r="AG14" s="945">
        <v>8</v>
      </c>
      <c r="AH14" s="947"/>
      <c r="AI14" s="942">
        <v>13</v>
      </c>
      <c r="AJ14" s="944"/>
      <c r="AK14" s="942">
        <v>3</v>
      </c>
      <c r="AL14" s="944"/>
      <c r="AM14" s="942">
        <v>37</v>
      </c>
      <c r="AN14" s="944"/>
      <c r="AO14" s="942">
        <v>30</v>
      </c>
      <c r="AP14" s="943"/>
      <c r="AQ14" s="943"/>
      <c r="AR14" s="944"/>
      <c r="AS14" s="942">
        <v>67</v>
      </c>
      <c r="AT14" s="943"/>
      <c r="AU14" s="944"/>
      <c r="AV14" s="92">
        <v>1</v>
      </c>
      <c r="AW14" s="945">
        <v>3</v>
      </c>
      <c r="AX14" s="947"/>
      <c r="AY14" s="945">
        <v>3</v>
      </c>
      <c r="AZ14" s="947"/>
      <c r="BA14" s="91">
        <v>6</v>
      </c>
      <c r="BB14" s="942">
        <v>1</v>
      </c>
      <c r="BC14" s="944"/>
      <c r="BD14" s="942">
        <v>6</v>
      </c>
      <c r="BE14" s="944"/>
      <c r="BF14" s="942">
        <v>4</v>
      </c>
      <c r="BG14" s="943"/>
      <c r="BH14" s="944"/>
      <c r="BI14" s="945">
        <v>10</v>
      </c>
      <c r="BJ14" s="947"/>
      <c r="BK14" s="945">
        <v>1</v>
      </c>
      <c r="BL14" s="947"/>
      <c r="BM14" s="945">
        <v>9</v>
      </c>
      <c r="BN14" s="946"/>
      <c r="BO14" s="947"/>
      <c r="BP14" s="942">
        <v>1</v>
      </c>
      <c r="BQ14" s="944"/>
      <c r="BR14" s="942">
        <v>10</v>
      </c>
      <c r="BS14" s="944"/>
      <c r="BT14" s="942">
        <v>3</v>
      </c>
      <c r="BU14" s="944"/>
      <c r="BV14" s="942">
        <v>18</v>
      </c>
      <c r="BW14" s="943"/>
      <c r="BX14" s="944"/>
      <c r="BY14" s="952">
        <v>8</v>
      </c>
      <c r="BZ14" s="954"/>
      <c r="CA14" s="950">
        <v>26</v>
      </c>
      <c r="CB14" s="1059"/>
      <c r="CC14" s="951"/>
      <c r="CD14" s="942">
        <v>6</v>
      </c>
      <c r="CE14" s="943"/>
      <c r="CF14" s="944"/>
      <c r="CG14" s="945">
        <v>55</v>
      </c>
      <c r="CH14" s="946"/>
      <c r="CI14" s="947"/>
      <c r="CJ14" s="950">
        <v>38</v>
      </c>
      <c r="CK14" s="1059"/>
      <c r="CL14" s="951"/>
      <c r="CM14" s="942">
        <v>93</v>
      </c>
      <c r="CN14" s="943"/>
      <c r="CO14" s="944"/>
      <c r="CP14" s="942">
        <v>8</v>
      </c>
      <c r="CQ14" s="943"/>
      <c r="CR14" s="944"/>
      <c r="CS14" s="950">
        <v>6</v>
      </c>
      <c r="CT14" s="1059"/>
      <c r="CU14" s="951"/>
      <c r="CV14" s="945">
        <v>14</v>
      </c>
      <c r="CW14" s="947"/>
      <c r="CX14" s="955" t="s">
        <v>35</v>
      </c>
      <c r="CY14" s="956"/>
      <c r="CZ14" s="956"/>
      <c r="DA14" s="956"/>
      <c r="DB14" s="239">
        <f t="shared" si="0"/>
        <v>90000</v>
      </c>
    </row>
    <row r="15" spans="1:106" ht="75" customHeight="1">
      <c r="A15" s="238">
        <v>9</v>
      </c>
      <c r="B15" s="958" t="s">
        <v>291</v>
      </c>
      <c r="C15" s="959"/>
      <c r="D15" s="959"/>
      <c r="E15" s="959"/>
      <c r="F15" s="960"/>
      <c r="G15" s="1077" t="s">
        <v>283</v>
      </c>
      <c r="H15" s="1078"/>
      <c r="I15" s="1079"/>
      <c r="J15" s="966">
        <v>5</v>
      </c>
      <c r="K15" s="968"/>
      <c r="L15" s="1073">
        <v>1</v>
      </c>
      <c r="M15" s="1075"/>
      <c r="N15" s="966">
        <v>3</v>
      </c>
      <c r="O15" s="968"/>
      <c r="P15" s="1070">
        <v>2</v>
      </c>
      <c r="Q15" s="1071"/>
      <c r="R15" s="966">
        <v>5</v>
      </c>
      <c r="S15" s="968"/>
      <c r="T15" s="966">
        <v>1</v>
      </c>
      <c r="U15" s="968"/>
      <c r="V15" s="1070">
        <v>6</v>
      </c>
      <c r="W15" s="1072"/>
      <c r="X15" s="1071"/>
      <c r="Y15" s="1070">
        <v>7</v>
      </c>
      <c r="Z15" s="1071"/>
      <c r="AA15" s="966">
        <v>13</v>
      </c>
      <c r="AB15" s="968"/>
      <c r="AC15" s="966">
        <v>1</v>
      </c>
      <c r="AD15" s="968"/>
      <c r="AE15" s="966">
        <v>5</v>
      </c>
      <c r="AF15" s="968"/>
      <c r="AG15" s="974">
        <v>5</v>
      </c>
      <c r="AH15" s="976"/>
      <c r="AI15" s="966">
        <v>10</v>
      </c>
      <c r="AJ15" s="968"/>
      <c r="AK15" s="966">
        <v>3</v>
      </c>
      <c r="AL15" s="968"/>
      <c r="AM15" s="966">
        <v>14</v>
      </c>
      <c r="AN15" s="968"/>
      <c r="AO15" s="966">
        <v>14</v>
      </c>
      <c r="AP15" s="967"/>
      <c r="AQ15" s="967"/>
      <c r="AR15" s="968"/>
      <c r="AS15" s="966">
        <v>28</v>
      </c>
      <c r="AT15" s="967"/>
      <c r="AU15" s="968"/>
      <c r="AV15" s="108">
        <v>0</v>
      </c>
      <c r="AW15" s="974">
        <v>0</v>
      </c>
      <c r="AX15" s="976"/>
      <c r="AY15" s="974">
        <v>0</v>
      </c>
      <c r="AZ15" s="976"/>
      <c r="BA15" s="109">
        <v>0</v>
      </c>
      <c r="BB15" s="966">
        <v>0</v>
      </c>
      <c r="BC15" s="968"/>
      <c r="BD15" s="966">
        <v>0</v>
      </c>
      <c r="BE15" s="968"/>
      <c r="BF15" s="966">
        <v>0</v>
      </c>
      <c r="BG15" s="967"/>
      <c r="BH15" s="968"/>
      <c r="BI15" s="1070">
        <v>0</v>
      </c>
      <c r="BJ15" s="1071"/>
      <c r="BK15" s="974">
        <v>0</v>
      </c>
      <c r="BL15" s="976"/>
      <c r="BM15" s="974">
        <v>0</v>
      </c>
      <c r="BN15" s="975"/>
      <c r="BO15" s="976"/>
      <c r="BP15" s="966">
        <v>0</v>
      </c>
      <c r="BQ15" s="968"/>
      <c r="BR15" s="966">
        <v>0</v>
      </c>
      <c r="BS15" s="968"/>
      <c r="BT15" s="966">
        <v>0</v>
      </c>
      <c r="BU15" s="968"/>
      <c r="BV15" s="966">
        <v>0</v>
      </c>
      <c r="BW15" s="967"/>
      <c r="BX15" s="968"/>
      <c r="BY15" s="1070">
        <v>0</v>
      </c>
      <c r="BZ15" s="1071"/>
      <c r="CA15" s="1073">
        <v>0</v>
      </c>
      <c r="CB15" s="1074"/>
      <c r="CC15" s="1075"/>
      <c r="CD15" s="942">
        <v>3</v>
      </c>
      <c r="CE15" s="943"/>
      <c r="CF15" s="944"/>
      <c r="CG15" s="945">
        <v>14</v>
      </c>
      <c r="CH15" s="946"/>
      <c r="CI15" s="947"/>
      <c r="CJ15" s="950">
        <v>14</v>
      </c>
      <c r="CK15" s="1059"/>
      <c r="CL15" s="951"/>
      <c r="CM15" s="942">
        <v>28</v>
      </c>
      <c r="CN15" s="943"/>
      <c r="CO15" s="944"/>
      <c r="CP15" s="966">
        <v>12</v>
      </c>
      <c r="CQ15" s="967"/>
      <c r="CR15" s="968"/>
      <c r="CS15" s="1073">
        <v>11</v>
      </c>
      <c r="CT15" s="1074"/>
      <c r="CU15" s="1075"/>
      <c r="CV15" s="974">
        <v>23</v>
      </c>
      <c r="CW15" s="976"/>
      <c r="CX15" s="969" t="s">
        <v>35</v>
      </c>
      <c r="CY15" s="970"/>
      <c r="CZ15" s="970"/>
      <c r="DA15" s="1076"/>
      <c r="DB15" s="239">
        <f t="shared" si="0"/>
        <v>90000</v>
      </c>
    </row>
    <row r="16" spans="1:106" ht="26.25">
      <c r="A16" s="308"/>
      <c r="B16" s="1023" t="s">
        <v>420</v>
      </c>
      <c r="C16" s="1066"/>
      <c r="D16" s="1066"/>
      <c r="E16" s="1066"/>
      <c r="F16" s="712"/>
      <c r="G16" s="1067"/>
      <c r="H16" s="1068"/>
      <c r="I16" s="1069"/>
      <c r="J16" s="1067"/>
      <c r="K16" s="1069"/>
      <c r="L16" s="1060">
        <v>14</v>
      </c>
      <c r="M16" s="1062"/>
      <c r="N16" s="948">
        <v>443</v>
      </c>
      <c r="O16" s="1057"/>
      <c r="P16" s="1054">
        <v>421</v>
      </c>
      <c r="Q16" s="1055"/>
      <c r="R16" s="948">
        <v>864</v>
      </c>
      <c r="S16" s="1057"/>
      <c r="T16" s="948">
        <v>15</v>
      </c>
      <c r="U16" s="1057"/>
      <c r="V16" s="1054">
        <v>386</v>
      </c>
      <c r="W16" s="1056"/>
      <c r="X16" s="1055"/>
      <c r="Y16" s="1054">
        <v>359</v>
      </c>
      <c r="Z16" s="1055"/>
      <c r="AA16" s="948">
        <v>745</v>
      </c>
      <c r="AB16" s="1057"/>
      <c r="AC16" s="948">
        <v>14</v>
      </c>
      <c r="AD16" s="1057"/>
      <c r="AE16" s="948">
        <v>330</v>
      </c>
      <c r="AF16" s="1057"/>
      <c r="AG16" s="1054">
        <v>321</v>
      </c>
      <c r="AH16" s="1055"/>
      <c r="AI16" s="948">
        <v>651</v>
      </c>
      <c r="AJ16" s="1057"/>
      <c r="AK16" s="948">
        <v>43</v>
      </c>
      <c r="AL16" s="1057"/>
      <c r="AM16" s="948">
        <v>1159</v>
      </c>
      <c r="AN16" s="1057"/>
      <c r="AO16" s="948">
        <v>1101</v>
      </c>
      <c r="AP16" s="949"/>
      <c r="AQ16" s="949"/>
      <c r="AR16" s="1057"/>
      <c r="AS16" s="948">
        <v>2260</v>
      </c>
      <c r="AT16" s="949"/>
      <c r="AU16" s="1057"/>
      <c r="AV16" s="110">
        <v>14</v>
      </c>
      <c r="AW16" s="1054">
        <v>271</v>
      </c>
      <c r="AX16" s="1055"/>
      <c r="AY16" s="1054">
        <v>250</v>
      </c>
      <c r="AZ16" s="1055"/>
      <c r="BA16" s="111">
        <v>521</v>
      </c>
      <c r="BB16" s="948">
        <v>14</v>
      </c>
      <c r="BC16" s="1057"/>
      <c r="BD16" s="948">
        <v>214</v>
      </c>
      <c r="BE16" s="1057"/>
      <c r="BF16" s="948">
        <v>207</v>
      </c>
      <c r="BG16" s="949"/>
      <c r="BH16" s="1057"/>
      <c r="BI16" s="1054">
        <v>421</v>
      </c>
      <c r="BJ16" s="1055"/>
      <c r="BK16" s="1054">
        <v>14</v>
      </c>
      <c r="BL16" s="1055"/>
      <c r="BM16" s="1054">
        <v>167</v>
      </c>
      <c r="BN16" s="1056"/>
      <c r="BO16" s="1055"/>
      <c r="BP16" s="948">
        <v>144</v>
      </c>
      <c r="BQ16" s="1057"/>
      <c r="BR16" s="948">
        <v>311</v>
      </c>
      <c r="BS16" s="1057"/>
      <c r="BT16" s="948">
        <v>42</v>
      </c>
      <c r="BU16" s="1057"/>
      <c r="BV16" s="948">
        <v>652</v>
      </c>
      <c r="BW16" s="949"/>
      <c r="BX16" s="1057"/>
      <c r="BY16" s="1054">
        <v>601</v>
      </c>
      <c r="BZ16" s="1055"/>
      <c r="CA16" s="1060">
        <v>1253</v>
      </c>
      <c r="CB16" s="1061"/>
      <c r="CC16" s="1062"/>
      <c r="CD16" s="948">
        <v>85</v>
      </c>
      <c r="CE16" s="949"/>
      <c r="CF16" s="1057"/>
      <c r="CG16" s="1054">
        <v>1811</v>
      </c>
      <c r="CH16" s="1056"/>
      <c r="CI16" s="1055"/>
      <c r="CJ16" s="1060">
        <v>1702</v>
      </c>
      <c r="CK16" s="1061"/>
      <c r="CL16" s="1062"/>
      <c r="CM16" s="948">
        <v>3513</v>
      </c>
      <c r="CN16" s="949"/>
      <c r="CO16" s="1057"/>
      <c r="CP16" s="942">
        <v>80</v>
      </c>
      <c r="CQ16" s="943"/>
      <c r="CR16" s="944"/>
      <c r="CS16" s="950">
        <v>63</v>
      </c>
      <c r="CT16" s="1059"/>
      <c r="CU16" s="951"/>
      <c r="CV16" s="945">
        <v>143</v>
      </c>
      <c r="CW16" s="947"/>
      <c r="CX16" s="948">
        <v>9</v>
      </c>
      <c r="CY16" s="949"/>
      <c r="CZ16" s="949"/>
      <c r="DA16" s="949"/>
      <c r="DB16" s="239">
        <f>SUM(DB7:DB15)</f>
        <v>810000</v>
      </c>
    </row>
    <row r="17" spans="1:106" ht="51.75" customHeight="1">
      <c r="A17" s="1107"/>
      <c r="B17" s="1106"/>
      <c r="C17" s="1106"/>
      <c r="D17" s="1106"/>
      <c r="E17" s="1106"/>
      <c r="F17" s="1106"/>
      <c r="G17" s="1109">
        <v>9</v>
      </c>
      <c r="H17" s="1109"/>
      <c r="I17" s="1109"/>
      <c r="J17" s="1065" t="s">
        <v>516</v>
      </c>
      <c r="K17" s="1065"/>
      <c r="L17" s="1065"/>
      <c r="M17" s="1065"/>
      <c r="N17" s="1065"/>
      <c r="O17" s="1065"/>
      <c r="P17" s="1065"/>
      <c r="Q17" s="1065"/>
      <c r="R17" s="1065"/>
      <c r="S17" s="1065"/>
      <c r="T17" s="1065"/>
      <c r="U17" s="1065"/>
      <c r="V17" s="1065"/>
      <c r="W17" s="1065"/>
      <c r="X17" s="1065"/>
      <c r="Y17" s="1065"/>
      <c r="Z17" s="1065"/>
      <c r="AA17" s="1065"/>
      <c r="AB17" s="1065"/>
      <c r="AC17" s="1065"/>
      <c r="AD17" s="1065"/>
      <c r="AE17" s="1065"/>
      <c r="AF17" s="1065"/>
      <c r="AG17" s="1065"/>
      <c r="AH17" s="1065"/>
      <c r="AI17" s="1065"/>
      <c r="AJ17" s="1065"/>
      <c r="AK17" s="1065"/>
      <c r="AL17" s="1065"/>
      <c r="AM17" s="1065"/>
      <c r="AN17" s="1065"/>
      <c r="AO17" s="1065"/>
      <c r="AP17" s="1065"/>
      <c r="AQ17" s="1065"/>
      <c r="AR17" s="1065"/>
      <c r="AS17" s="1065"/>
      <c r="AT17" s="1065"/>
      <c r="AU17" s="1065"/>
      <c r="AV17" s="1065"/>
      <c r="AW17" s="1065"/>
      <c r="AX17" s="1065"/>
      <c r="AY17" s="1065"/>
      <c r="AZ17" s="1065"/>
      <c r="BA17" s="1065"/>
      <c r="BB17" s="1065"/>
      <c r="BC17" s="1065"/>
      <c r="BD17" s="1065"/>
      <c r="BE17" s="1065"/>
      <c r="BF17" s="1065"/>
      <c r="BG17" s="1065"/>
      <c r="BH17" s="1065"/>
      <c r="BI17" s="1065"/>
      <c r="BJ17" s="1065"/>
      <c r="BK17" s="1065"/>
      <c r="BL17" s="1065"/>
      <c r="BM17" s="1065"/>
      <c r="BN17" s="1065"/>
      <c r="BO17" s="1065"/>
      <c r="BP17" s="1065"/>
      <c r="BQ17" s="1065"/>
      <c r="BR17" s="1065"/>
      <c r="BS17" s="1065"/>
      <c r="BT17" s="1065"/>
      <c r="BU17" s="1065"/>
      <c r="BV17" s="1065"/>
      <c r="BW17" s="1065"/>
      <c r="BX17" s="1065"/>
      <c r="BY17" s="1065"/>
      <c r="BZ17" s="1065"/>
      <c r="CA17" s="1065"/>
      <c r="CB17" s="1065"/>
      <c r="CC17" s="1065"/>
      <c r="CD17" s="1065"/>
      <c r="CE17" s="1065"/>
      <c r="CF17" s="1065"/>
      <c r="CG17" s="1065"/>
      <c r="CH17" s="1065"/>
      <c r="CI17" s="1065"/>
      <c r="CJ17" s="1065"/>
      <c r="CK17" s="1065"/>
      <c r="CL17" s="1065"/>
      <c r="CM17" s="1065"/>
      <c r="CN17" s="1065"/>
      <c r="CO17" s="1065"/>
      <c r="CP17" s="943">
        <v>12</v>
      </c>
      <c r="CQ17" s="943"/>
      <c r="CR17" s="944"/>
      <c r="CS17" s="950">
        <v>11</v>
      </c>
      <c r="CT17" s="1059"/>
      <c r="CU17" s="951"/>
      <c r="CV17" s="945">
        <v>23</v>
      </c>
      <c r="CW17" s="947"/>
      <c r="CX17" s="1063"/>
      <c r="CY17" s="1064"/>
      <c r="CZ17" s="1064"/>
      <c r="DA17" s="1064"/>
      <c r="DB17" s="239">
        <f>CM16*20</f>
        <v>70260</v>
      </c>
    </row>
    <row r="18" spans="1:106" ht="72.75" customHeight="1" thickBot="1">
      <c r="A18" s="1108"/>
      <c r="B18" s="309"/>
      <c r="C18" s="310"/>
      <c r="D18" s="310"/>
      <c r="E18" s="310"/>
      <c r="F18" s="310"/>
      <c r="G18" s="311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12"/>
      <c r="AZ18" s="312"/>
      <c r="BA18" s="312"/>
      <c r="BB18" s="312"/>
      <c r="BC18" s="312"/>
      <c r="BD18" s="312"/>
      <c r="BE18" s="312"/>
      <c r="BF18" s="312"/>
      <c r="BG18" s="312"/>
      <c r="BH18" s="312"/>
      <c r="BI18" s="312"/>
      <c r="BJ18" s="312"/>
      <c r="BK18" s="312"/>
      <c r="BL18" s="312"/>
      <c r="BM18" s="312"/>
      <c r="BN18" s="312"/>
      <c r="BO18" s="312"/>
      <c r="BP18" s="312"/>
      <c r="BQ18" s="312"/>
      <c r="BR18" s="312"/>
      <c r="BS18" s="312"/>
      <c r="BT18" s="312"/>
      <c r="BU18" s="312"/>
      <c r="BV18" s="312"/>
      <c r="BW18" s="312"/>
      <c r="BX18" s="312"/>
      <c r="BY18" s="312"/>
      <c r="BZ18" s="312"/>
      <c r="CA18" s="312"/>
      <c r="CB18" s="312"/>
      <c r="CC18" s="312"/>
      <c r="CD18" s="1058" t="s">
        <v>424</v>
      </c>
      <c r="CE18" s="1058"/>
      <c r="CF18" s="1058"/>
      <c r="CG18" s="1058"/>
      <c r="CH18" s="1058"/>
      <c r="CI18" s="1058"/>
      <c r="CJ18" s="1058"/>
      <c r="CK18" s="1058"/>
      <c r="CL18" s="1058"/>
      <c r="CM18" s="1058"/>
      <c r="CN18" s="1058"/>
      <c r="CO18" s="1058"/>
      <c r="CP18" s="1044">
        <v>68</v>
      </c>
      <c r="CQ18" s="1044"/>
      <c r="CR18" s="1045"/>
      <c r="CS18" s="1046">
        <v>52</v>
      </c>
      <c r="CT18" s="1047"/>
      <c r="CU18" s="1048"/>
      <c r="CV18" s="1049">
        <v>120</v>
      </c>
      <c r="CW18" s="1050"/>
      <c r="CX18" s="1051" t="s">
        <v>64</v>
      </c>
      <c r="CY18" s="1052"/>
      <c r="CZ18" s="1052"/>
      <c r="DA18" s="1053"/>
      <c r="DB18" s="313">
        <f>DB16+DB17</f>
        <v>880260</v>
      </c>
    </row>
    <row r="19" spans="1:106" ht="25.5" customHeight="1">
      <c r="CD19" s="4">
        <f>COUNTIF(CM7:CO15, "&lt;1000")</f>
        <v>9</v>
      </c>
      <c r="CE19" s="4">
        <f>COUNTIF(CM7:CO15, "&gt;1000")</f>
        <v>0</v>
      </c>
    </row>
    <row r="20" spans="1:106">
      <c r="B20" s="48">
        <f>COUNTA(B7:F15)-COUNTIF(B7:F15,"GOVERNMENT SCIENCE")</f>
        <v>9</v>
      </c>
      <c r="C20" s="48">
        <f ca="1">COUNTIF(B7:D38,"GOVERNMENT SCIENCE")</f>
        <v>0</v>
      </c>
    </row>
  </sheetData>
  <mergeCells count="480">
    <mergeCell ref="DB5:DB6"/>
    <mergeCell ref="AE7:AF7"/>
    <mergeCell ref="AY8:AZ8"/>
    <mergeCell ref="BB8:BC8"/>
    <mergeCell ref="BD8:BE8"/>
    <mergeCell ref="B17:F17"/>
    <mergeCell ref="A17:A18"/>
    <mergeCell ref="Y6:Z6"/>
    <mergeCell ref="AA6:AB6"/>
    <mergeCell ref="AC6:AD6"/>
    <mergeCell ref="AE6:AF6"/>
    <mergeCell ref="AG6:AH6"/>
    <mergeCell ref="AI6:AJ6"/>
    <mergeCell ref="R8:S8"/>
    <mergeCell ref="T8:U8"/>
    <mergeCell ref="V8:X8"/>
    <mergeCell ref="Y8:Z8"/>
    <mergeCell ref="AA8:AB8"/>
    <mergeCell ref="N6:O6"/>
    <mergeCell ref="P6:Q6"/>
    <mergeCell ref="R6:S6"/>
    <mergeCell ref="T6:U6"/>
    <mergeCell ref="V6:X6"/>
    <mergeCell ref="G17:I17"/>
    <mergeCell ref="T7:U7"/>
    <mergeCell ref="V7:X7"/>
    <mergeCell ref="Y7:Z7"/>
    <mergeCell ref="AA7:AB7"/>
    <mergeCell ref="CP5:CW5"/>
    <mergeCell ref="CX5:DA6"/>
    <mergeCell ref="BB6:BC6"/>
    <mergeCell ref="BD6:BE6"/>
    <mergeCell ref="BF6:BH6"/>
    <mergeCell ref="BI6:BJ6"/>
    <mergeCell ref="CD5:CO5"/>
    <mergeCell ref="BB5:BJ5"/>
    <mergeCell ref="BK5:BS5"/>
    <mergeCell ref="BT5:CC5"/>
    <mergeCell ref="CP6:CR6"/>
    <mergeCell ref="CS6:CU6"/>
    <mergeCell ref="CV6:CW6"/>
    <mergeCell ref="CD6:CF6"/>
    <mergeCell ref="CG6:CI6"/>
    <mergeCell ref="CJ6:CL6"/>
    <mergeCell ref="CM6:CO6"/>
    <mergeCell ref="CX7:DA7"/>
    <mergeCell ref="CG7:CI7"/>
    <mergeCell ref="AC7:AD7"/>
    <mergeCell ref="A5:A6"/>
    <mergeCell ref="B5:F6"/>
    <mergeCell ref="G5:I6"/>
    <mergeCell ref="J5:K6"/>
    <mergeCell ref="L5:S5"/>
    <mergeCell ref="T5:AB5"/>
    <mergeCell ref="AC5:AJ5"/>
    <mergeCell ref="AK5:AU5"/>
    <mergeCell ref="AV5:BA5"/>
    <mergeCell ref="L6:M6"/>
    <mergeCell ref="AO6:AR6"/>
    <mergeCell ref="AS6:AU6"/>
    <mergeCell ref="AW6:AX6"/>
    <mergeCell ref="AY6:AZ6"/>
    <mergeCell ref="BY6:BZ6"/>
    <mergeCell ref="CA6:CC6"/>
    <mergeCell ref="BK6:BL6"/>
    <mergeCell ref="BM6:BO6"/>
    <mergeCell ref="BP6:BQ6"/>
    <mergeCell ref="BR6:BS6"/>
    <mergeCell ref="BT6:BU6"/>
    <mergeCell ref="BV6:BX6"/>
    <mergeCell ref="AK6:AL6"/>
    <mergeCell ref="AM6:AN6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BF8:BH8"/>
    <mergeCell ref="AE8:AF8"/>
    <mergeCell ref="AG8:AH8"/>
    <mergeCell ref="AI8:AJ8"/>
    <mergeCell ref="AK8:AL8"/>
    <mergeCell ref="AM8:AN8"/>
    <mergeCell ref="AO8:AR8"/>
    <mergeCell ref="B7:F7"/>
    <mergeCell ref="G7:I7"/>
    <mergeCell ref="J7:K7"/>
    <mergeCell ref="L7:M7"/>
    <mergeCell ref="N7:O7"/>
    <mergeCell ref="P7:Q7"/>
    <mergeCell ref="R7:S7"/>
    <mergeCell ref="AC8:AD8"/>
    <mergeCell ref="CP7:CR7"/>
    <mergeCell ref="CS7:CU7"/>
    <mergeCell ref="CV7:CW7"/>
    <mergeCell ref="BI7:BJ7"/>
    <mergeCell ref="AG7:AH7"/>
    <mergeCell ref="AI7:AJ7"/>
    <mergeCell ref="AK7:AL7"/>
    <mergeCell ref="AM7:AN7"/>
    <mergeCell ref="AO7:AR7"/>
    <mergeCell ref="AS7:AU7"/>
    <mergeCell ref="CJ7:CL7"/>
    <mergeCell ref="CM7:CO7"/>
    <mergeCell ref="BK7:BL7"/>
    <mergeCell ref="BM7:BO7"/>
    <mergeCell ref="BP7:BQ7"/>
    <mergeCell ref="BR7:BS7"/>
    <mergeCell ref="BT7:BU7"/>
    <mergeCell ref="BV7:BX7"/>
    <mergeCell ref="AW7:AX7"/>
    <mergeCell ref="AY7:AZ7"/>
    <mergeCell ref="BB7:BC7"/>
    <mergeCell ref="BD7:BE7"/>
    <mergeCell ref="BF7:BH7"/>
    <mergeCell ref="CM8:CO8"/>
    <mergeCell ref="CP8:CR8"/>
    <mergeCell ref="CS8:CU8"/>
    <mergeCell ref="CV8:CW8"/>
    <mergeCell ref="CX8:DA8"/>
    <mergeCell ref="B9:F9"/>
    <mergeCell ref="G9:I9"/>
    <mergeCell ref="J9:K9"/>
    <mergeCell ref="L9:M9"/>
    <mergeCell ref="N9:O9"/>
    <mergeCell ref="BV8:BX8"/>
    <mergeCell ref="BY8:BZ8"/>
    <mergeCell ref="CA8:CC8"/>
    <mergeCell ref="CD8:CF8"/>
    <mergeCell ref="CG8:CI8"/>
    <mergeCell ref="CJ8:CL8"/>
    <mergeCell ref="BI8:BJ8"/>
    <mergeCell ref="BK8:BL8"/>
    <mergeCell ref="BM8:BO8"/>
    <mergeCell ref="BP8:BQ8"/>
    <mergeCell ref="BR8:BS8"/>
    <mergeCell ref="BT8:BU8"/>
    <mergeCell ref="AS8:AU8"/>
    <mergeCell ref="AW8:AX8"/>
    <mergeCell ref="AC9:AD9"/>
    <mergeCell ref="AE9:AF9"/>
    <mergeCell ref="AG9:AH9"/>
    <mergeCell ref="AI9:AJ9"/>
    <mergeCell ref="AK9:AL9"/>
    <mergeCell ref="AM9:AN9"/>
    <mergeCell ref="P9:Q9"/>
    <mergeCell ref="R9:S9"/>
    <mergeCell ref="T9:U9"/>
    <mergeCell ref="V9:X9"/>
    <mergeCell ref="Y9:Z9"/>
    <mergeCell ref="AA9:AB9"/>
    <mergeCell ref="BF9:BH9"/>
    <mergeCell ref="BI9:BJ9"/>
    <mergeCell ref="BK9:BL9"/>
    <mergeCell ref="BM9:BO9"/>
    <mergeCell ref="BP9:BQ9"/>
    <mergeCell ref="BR9:BS9"/>
    <mergeCell ref="AO9:AR9"/>
    <mergeCell ref="AS9:AU9"/>
    <mergeCell ref="AW9:AX9"/>
    <mergeCell ref="AY9:AZ9"/>
    <mergeCell ref="BB9:BC9"/>
    <mergeCell ref="BD9:BE9"/>
    <mergeCell ref="CJ9:CL9"/>
    <mergeCell ref="CM9:CO9"/>
    <mergeCell ref="CP9:CR9"/>
    <mergeCell ref="CS9:CU9"/>
    <mergeCell ref="CV9:CW9"/>
    <mergeCell ref="CX9:DA9"/>
    <mergeCell ref="BT9:BU9"/>
    <mergeCell ref="BV9:BX9"/>
    <mergeCell ref="BY9:BZ9"/>
    <mergeCell ref="CA9:CC9"/>
    <mergeCell ref="CD9:CF9"/>
    <mergeCell ref="CG9:CI9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AM10:AN10"/>
    <mergeCell ref="AO10:AR10"/>
    <mergeCell ref="CM10:CO10"/>
    <mergeCell ref="CP10:CR10"/>
    <mergeCell ref="CS10:CU10"/>
    <mergeCell ref="CV10:CW10"/>
    <mergeCell ref="CX10:DA10"/>
    <mergeCell ref="B11:F11"/>
    <mergeCell ref="G11:I11"/>
    <mergeCell ref="J11:K11"/>
    <mergeCell ref="L11:M11"/>
    <mergeCell ref="N11:O11"/>
    <mergeCell ref="BV10:BX10"/>
    <mergeCell ref="BY10:BZ10"/>
    <mergeCell ref="CA10:CC10"/>
    <mergeCell ref="CD10:CF10"/>
    <mergeCell ref="CG10:CI10"/>
    <mergeCell ref="CJ10:CL10"/>
    <mergeCell ref="BI10:BJ10"/>
    <mergeCell ref="BK10:BL10"/>
    <mergeCell ref="BM10:BO10"/>
    <mergeCell ref="BP10:BQ10"/>
    <mergeCell ref="BR10:BS10"/>
    <mergeCell ref="BT10:BU10"/>
    <mergeCell ref="AS10:AU10"/>
    <mergeCell ref="AW10:AX10"/>
    <mergeCell ref="AC11:AD11"/>
    <mergeCell ref="AE11:AF11"/>
    <mergeCell ref="AG11:AH11"/>
    <mergeCell ref="AI11:AJ11"/>
    <mergeCell ref="AK11:AL11"/>
    <mergeCell ref="AM11:AN11"/>
    <mergeCell ref="P11:Q11"/>
    <mergeCell ref="R11:S11"/>
    <mergeCell ref="T11:U11"/>
    <mergeCell ref="V11:X11"/>
    <mergeCell ref="Y11:Z11"/>
    <mergeCell ref="AA11:AB11"/>
    <mergeCell ref="BF11:BH11"/>
    <mergeCell ref="BI11:BJ11"/>
    <mergeCell ref="BK11:BL11"/>
    <mergeCell ref="BM11:BO11"/>
    <mergeCell ref="BP11:BQ11"/>
    <mergeCell ref="BR11:BS11"/>
    <mergeCell ref="AO11:AR11"/>
    <mergeCell ref="AS11:AU11"/>
    <mergeCell ref="AW11:AX11"/>
    <mergeCell ref="AY11:AZ11"/>
    <mergeCell ref="BB11:BC11"/>
    <mergeCell ref="BD11:BE11"/>
    <mergeCell ref="CJ11:CL11"/>
    <mergeCell ref="CM11:CO11"/>
    <mergeCell ref="CP11:CR11"/>
    <mergeCell ref="CS11:CU11"/>
    <mergeCell ref="CV11:CW11"/>
    <mergeCell ref="CX11:DA11"/>
    <mergeCell ref="BT11:BU11"/>
    <mergeCell ref="BV11:BX11"/>
    <mergeCell ref="BY11:BZ11"/>
    <mergeCell ref="CA11:CC11"/>
    <mergeCell ref="CD11:CF11"/>
    <mergeCell ref="CG11:CI11"/>
    <mergeCell ref="R12:S12"/>
    <mergeCell ref="T12:U12"/>
    <mergeCell ref="V12: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CM12:CO12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BV12:BX12"/>
    <mergeCell ref="BY12:BZ12"/>
    <mergeCell ref="CA12:CC12"/>
    <mergeCell ref="CD12:CF12"/>
    <mergeCell ref="CG12:CI12"/>
    <mergeCell ref="CJ12:CL12"/>
    <mergeCell ref="BI12:BJ12"/>
    <mergeCell ref="BK12:BL12"/>
    <mergeCell ref="BM12:BO12"/>
    <mergeCell ref="BP12:BQ12"/>
    <mergeCell ref="BR12:BS12"/>
    <mergeCell ref="BT12:BU12"/>
    <mergeCell ref="AS12:AU12"/>
    <mergeCell ref="AW12:AX12"/>
    <mergeCell ref="AC13:AD13"/>
    <mergeCell ref="AE13:AF13"/>
    <mergeCell ref="AG13:AH13"/>
    <mergeCell ref="AI13:AJ13"/>
    <mergeCell ref="AK13:AL13"/>
    <mergeCell ref="AM13:AN13"/>
    <mergeCell ref="P13:Q13"/>
    <mergeCell ref="R13:S13"/>
    <mergeCell ref="T13:U13"/>
    <mergeCell ref="V13:X13"/>
    <mergeCell ref="Y13:Z13"/>
    <mergeCell ref="AA13:AB13"/>
    <mergeCell ref="BF13:BH13"/>
    <mergeCell ref="BI13:BJ13"/>
    <mergeCell ref="BK13:BL13"/>
    <mergeCell ref="BM13:BO13"/>
    <mergeCell ref="BP13:BQ13"/>
    <mergeCell ref="BR13:BS13"/>
    <mergeCell ref="AO13:AR13"/>
    <mergeCell ref="AS13:AU13"/>
    <mergeCell ref="AW13:AX13"/>
    <mergeCell ref="AY13:AZ13"/>
    <mergeCell ref="BB13:BC13"/>
    <mergeCell ref="BD13:BE13"/>
    <mergeCell ref="CJ13:CL13"/>
    <mergeCell ref="CM13:CO13"/>
    <mergeCell ref="CP13:CR13"/>
    <mergeCell ref="CS13:CU13"/>
    <mergeCell ref="CV13:CW13"/>
    <mergeCell ref="CX13:DA13"/>
    <mergeCell ref="BT13:BU13"/>
    <mergeCell ref="BV13:BX13"/>
    <mergeCell ref="BY13:BZ13"/>
    <mergeCell ref="CA13:CC13"/>
    <mergeCell ref="CD13:CF13"/>
    <mergeCell ref="CG13:CI13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L14:M14"/>
    <mergeCell ref="N14:O14"/>
    <mergeCell ref="P14:Q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AM14:AN14"/>
    <mergeCell ref="AO14:AR14"/>
    <mergeCell ref="CM14:CO14"/>
    <mergeCell ref="CP14:CR14"/>
    <mergeCell ref="CS14:CU14"/>
    <mergeCell ref="CV14:CW14"/>
    <mergeCell ref="CX14:DA14"/>
    <mergeCell ref="B15:F15"/>
    <mergeCell ref="G15:I15"/>
    <mergeCell ref="J15:K15"/>
    <mergeCell ref="L15:M15"/>
    <mergeCell ref="N15:O15"/>
    <mergeCell ref="BV14:BX14"/>
    <mergeCell ref="BY14:BZ14"/>
    <mergeCell ref="CA14:CC14"/>
    <mergeCell ref="CD14:CF14"/>
    <mergeCell ref="CG14:CI14"/>
    <mergeCell ref="CJ14:CL14"/>
    <mergeCell ref="BI14:BJ14"/>
    <mergeCell ref="BK14:BL14"/>
    <mergeCell ref="BM14:BO14"/>
    <mergeCell ref="BP14:BQ14"/>
    <mergeCell ref="BR14:BS14"/>
    <mergeCell ref="BT14:BU14"/>
    <mergeCell ref="AS14:AU14"/>
    <mergeCell ref="AW14:AX14"/>
    <mergeCell ref="CS15:CU15"/>
    <mergeCell ref="CV15:CW15"/>
    <mergeCell ref="CX15:DA15"/>
    <mergeCell ref="BT15:BU15"/>
    <mergeCell ref="BV15:BX15"/>
    <mergeCell ref="BY15:BZ15"/>
    <mergeCell ref="CA15:CC15"/>
    <mergeCell ref="CD15:CF15"/>
    <mergeCell ref="CG15:CI15"/>
    <mergeCell ref="CP15:CR15"/>
    <mergeCell ref="BI15:BJ15"/>
    <mergeCell ref="BK15:BL15"/>
    <mergeCell ref="BM15:BO15"/>
    <mergeCell ref="BP15:BQ15"/>
    <mergeCell ref="BR15:BS15"/>
    <mergeCell ref="AO15:AR15"/>
    <mergeCell ref="AS15:AU15"/>
    <mergeCell ref="AW15:AX15"/>
    <mergeCell ref="AY15:AZ15"/>
    <mergeCell ref="BB15:BC15"/>
    <mergeCell ref="BD15:BE15"/>
    <mergeCell ref="B16:F16"/>
    <mergeCell ref="G16:I16"/>
    <mergeCell ref="J16:K16"/>
    <mergeCell ref="L16:M16"/>
    <mergeCell ref="N16:O16"/>
    <mergeCell ref="P16:Q16"/>
    <mergeCell ref="CJ15:CL15"/>
    <mergeCell ref="CM15:CO15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X15"/>
    <mergeCell ref="Y15:Z15"/>
    <mergeCell ref="AA15:AB15"/>
    <mergeCell ref="BV16:BX16"/>
    <mergeCell ref="BY16:BZ16"/>
    <mergeCell ref="CA16:CC16"/>
    <mergeCell ref="BF15:BH15"/>
    <mergeCell ref="CD16:CF16"/>
    <mergeCell ref="CG16:CI16"/>
    <mergeCell ref="CJ16:CL16"/>
    <mergeCell ref="CV17:CW17"/>
    <mergeCell ref="CX17:DA17"/>
    <mergeCell ref="AY16:AZ16"/>
    <mergeCell ref="BB16:BC16"/>
    <mergeCell ref="BD16:BE16"/>
    <mergeCell ref="BF16:BH16"/>
    <mergeCell ref="J17:CO17"/>
    <mergeCell ref="AE16:AF16"/>
    <mergeCell ref="AG16:AH16"/>
    <mergeCell ref="AI16:AJ16"/>
    <mergeCell ref="AK16:AL16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A1:DB1"/>
    <mergeCell ref="A2:DB2"/>
    <mergeCell ref="A3:DB3"/>
    <mergeCell ref="A4:DB4"/>
    <mergeCell ref="CP18:CR18"/>
    <mergeCell ref="CS18:CU18"/>
    <mergeCell ref="CV18:CW18"/>
    <mergeCell ref="CX18:DA18"/>
    <mergeCell ref="BI16:BJ16"/>
    <mergeCell ref="BK16:BL16"/>
    <mergeCell ref="BM16:BO16"/>
    <mergeCell ref="BP16:BQ16"/>
    <mergeCell ref="BR16:BS16"/>
    <mergeCell ref="BT16:BU16"/>
    <mergeCell ref="CD18:CO18"/>
    <mergeCell ref="AS16:AU16"/>
    <mergeCell ref="AW16:AX16"/>
    <mergeCell ref="CS17:CU17"/>
    <mergeCell ref="CM16:CO16"/>
    <mergeCell ref="CP16:CR16"/>
    <mergeCell ref="CS16:CU16"/>
    <mergeCell ref="CV16:CW16"/>
    <mergeCell ref="CX16:DA16"/>
    <mergeCell ref="CP17:CR17"/>
  </mergeCells>
  <pageMargins left="0.7" right="0.7" top="0.75" bottom="0.75" header="0.3" footer="0.3"/>
  <pageSetup paperSize="9" scale="3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3"/>
  <sheetViews>
    <sheetView topLeftCell="A19" workbookViewId="0">
      <selection activeCell="A3" sqref="A3:XFD3"/>
    </sheetView>
  </sheetViews>
  <sheetFormatPr defaultRowHeight="15"/>
  <cols>
    <col min="1" max="1" width="8.1640625" style="415" customWidth="1"/>
    <col min="2" max="2" width="53.33203125" style="415" bestFit="1" customWidth="1"/>
    <col min="3" max="3" width="108.83203125" style="415" customWidth="1"/>
    <col min="4" max="248" width="9.33203125" style="415"/>
    <col min="249" max="249" width="8.1640625" style="415" customWidth="1"/>
    <col min="250" max="250" width="51.1640625" style="415" customWidth="1"/>
    <col min="251" max="251" width="13.83203125" style="415" customWidth="1"/>
    <col min="252" max="252" width="14.83203125" style="415" customWidth="1"/>
    <col min="253" max="253" width="16.1640625" style="415" customWidth="1"/>
    <col min="254" max="254" width="8" style="415" customWidth="1"/>
    <col min="255" max="255" width="9.5" style="415" customWidth="1"/>
    <col min="256" max="256" width="9.33203125" style="415" customWidth="1"/>
    <col min="257" max="257" width="12.33203125" style="415" customWidth="1"/>
    <col min="258" max="258" width="11.33203125" style="415" customWidth="1"/>
    <col min="259" max="504" width="9.33203125" style="415"/>
    <col min="505" max="505" width="8.1640625" style="415" customWidth="1"/>
    <col min="506" max="506" width="51.1640625" style="415" customWidth="1"/>
    <col min="507" max="507" width="13.83203125" style="415" customWidth="1"/>
    <col min="508" max="508" width="14.83203125" style="415" customWidth="1"/>
    <col min="509" max="509" width="16.1640625" style="415" customWidth="1"/>
    <col min="510" max="510" width="8" style="415" customWidth="1"/>
    <col min="511" max="511" width="9.5" style="415" customWidth="1"/>
    <col min="512" max="512" width="9.33203125" style="415" customWidth="1"/>
    <col min="513" max="513" width="12.33203125" style="415" customWidth="1"/>
    <col min="514" max="514" width="11.33203125" style="415" customWidth="1"/>
    <col min="515" max="760" width="9.33203125" style="415"/>
    <col min="761" max="761" width="8.1640625" style="415" customWidth="1"/>
    <col min="762" max="762" width="51.1640625" style="415" customWidth="1"/>
    <col min="763" max="763" width="13.83203125" style="415" customWidth="1"/>
    <col min="764" max="764" width="14.83203125" style="415" customWidth="1"/>
    <col min="765" max="765" width="16.1640625" style="415" customWidth="1"/>
    <col min="766" max="766" width="8" style="415" customWidth="1"/>
    <col min="767" max="767" width="9.5" style="415" customWidth="1"/>
    <col min="768" max="768" width="9.33203125" style="415" customWidth="1"/>
    <col min="769" max="769" width="12.33203125" style="415" customWidth="1"/>
    <col min="770" max="770" width="11.33203125" style="415" customWidth="1"/>
    <col min="771" max="1016" width="9.33203125" style="415"/>
    <col min="1017" max="1017" width="8.1640625" style="415" customWidth="1"/>
    <col min="1018" max="1018" width="51.1640625" style="415" customWidth="1"/>
    <col min="1019" max="1019" width="13.83203125" style="415" customWidth="1"/>
    <col min="1020" max="1020" width="14.83203125" style="415" customWidth="1"/>
    <col min="1021" max="1021" width="16.1640625" style="415" customWidth="1"/>
    <col min="1022" max="1022" width="8" style="415" customWidth="1"/>
    <col min="1023" max="1023" width="9.5" style="415" customWidth="1"/>
    <col min="1024" max="1024" width="9.33203125" style="415" customWidth="1"/>
    <col min="1025" max="1025" width="12.33203125" style="415" customWidth="1"/>
    <col min="1026" max="1026" width="11.33203125" style="415" customWidth="1"/>
    <col min="1027" max="1272" width="9.33203125" style="415"/>
    <col min="1273" max="1273" width="8.1640625" style="415" customWidth="1"/>
    <col min="1274" max="1274" width="51.1640625" style="415" customWidth="1"/>
    <col min="1275" max="1275" width="13.83203125" style="415" customWidth="1"/>
    <col min="1276" max="1276" width="14.83203125" style="415" customWidth="1"/>
    <col min="1277" max="1277" width="16.1640625" style="415" customWidth="1"/>
    <col min="1278" max="1278" width="8" style="415" customWidth="1"/>
    <col min="1279" max="1279" width="9.5" style="415" customWidth="1"/>
    <col min="1280" max="1280" width="9.33203125" style="415" customWidth="1"/>
    <col min="1281" max="1281" width="12.33203125" style="415" customWidth="1"/>
    <col min="1282" max="1282" width="11.33203125" style="415" customWidth="1"/>
    <col min="1283" max="1528" width="9.33203125" style="415"/>
    <col min="1529" max="1529" width="8.1640625" style="415" customWidth="1"/>
    <col min="1530" max="1530" width="51.1640625" style="415" customWidth="1"/>
    <col min="1531" max="1531" width="13.83203125" style="415" customWidth="1"/>
    <col min="1532" max="1532" width="14.83203125" style="415" customWidth="1"/>
    <col min="1533" max="1533" width="16.1640625" style="415" customWidth="1"/>
    <col min="1534" max="1534" width="8" style="415" customWidth="1"/>
    <col min="1535" max="1535" width="9.5" style="415" customWidth="1"/>
    <col min="1536" max="1536" width="9.33203125" style="415" customWidth="1"/>
    <col min="1537" max="1537" width="12.33203125" style="415" customWidth="1"/>
    <col min="1538" max="1538" width="11.33203125" style="415" customWidth="1"/>
    <col min="1539" max="1784" width="9.33203125" style="415"/>
    <col min="1785" max="1785" width="8.1640625" style="415" customWidth="1"/>
    <col min="1786" max="1786" width="51.1640625" style="415" customWidth="1"/>
    <col min="1787" max="1787" width="13.83203125" style="415" customWidth="1"/>
    <col min="1788" max="1788" width="14.83203125" style="415" customWidth="1"/>
    <col min="1789" max="1789" width="16.1640625" style="415" customWidth="1"/>
    <col min="1790" max="1790" width="8" style="415" customWidth="1"/>
    <col min="1791" max="1791" width="9.5" style="415" customWidth="1"/>
    <col min="1792" max="1792" width="9.33203125" style="415" customWidth="1"/>
    <col min="1793" max="1793" width="12.33203125" style="415" customWidth="1"/>
    <col min="1794" max="1794" width="11.33203125" style="415" customWidth="1"/>
    <col min="1795" max="2040" width="9.33203125" style="415"/>
    <col min="2041" max="2041" width="8.1640625" style="415" customWidth="1"/>
    <col min="2042" max="2042" width="51.1640625" style="415" customWidth="1"/>
    <col min="2043" max="2043" width="13.83203125" style="415" customWidth="1"/>
    <col min="2044" max="2044" width="14.83203125" style="415" customWidth="1"/>
    <col min="2045" max="2045" width="16.1640625" style="415" customWidth="1"/>
    <col min="2046" max="2046" width="8" style="415" customWidth="1"/>
    <col min="2047" max="2047" width="9.5" style="415" customWidth="1"/>
    <col min="2048" max="2048" width="9.33203125" style="415" customWidth="1"/>
    <col min="2049" max="2049" width="12.33203125" style="415" customWidth="1"/>
    <col min="2050" max="2050" width="11.33203125" style="415" customWidth="1"/>
    <col min="2051" max="2296" width="9.33203125" style="415"/>
    <col min="2297" max="2297" width="8.1640625" style="415" customWidth="1"/>
    <col min="2298" max="2298" width="51.1640625" style="415" customWidth="1"/>
    <col min="2299" max="2299" width="13.83203125" style="415" customWidth="1"/>
    <col min="2300" max="2300" width="14.83203125" style="415" customWidth="1"/>
    <col min="2301" max="2301" width="16.1640625" style="415" customWidth="1"/>
    <col min="2302" max="2302" width="8" style="415" customWidth="1"/>
    <col min="2303" max="2303" width="9.5" style="415" customWidth="1"/>
    <col min="2304" max="2304" width="9.33203125" style="415" customWidth="1"/>
    <col min="2305" max="2305" width="12.33203125" style="415" customWidth="1"/>
    <col min="2306" max="2306" width="11.33203125" style="415" customWidth="1"/>
    <col min="2307" max="2552" width="9.33203125" style="415"/>
    <col min="2553" max="2553" width="8.1640625" style="415" customWidth="1"/>
    <col min="2554" max="2554" width="51.1640625" style="415" customWidth="1"/>
    <col min="2555" max="2555" width="13.83203125" style="415" customWidth="1"/>
    <col min="2556" max="2556" width="14.83203125" style="415" customWidth="1"/>
    <col min="2557" max="2557" width="16.1640625" style="415" customWidth="1"/>
    <col min="2558" max="2558" width="8" style="415" customWidth="1"/>
    <col min="2559" max="2559" width="9.5" style="415" customWidth="1"/>
    <col min="2560" max="2560" width="9.33203125" style="415" customWidth="1"/>
    <col min="2561" max="2561" width="12.33203125" style="415" customWidth="1"/>
    <col min="2562" max="2562" width="11.33203125" style="415" customWidth="1"/>
    <col min="2563" max="2808" width="9.33203125" style="415"/>
    <col min="2809" max="2809" width="8.1640625" style="415" customWidth="1"/>
    <col min="2810" max="2810" width="51.1640625" style="415" customWidth="1"/>
    <col min="2811" max="2811" width="13.83203125" style="415" customWidth="1"/>
    <col min="2812" max="2812" width="14.83203125" style="415" customWidth="1"/>
    <col min="2813" max="2813" width="16.1640625" style="415" customWidth="1"/>
    <col min="2814" max="2814" width="8" style="415" customWidth="1"/>
    <col min="2815" max="2815" width="9.5" style="415" customWidth="1"/>
    <col min="2816" max="2816" width="9.33203125" style="415" customWidth="1"/>
    <col min="2817" max="2817" width="12.33203125" style="415" customWidth="1"/>
    <col min="2818" max="2818" width="11.33203125" style="415" customWidth="1"/>
    <col min="2819" max="3064" width="9.33203125" style="415"/>
    <col min="3065" max="3065" width="8.1640625" style="415" customWidth="1"/>
    <col min="3066" max="3066" width="51.1640625" style="415" customWidth="1"/>
    <col min="3067" max="3067" width="13.83203125" style="415" customWidth="1"/>
    <col min="3068" max="3068" width="14.83203125" style="415" customWidth="1"/>
    <col min="3069" max="3069" width="16.1640625" style="415" customWidth="1"/>
    <col min="3070" max="3070" width="8" style="415" customWidth="1"/>
    <col min="3071" max="3071" width="9.5" style="415" customWidth="1"/>
    <col min="3072" max="3072" width="9.33203125" style="415" customWidth="1"/>
    <col min="3073" max="3073" width="12.33203125" style="415" customWidth="1"/>
    <col min="3074" max="3074" width="11.33203125" style="415" customWidth="1"/>
    <col min="3075" max="3320" width="9.33203125" style="415"/>
    <col min="3321" max="3321" width="8.1640625" style="415" customWidth="1"/>
    <col min="3322" max="3322" width="51.1640625" style="415" customWidth="1"/>
    <col min="3323" max="3323" width="13.83203125" style="415" customWidth="1"/>
    <col min="3324" max="3324" width="14.83203125" style="415" customWidth="1"/>
    <col min="3325" max="3325" width="16.1640625" style="415" customWidth="1"/>
    <col min="3326" max="3326" width="8" style="415" customWidth="1"/>
    <col min="3327" max="3327" width="9.5" style="415" customWidth="1"/>
    <col min="3328" max="3328" width="9.33203125" style="415" customWidth="1"/>
    <col min="3329" max="3329" width="12.33203125" style="415" customWidth="1"/>
    <col min="3330" max="3330" width="11.33203125" style="415" customWidth="1"/>
    <col min="3331" max="3576" width="9.33203125" style="415"/>
    <col min="3577" max="3577" width="8.1640625" style="415" customWidth="1"/>
    <col min="3578" max="3578" width="51.1640625" style="415" customWidth="1"/>
    <col min="3579" max="3579" width="13.83203125" style="415" customWidth="1"/>
    <col min="3580" max="3580" width="14.83203125" style="415" customWidth="1"/>
    <col min="3581" max="3581" width="16.1640625" style="415" customWidth="1"/>
    <col min="3582" max="3582" width="8" style="415" customWidth="1"/>
    <col min="3583" max="3583" width="9.5" style="415" customWidth="1"/>
    <col min="3584" max="3584" width="9.33203125" style="415" customWidth="1"/>
    <col min="3585" max="3585" width="12.33203125" style="415" customWidth="1"/>
    <col min="3586" max="3586" width="11.33203125" style="415" customWidth="1"/>
    <col min="3587" max="3832" width="9.33203125" style="415"/>
    <col min="3833" max="3833" width="8.1640625" style="415" customWidth="1"/>
    <col min="3834" max="3834" width="51.1640625" style="415" customWidth="1"/>
    <col min="3835" max="3835" width="13.83203125" style="415" customWidth="1"/>
    <col min="3836" max="3836" width="14.83203125" style="415" customWidth="1"/>
    <col min="3837" max="3837" width="16.1640625" style="415" customWidth="1"/>
    <col min="3838" max="3838" width="8" style="415" customWidth="1"/>
    <col min="3839" max="3839" width="9.5" style="415" customWidth="1"/>
    <col min="3840" max="3840" width="9.33203125" style="415" customWidth="1"/>
    <col min="3841" max="3841" width="12.33203125" style="415" customWidth="1"/>
    <col min="3842" max="3842" width="11.33203125" style="415" customWidth="1"/>
    <col min="3843" max="4088" width="9.33203125" style="415"/>
    <col min="4089" max="4089" width="8.1640625" style="415" customWidth="1"/>
    <col min="4090" max="4090" width="51.1640625" style="415" customWidth="1"/>
    <col min="4091" max="4091" width="13.83203125" style="415" customWidth="1"/>
    <col min="4092" max="4092" width="14.83203125" style="415" customWidth="1"/>
    <col min="4093" max="4093" width="16.1640625" style="415" customWidth="1"/>
    <col min="4094" max="4094" width="8" style="415" customWidth="1"/>
    <col min="4095" max="4095" width="9.5" style="415" customWidth="1"/>
    <col min="4096" max="4096" width="9.33203125" style="415" customWidth="1"/>
    <col min="4097" max="4097" width="12.33203125" style="415" customWidth="1"/>
    <col min="4098" max="4098" width="11.33203125" style="415" customWidth="1"/>
    <col min="4099" max="4344" width="9.33203125" style="415"/>
    <col min="4345" max="4345" width="8.1640625" style="415" customWidth="1"/>
    <col min="4346" max="4346" width="51.1640625" style="415" customWidth="1"/>
    <col min="4347" max="4347" width="13.83203125" style="415" customWidth="1"/>
    <col min="4348" max="4348" width="14.83203125" style="415" customWidth="1"/>
    <col min="4349" max="4349" width="16.1640625" style="415" customWidth="1"/>
    <col min="4350" max="4350" width="8" style="415" customWidth="1"/>
    <col min="4351" max="4351" width="9.5" style="415" customWidth="1"/>
    <col min="4352" max="4352" width="9.33203125" style="415" customWidth="1"/>
    <col min="4353" max="4353" width="12.33203125" style="415" customWidth="1"/>
    <col min="4354" max="4354" width="11.33203125" style="415" customWidth="1"/>
    <col min="4355" max="4600" width="9.33203125" style="415"/>
    <col min="4601" max="4601" width="8.1640625" style="415" customWidth="1"/>
    <col min="4602" max="4602" width="51.1640625" style="415" customWidth="1"/>
    <col min="4603" max="4603" width="13.83203125" style="415" customWidth="1"/>
    <col min="4604" max="4604" width="14.83203125" style="415" customWidth="1"/>
    <col min="4605" max="4605" width="16.1640625" style="415" customWidth="1"/>
    <col min="4606" max="4606" width="8" style="415" customWidth="1"/>
    <col min="4607" max="4607" width="9.5" style="415" customWidth="1"/>
    <col min="4608" max="4608" width="9.33203125" style="415" customWidth="1"/>
    <col min="4609" max="4609" width="12.33203125" style="415" customWidth="1"/>
    <col min="4610" max="4610" width="11.33203125" style="415" customWidth="1"/>
    <col min="4611" max="4856" width="9.33203125" style="415"/>
    <col min="4857" max="4857" width="8.1640625" style="415" customWidth="1"/>
    <col min="4858" max="4858" width="51.1640625" style="415" customWidth="1"/>
    <col min="4859" max="4859" width="13.83203125" style="415" customWidth="1"/>
    <col min="4860" max="4860" width="14.83203125" style="415" customWidth="1"/>
    <col min="4861" max="4861" width="16.1640625" style="415" customWidth="1"/>
    <col min="4862" max="4862" width="8" style="415" customWidth="1"/>
    <col min="4863" max="4863" width="9.5" style="415" customWidth="1"/>
    <col min="4864" max="4864" width="9.33203125" style="415" customWidth="1"/>
    <col min="4865" max="4865" width="12.33203125" style="415" customWidth="1"/>
    <col min="4866" max="4866" width="11.33203125" style="415" customWidth="1"/>
    <col min="4867" max="5112" width="9.33203125" style="415"/>
    <col min="5113" max="5113" width="8.1640625" style="415" customWidth="1"/>
    <col min="5114" max="5114" width="51.1640625" style="415" customWidth="1"/>
    <col min="5115" max="5115" width="13.83203125" style="415" customWidth="1"/>
    <col min="5116" max="5116" width="14.83203125" style="415" customWidth="1"/>
    <col min="5117" max="5117" width="16.1640625" style="415" customWidth="1"/>
    <col min="5118" max="5118" width="8" style="415" customWidth="1"/>
    <col min="5119" max="5119" width="9.5" style="415" customWidth="1"/>
    <col min="5120" max="5120" width="9.33203125" style="415" customWidth="1"/>
    <col min="5121" max="5121" width="12.33203125" style="415" customWidth="1"/>
    <col min="5122" max="5122" width="11.33203125" style="415" customWidth="1"/>
    <col min="5123" max="5368" width="9.33203125" style="415"/>
    <col min="5369" max="5369" width="8.1640625" style="415" customWidth="1"/>
    <col min="5370" max="5370" width="51.1640625" style="415" customWidth="1"/>
    <col min="5371" max="5371" width="13.83203125" style="415" customWidth="1"/>
    <col min="5372" max="5372" width="14.83203125" style="415" customWidth="1"/>
    <col min="5373" max="5373" width="16.1640625" style="415" customWidth="1"/>
    <col min="5374" max="5374" width="8" style="415" customWidth="1"/>
    <col min="5375" max="5375" width="9.5" style="415" customWidth="1"/>
    <col min="5376" max="5376" width="9.33203125" style="415" customWidth="1"/>
    <col min="5377" max="5377" width="12.33203125" style="415" customWidth="1"/>
    <col min="5378" max="5378" width="11.33203125" style="415" customWidth="1"/>
    <col min="5379" max="5624" width="9.33203125" style="415"/>
    <col min="5625" max="5625" width="8.1640625" style="415" customWidth="1"/>
    <col min="5626" max="5626" width="51.1640625" style="415" customWidth="1"/>
    <col min="5627" max="5627" width="13.83203125" style="415" customWidth="1"/>
    <col min="5628" max="5628" width="14.83203125" style="415" customWidth="1"/>
    <col min="5629" max="5629" width="16.1640625" style="415" customWidth="1"/>
    <col min="5630" max="5630" width="8" style="415" customWidth="1"/>
    <col min="5631" max="5631" width="9.5" style="415" customWidth="1"/>
    <col min="5632" max="5632" width="9.33203125" style="415" customWidth="1"/>
    <col min="5633" max="5633" width="12.33203125" style="415" customWidth="1"/>
    <col min="5634" max="5634" width="11.33203125" style="415" customWidth="1"/>
    <col min="5635" max="5880" width="9.33203125" style="415"/>
    <col min="5881" max="5881" width="8.1640625" style="415" customWidth="1"/>
    <col min="5882" max="5882" width="51.1640625" style="415" customWidth="1"/>
    <col min="5883" max="5883" width="13.83203125" style="415" customWidth="1"/>
    <col min="5884" max="5884" width="14.83203125" style="415" customWidth="1"/>
    <col min="5885" max="5885" width="16.1640625" style="415" customWidth="1"/>
    <col min="5886" max="5886" width="8" style="415" customWidth="1"/>
    <col min="5887" max="5887" width="9.5" style="415" customWidth="1"/>
    <col min="5888" max="5888" width="9.33203125" style="415" customWidth="1"/>
    <col min="5889" max="5889" width="12.33203125" style="415" customWidth="1"/>
    <col min="5890" max="5890" width="11.33203125" style="415" customWidth="1"/>
    <col min="5891" max="6136" width="9.33203125" style="415"/>
    <col min="6137" max="6137" width="8.1640625" style="415" customWidth="1"/>
    <col min="6138" max="6138" width="51.1640625" style="415" customWidth="1"/>
    <col min="6139" max="6139" width="13.83203125" style="415" customWidth="1"/>
    <col min="6140" max="6140" width="14.83203125" style="415" customWidth="1"/>
    <col min="6141" max="6141" width="16.1640625" style="415" customWidth="1"/>
    <col min="6142" max="6142" width="8" style="415" customWidth="1"/>
    <col min="6143" max="6143" width="9.5" style="415" customWidth="1"/>
    <col min="6144" max="6144" width="9.33203125" style="415" customWidth="1"/>
    <col min="6145" max="6145" width="12.33203125" style="415" customWidth="1"/>
    <col min="6146" max="6146" width="11.33203125" style="415" customWidth="1"/>
    <col min="6147" max="6392" width="9.33203125" style="415"/>
    <col min="6393" max="6393" width="8.1640625" style="415" customWidth="1"/>
    <col min="6394" max="6394" width="51.1640625" style="415" customWidth="1"/>
    <col min="6395" max="6395" width="13.83203125" style="415" customWidth="1"/>
    <col min="6396" max="6396" width="14.83203125" style="415" customWidth="1"/>
    <col min="6397" max="6397" width="16.1640625" style="415" customWidth="1"/>
    <col min="6398" max="6398" width="8" style="415" customWidth="1"/>
    <col min="6399" max="6399" width="9.5" style="415" customWidth="1"/>
    <col min="6400" max="6400" width="9.33203125" style="415" customWidth="1"/>
    <col min="6401" max="6401" width="12.33203125" style="415" customWidth="1"/>
    <col min="6402" max="6402" width="11.33203125" style="415" customWidth="1"/>
    <col min="6403" max="6648" width="9.33203125" style="415"/>
    <col min="6649" max="6649" width="8.1640625" style="415" customWidth="1"/>
    <col min="6650" max="6650" width="51.1640625" style="415" customWidth="1"/>
    <col min="6651" max="6651" width="13.83203125" style="415" customWidth="1"/>
    <col min="6652" max="6652" width="14.83203125" style="415" customWidth="1"/>
    <col min="6653" max="6653" width="16.1640625" style="415" customWidth="1"/>
    <col min="6654" max="6654" width="8" style="415" customWidth="1"/>
    <col min="6655" max="6655" width="9.5" style="415" customWidth="1"/>
    <col min="6656" max="6656" width="9.33203125" style="415" customWidth="1"/>
    <col min="6657" max="6657" width="12.33203125" style="415" customWidth="1"/>
    <col min="6658" max="6658" width="11.33203125" style="415" customWidth="1"/>
    <col min="6659" max="6904" width="9.33203125" style="415"/>
    <col min="6905" max="6905" width="8.1640625" style="415" customWidth="1"/>
    <col min="6906" max="6906" width="51.1640625" style="415" customWidth="1"/>
    <col min="6907" max="6907" width="13.83203125" style="415" customWidth="1"/>
    <col min="6908" max="6908" width="14.83203125" style="415" customWidth="1"/>
    <col min="6909" max="6909" width="16.1640625" style="415" customWidth="1"/>
    <col min="6910" max="6910" width="8" style="415" customWidth="1"/>
    <col min="6911" max="6911" width="9.5" style="415" customWidth="1"/>
    <col min="6912" max="6912" width="9.33203125" style="415" customWidth="1"/>
    <col min="6913" max="6913" width="12.33203125" style="415" customWidth="1"/>
    <col min="6914" max="6914" width="11.33203125" style="415" customWidth="1"/>
    <col min="6915" max="7160" width="9.33203125" style="415"/>
    <col min="7161" max="7161" width="8.1640625" style="415" customWidth="1"/>
    <col min="7162" max="7162" width="51.1640625" style="415" customWidth="1"/>
    <col min="7163" max="7163" width="13.83203125" style="415" customWidth="1"/>
    <col min="7164" max="7164" width="14.83203125" style="415" customWidth="1"/>
    <col min="7165" max="7165" width="16.1640625" style="415" customWidth="1"/>
    <col min="7166" max="7166" width="8" style="415" customWidth="1"/>
    <col min="7167" max="7167" width="9.5" style="415" customWidth="1"/>
    <col min="7168" max="7168" width="9.33203125" style="415" customWidth="1"/>
    <col min="7169" max="7169" width="12.33203125" style="415" customWidth="1"/>
    <col min="7170" max="7170" width="11.33203125" style="415" customWidth="1"/>
    <col min="7171" max="7416" width="9.33203125" style="415"/>
    <col min="7417" max="7417" width="8.1640625" style="415" customWidth="1"/>
    <col min="7418" max="7418" width="51.1640625" style="415" customWidth="1"/>
    <col min="7419" max="7419" width="13.83203125" style="415" customWidth="1"/>
    <col min="7420" max="7420" width="14.83203125" style="415" customWidth="1"/>
    <col min="7421" max="7421" width="16.1640625" style="415" customWidth="1"/>
    <col min="7422" max="7422" width="8" style="415" customWidth="1"/>
    <col min="7423" max="7423" width="9.5" style="415" customWidth="1"/>
    <col min="7424" max="7424" width="9.33203125" style="415" customWidth="1"/>
    <col min="7425" max="7425" width="12.33203125" style="415" customWidth="1"/>
    <col min="7426" max="7426" width="11.33203125" style="415" customWidth="1"/>
    <col min="7427" max="7672" width="9.33203125" style="415"/>
    <col min="7673" max="7673" width="8.1640625" style="415" customWidth="1"/>
    <col min="7674" max="7674" width="51.1640625" style="415" customWidth="1"/>
    <col min="7675" max="7675" width="13.83203125" style="415" customWidth="1"/>
    <col min="7676" max="7676" width="14.83203125" style="415" customWidth="1"/>
    <col min="7677" max="7677" width="16.1640625" style="415" customWidth="1"/>
    <col min="7678" max="7678" width="8" style="415" customWidth="1"/>
    <col min="7679" max="7679" width="9.5" style="415" customWidth="1"/>
    <col min="7680" max="7680" width="9.33203125" style="415" customWidth="1"/>
    <col min="7681" max="7681" width="12.33203125" style="415" customWidth="1"/>
    <col min="7682" max="7682" width="11.33203125" style="415" customWidth="1"/>
    <col min="7683" max="7928" width="9.33203125" style="415"/>
    <col min="7929" max="7929" width="8.1640625" style="415" customWidth="1"/>
    <col min="7930" max="7930" width="51.1640625" style="415" customWidth="1"/>
    <col min="7931" max="7931" width="13.83203125" style="415" customWidth="1"/>
    <col min="7932" max="7932" width="14.83203125" style="415" customWidth="1"/>
    <col min="7933" max="7933" width="16.1640625" style="415" customWidth="1"/>
    <col min="7934" max="7934" width="8" style="415" customWidth="1"/>
    <col min="7935" max="7935" width="9.5" style="415" customWidth="1"/>
    <col min="7936" max="7936" width="9.33203125" style="415" customWidth="1"/>
    <col min="7937" max="7937" width="12.33203125" style="415" customWidth="1"/>
    <col min="7938" max="7938" width="11.33203125" style="415" customWidth="1"/>
    <col min="7939" max="8184" width="9.33203125" style="415"/>
    <col min="8185" max="8185" width="8.1640625" style="415" customWidth="1"/>
    <col min="8186" max="8186" width="51.1640625" style="415" customWidth="1"/>
    <col min="8187" max="8187" width="13.83203125" style="415" customWidth="1"/>
    <col min="8188" max="8188" width="14.83203125" style="415" customWidth="1"/>
    <col min="8189" max="8189" width="16.1640625" style="415" customWidth="1"/>
    <col min="8190" max="8190" width="8" style="415" customWidth="1"/>
    <col min="8191" max="8191" width="9.5" style="415" customWidth="1"/>
    <col min="8192" max="8192" width="9.33203125" style="415" customWidth="1"/>
    <col min="8193" max="8193" width="12.33203125" style="415" customWidth="1"/>
    <col min="8194" max="8194" width="11.33203125" style="415" customWidth="1"/>
    <col min="8195" max="8440" width="9.33203125" style="415"/>
    <col min="8441" max="8441" width="8.1640625" style="415" customWidth="1"/>
    <col min="8442" max="8442" width="51.1640625" style="415" customWidth="1"/>
    <col min="8443" max="8443" width="13.83203125" style="415" customWidth="1"/>
    <col min="8444" max="8444" width="14.83203125" style="415" customWidth="1"/>
    <col min="8445" max="8445" width="16.1640625" style="415" customWidth="1"/>
    <col min="8446" max="8446" width="8" style="415" customWidth="1"/>
    <col min="8447" max="8447" width="9.5" style="415" customWidth="1"/>
    <col min="8448" max="8448" width="9.33203125" style="415" customWidth="1"/>
    <col min="8449" max="8449" width="12.33203125" style="415" customWidth="1"/>
    <col min="8450" max="8450" width="11.33203125" style="415" customWidth="1"/>
    <col min="8451" max="8696" width="9.33203125" style="415"/>
    <col min="8697" max="8697" width="8.1640625" style="415" customWidth="1"/>
    <col min="8698" max="8698" width="51.1640625" style="415" customWidth="1"/>
    <col min="8699" max="8699" width="13.83203125" style="415" customWidth="1"/>
    <col min="8700" max="8700" width="14.83203125" style="415" customWidth="1"/>
    <col min="8701" max="8701" width="16.1640625" style="415" customWidth="1"/>
    <col min="8702" max="8702" width="8" style="415" customWidth="1"/>
    <col min="8703" max="8703" width="9.5" style="415" customWidth="1"/>
    <col min="8704" max="8704" width="9.33203125" style="415" customWidth="1"/>
    <col min="8705" max="8705" width="12.33203125" style="415" customWidth="1"/>
    <col min="8706" max="8706" width="11.33203125" style="415" customWidth="1"/>
    <col min="8707" max="8952" width="9.33203125" style="415"/>
    <col min="8953" max="8953" width="8.1640625" style="415" customWidth="1"/>
    <col min="8954" max="8954" width="51.1640625" style="415" customWidth="1"/>
    <col min="8955" max="8955" width="13.83203125" style="415" customWidth="1"/>
    <col min="8956" max="8956" width="14.83203125" style="415" customWidth="1"/>
    <col min="8957" max="8957" width="16.1640625" style="415" customWidth="1"/>
    <col min="8958" max="8958" width="8" style="415" customWidth="1"/>
    <col min="8959" max="8959" width="9.5" style="415" customWidth="1"/>
    <col min="8960" max="8960" width="9.33203125" style="415" customWidth="1"/>
    <col min="8961" max="8961" width="12.33203125" style="415" customWidth="1"/>
    <col min="8962" max="8962" width="11.33203125" style="415" customWidth="1"/>
    <col min="8963" max="9208" width="9.33203125" style="415"/>
    <col min="9209" max="9209" width="8.1640625" style="415" customWidth="1"/>
    <col min="9210" max="9210" width="51.1640625" style="415" customWidth="1"/>
    <col min="9211" max="9211" width="13.83203125" style="415" customWidth="1"/>
    <col min="9212" max="9212" width="14.83203125" style="415" customWidth="1"/>
    <col min="9213" max="9213" width="16.1640625" style="415" customWidth="1"/>
    <col min="9214" max="9214" width="8" style="415" customWidth="1"/>
    <col min="9215" max="9215" width="9.5" style="415" customWidth="1"/>
    <col min="9216" max="9216" width="9.33203125" style="415" customWidth="1"/>
    <col min="9217" max="9217" width="12.33203125" style="415" customWidth="1"/>
    <col min="9218" max="9218" width="11.33203125" style="415" customWidth="1"/>
    <col min="9219" max="9464" width="9.33203125" style="415"/>
    <col min="9465" max="9465" width="8.1640625" style="415" customWidth="1"/>
    <col min="9466" max="9466" width="51.1640625" style="415" customWidth="1"/>
    <col min="9467" max="9467" width="13.83203125" style="415" customWidth="1"/>
    <col min="9468" max="9468" width="14.83203125" style="415" customWidth="1"/>
    <col min="9469" max="9469" width="16.1640625" style="415" customWidth="1"/>
    <col min="9470" max="9470" width="8" style="415" customWidth="1"/>
    <col min="9471" max="9471" width="9.5" style="415" customWidth="1"/>
    <col min="9472" max="9472" width="9.33203125" style="415" customWidth="1"/>
    <col min="9473" max="9473" width="12.33203125" style="415" customWidth="1"/>
    <col min="9474" max="9474" width="11.33203125" style="415" customWidth="1"/>
    <col min="9475" max="9720" width="9.33203125" style="415"/>
    <col min="9721" max="9721" width="8.1640625" style="415" customWidth="1"/>
    <col min="9722" max="9722" width="51.1640625" style="415" customWidth="1"/>
    <col min="9723" max="9723" width="13.83203125" style="415" customWidth="1"/>
    <col min="9724" max="9724" width="14.83203125" style="415" customWidth="1"/>
    <col min="9725" max="9725" width="16.1640625" style="415" customWidth="1"/>
    <col min="9726" max="9726" width="8" style="415" customWidth="1"/>
    <col min="9727" max="9727" width="9.5" style="415" customWidth="1"/>
    <col min="9728" max="9728" width="9.33203125" style="415" customWidth="1"/>
    <col min="9729" max="9729" width="12.33203125" style="415" customWidth="1"/>
    <col min="9730" max="9730" width="11.33203125" style="415" customWidth="1"/>
    <col min="9731" max="9976" width="9.33203125" style="415"/>
    <col min="9977" max="9977" width="8.1640625" style="415" customWidth="1"/>
    <col min="9978" max="9978" width="51.1640625" style="415" customWidth="1"/>
    <col min="9979" max="9979" width="13.83203125" style="415" customWidth="1"/>
    <col min="9980" max="9980" width="14.83203125" style="415" customWidth="1"/>
    <col min="9981" max="9981" width="16.1640625" style="415" customWidth="1"/>
    <col min="9982" max="9982" width="8" style="415" customWidth="1"/>
    <col min="9983" max="9983" width="9.5" style="415" customWidth="1"/>
    <col min="9984" max="9984" width="9.33203125" style="415" customWidth="1"/>
    <col min="9985" max="9985" width="12.33203125" style="415" customWidth="1"/>
    <col min="9986" max="9986" width="11.33203125" style="415" customWidth="1"/>
    <col min="9987" max="10232" width="9.33203125" style="415"/>
    <col min="10233" max="10233" width="8.1640625" style="415" customWidth="1"/>
    <col min="10234" max="10234" width="51.1640625" style="415" customWidth="1"/>
    <col min="10235" max="10235" width="13.83203125" style="415" customWidth="1"/>
    <col min="10236" max="10236" width="14.83203125" style="415" customWidth="1"/>
    <col min="10237" max="10237" width="16.1640625" style="415" customWidth="1"/>
    <col min="10238" max="10238" width="8" style="415" customWidth="1"/>
    <col min="10239" max="10239" width="9.5" style="415" customWidth="1"/>
    <col min="10240" max="10240" width="9.33203125" style="415" customWidth="1"/>
    <col min="10241" max="10241" width="12.33203125" style="415" customWidth="1"/>
    <col min="10242" max="10242" width="11.33203125" style="415" customWidth="1"/>
    <col min="10243" max="10488" width="9.33203125" style="415"/>
    <col min="10489" max="10489" width="8.1640625" style="415" customWidth="1"/>
    <col min="10490" max="10490" width="51.1640625" style="415" customWidth="1"/>
    <col min="10491" max="10491" width="13.83203125" style="415" customWidth="1"/>
    <col min="10492" max="10492" width="14.83203125" style="415" customWidth="1"/>
    <col min="10493" max="10493" width="16.1640625" style="415" customWidth="1"/>
    <col min="10494" max="10494" width="8" style="415" customWidth="1"/>
    <col min="10495" max="10495" width="9.5" style="415" customWidth="1"/>
    <col min="10496" max="10496" width="9.33203125" style="415" customWidth="1"/>
    <col min="10497" max="10497" width="12.33203125" style="415" customWidth="1"/>
    <col min="10498" max="10498" width="11.33203125" style="415" customWidth="1"/>
    <col min="10499" max="10744" width="9.33203125" style="415"/>
    <col min="10745" max="10745" width="8.1640625" style="415" customWidth="1"/>
    <col min="10746" max="10746" width="51.1640625" style="415" customWidth="1"/>
    <col min="10747" max="10747" width="13.83203125" style="415" customWidth="1"/>
    <col min="10748" max="10748" width="14.83203125" style="415" customWidth="1"/>
    <col min="10749" max="10749" width="16.1640625" style="415" customWidth="1"/>
    <col min="10750" max="10750" width="8" style="415" customWidth="1"/>
    <col min="10751" max="10751" width="9.5" style="415" customWidth="1"/>
    <col min="10752" max="10752" width="9.33203125" style="415" customWidth="1"/>
    <col min="10753" max="10753" width="12.33203125" style="415" customWidth="1"/>
    <col min="10754" max="10754" width="11.33203125" style="415" customWidth="1"/>
    <col min="10755" max="11000" width="9.33203125" style="415"/>
    <col min="11001" max="11001" width="8.1640625" style="415" customWidth="1"/>
    <col min="11002" max="11002" width="51.1640625" style="415" customWidth="1"/>
    <col min="11003" max="11003" width="13.83203125" style="415" customWidth="1"/>
    <col min="11004" max="11004" width="14.83203125" style="415" customWidth="1"/>
    <col min="11005" max="11005" width="16.1640625" style="415" customWidth="1"/>
    <col min="11006" max="11006" width="8" style="415" customWidth="1"/>
    <col min="11007" max="11007" width="9.5" style="415" customWidth="1"/>
    <col min="11008" max="11008" width="9.33203125" style="415" customWidth="1"/>
    <col min="11009" max="11009" width="12.33203125" style="415" customWidth="1"/>
    <col min="11010" max="11010" width="11.33203125" style="415" customWidth="1"/>
    <col min="11011" max="11256" width="9.33203125" style="415"/>
    <col min="11257" max="11257" width="8.1640625" style="415" customWidth="1"/>
    <col min="11258" max="11258" width="51.1640625" style="415" customWidth="1"/>
    <col min="11259" max="11259" width="13.83203125" style="415" customWidth="1"/>
    <col min="11260" max="11260" width="14.83203125" style="415" customWidth="1"/>
    <col min="11261" max="11261" width="16.1640625" style="415" customWidth="1"/>
    <col min="11262" max="11262" width="8" style="415" customWidth="1"/>
    <col min="11263" max="11263" width="9.5" style="415" customWidth="1"/>
    <col min="11264" max="11264" width="9.33203125" style="415" customWidth="1"/>
    <col min="11265" max="11265" width="12.33203125" style="415" customWidth="1"/>
    <col min="11266" max="11266" width="11.33203125" style="415" customWidth="1"/>
    <col min="11267" max="11512" width="9.33203125" style="415"/>
    <col min="11513" max="11513" width="8.1640625" style="415" customWidth="1"/>
    <col min="11514" max="11514" width="51.1640625" style="415" customWidth="1"/>
    <col min="11515" max="11515" width="13.83203125" style="415" customWidth="1"/>
    <col min="11516" max="11516" width="14.83203125" style="415" customWidth="1"/>
    <col min="11517" max="11517" width="16.1640625" style="415" customWidth="1"/>
    <col min="11518" max="11518" width="8" style="415" customWidth="1"/>
    <col min="11519" max="11519" width="9.5" style="415" customWidth="1"/>
    <col min="11520" max="11520" width="9.33203125" style="415" customWidth="1"/>
    <col min="11521" max="11521" width="12.33203125" style="415" customWidth="1"/>
    <col min="11522" max="11522" width="11.33203125" style="415" customWidth="1"/>
    <col min="11523" max="11768" width="9.33203125" style="415"/>
    <col min="11769" max="11769" width="8.1640625" style="415" customWidth="1"/>
    <col min="11770" max="11770" width="51.1640625" style="415" customWidth="1"/>
    <col min="11771" max="11771" width="13.83203125" style="415" customWidth="1"/>
    <col min="11772" max="11772" width="14.83203125" style="415" customWidth="1"/>
    <col min="11773" max="11773" width="16.1640625" style="415" customWidth="1"/>
    <col min="11774" max="11774" width="8" style="415" customWidth="1"/>
    <col min="11775" max="11775" width="9.5" style="415" customWidth="1"/>
    <col min="11776" max="11776" width="9.33203125" style="415" customWidth="1"/>
    <col min="11777" max="11777" width="12.33203125" style="415" customWidth="1"/>
    <col min="11778" max="11778" width="11.33203125" style="415" customWidth="1"/>
    <col min="11779" max="12024" width="9.33203125" style="415"/>
    <col min="12025" max="12025" width="8.1640625" style="415" customWidth="1"/>
    <col min="12026" max="12026" width="51.1640625" style="415" customWidth="1"/>
    <col min="12027" max="12027" width="13.83203125" style="415" customWidth="1"/>
    <col min="12028" max="12028" width="14.83203125" style="415" customWidth="1"/>
    <col min="12029" max="12029" width="16.1640625" style="415" customWidth="1"/>
    <col min="12030" max="12030" width="8" style="415" customWidth="1"/>
    <col min="12031" max="12031" width="9.5" style="415" customWidth="1"/>
    <col min="12032" max="12032" width="9.33203125" style="415" customWidth="1"/>
    <col min="12033" max="12033" width="12.33203125" style="415" customWidth="1"/>
    <col min="12034" max="12034" width="11.33203125" style="415" customWidth="1"/>
    <col min="12035" max="12280" width="9.33203125" style="415"/>
    <col min="12281" max="12281" width="8.1640625" style="415" customWidth="1"/>
    <col min="12282" max="12282" width="51.1640625" style="415" customWidth="1"/>
    <col min="12283" max="12283" width="13.83203125" style="415" customWidth="1"/>
    <col min="12284" max="12284" width="14.83203125" style="415" customWidth="1"/>
    <col min="12285" max="12285" width="16.1640625" style="415" customWidth="1"/>
    <col min="12286" max="12286" width="8" style="415" customWidth="1"/>
    <col min="12287" max="12287" width="9.5" style="415" customWidth="1"/>
    <col min="12288" max="12288" width="9.33203125" style="415" customWidth="1"/>
    <col min="12289" max="12289" width="12.33203125" style="415" customWidth="1"/>
    <col min="12290" max="12290" width="11.33203125" style="415" customWidth="1"/>
    <col min="12291" max="12536" width="9.33203125" style="415"/>
    <col min="12537" max="12537" width="8.1640625" style="415" customWidth="1"/>
    <col min="12538" max="12538" width="51.1640625" style="415" customWidth="1"/>
    <col min="12539" max="12539" width="13.83203125" style="415" customWidth="1"/>
    <col min="12540" max="12540" width="14.83203125" style="415" customWidth="1"/>
    <col min="12541" max="12541" width="16.1640625" style="415" customWidth="1"/>
    <col min="12542" max="12542" width="8" style="415" customWidth="1"/>
    <col min="12543" max="12543" width="9.5" style="415" customWidth="1"/>
    <col min="12544" max="12544" width="9.33203125" style="415" customWidth="1"/>
    <col min="12545" max="12545" width="12.33203125" style="415" customWidth="1"/>
    <col min="12546" max="12546" width="11.33203125" style="415" customWidth="1"/>
    <col min="12547" max="12792" width="9.33203125" style="415"/>
    <col min="12793" max="12793" width="8.1640625" style="415" customWidth="1"/>
    <col min="12794" max="12794" width="51.1640625" style="415" customWidth="1"/>
    <col min="12795" max="12795" width="13.83203125" style="415" customWidth="1"/>
    <col min="12796" max="12796" width="14.83203125" style="415" customWidth="1"/>
    <col min="12797" max="12797" width="16.1640625" style="415" customWidth="1"/>
    <col min="12798" max="12798" width="8" style="415" customWidth="1"/>
    <col min="12799" max="12799" width="9.5" style="415" customWidth="1"/>
    <col min="12800" max="12800" width="9.33203125" style="415" customWidth="1"/>
    <col min="12801" max="12801" width="12.33203125" style="415" customWidth="1"/>
    <col min="12802" max="12802" width="11.33203125" style="415" customWidth="1"/>
    <col min="12803" max="13048" width="9.33203125" style="415"/>
    <col min="13049" max="13049" width="8.1640625" style="415" customWidth="1"/>
    <col min="13050" max="13050" width="51.1640625" style="415" customWidth="1"/>
    <col min="13051" max="13051" width="13.83203125" style="415" customWidth="1"/>
    <col min="13052" max="13052" width="14.83203125" style="415" customWidth="1"/>
    <col min="13053" max="13053" width="16.1640625" style="415" customWidth="1"/>
    <col min="13054" max="13054" width="8" style="415" customWidth="1"/>
    <col min="13055" max="13055" width="9.5" style="415" customWidth="1"/>
    <col min="13056" max="13056" width="9.33203125" style="415" customWidth="1"/>
    <col min="13057" max="13057" width="12.33203125" style="415" customWidth="1"/>
    <col min="13058" max="13058" width="11.33203125" style="415" customWidth="1"/>
    <col min="13059" max="13304" width="9.33203125" style="415"/>
    <col min="13305" max="13305" width="8.1640625" style="415" customWidth="1"/>
    <col min="13306" max="13306" width="51.1640625" style="415" customWidth="1"/>
    <col min="13307" max="13307" width="13.83203125" style="415" customWidth="1"/>
    <col min="13308" max="13308" width="14.83203125" style="415" customWidth="1"/>
    <col min="13309" max="13309" width="16.1640625" style="415" customWidth="1"/>
    <col min="13310" max="13310" width="8" style="415" customWidth="1"/>
    <col min="13311" max="13311" width="9.5" style="415" customWidth="1"/>
    <col min="13312" max="13312" width="9.33203125" style="415" customWidth="1"/>
    <col min="13313" max="13313" width="12.33203125" style="415" customWidth="1"/>
    <col min="13314" max="13314" width="11.33203125" style="415" customWidth="1"/>
    <col min="13315" max="13560" width="9.33203125" style="415"/>
    <col min="13561" max="13561" width="8.1640625" style="415" customWidth="1"/>
    <col min="13562" max="13562" width="51.1640625" style="415" customWidth="1"/>
    <col min="13563" max="13563" width="13.83203125" style="415" customWidth="1"/>
    <col min="13564" max="13564" width="14.83203125" style="415" customWidth="1"/>
    <col min="13565" max="13565" width="16.1640625" style="415" customWidth="1"/>
    <col min="13566" max="13566" width="8" style="415" customWidth="1"/>
    <col min="13567" max="13567" width="9.5" style="415" customWidth="1"/>
    <col min="13568" max="13568" width="9.33203125" style="415" customWidth="1"/>
    <col min="13569" max="13569" width="12.33203125" style="415" customWidth="1"/>
    <col min="13570" max="13570" width="11.33203125" style="415" customWidth="1"/>
    <col min="13571" max="13816" width="9.33203125" style="415"/>
    <col min="13817" max="13817" width="8.1640625" style="415" customWidth="1"/>
    <col min="13818" max="13818" width="51.1640625" style="415" customWidth="1"/>
    <col min="13819" max="13819" width="13.83203125" style="415" customWidth="1"/>
    <col min="13820" max="13820" width="14.83203125" style="415" customWidth="1"/>
    <col min="13821" max="13821" width="16.1640625" style="415" customWidth="1"/>
    <col min="13822" max="13822" width="8" style="415" customWidth="1"/>
    <col min="13823" max="13823" width="9.5" style="415" customWidth="1"/>
    <col min="13824" max="13824" width="9.33203125" style="415" customWidth="1"/>
    <col min="13825" max="13825" width="12.33203125" style="415" customWidth="1"/>
    <col min="13826" max="13826" width="11.33203125" style="415" customWidth="1"/>
    <col min="13827" max="14072" width="9.33203125" style="415"/>
    <col min="14073" max="14073" width="8.1640625" style="415" customWidth="1"/>
    <col min="14074" max="14074" width="51.1640625" style="415" customWidth="1"/>
    <col min="14075" max="14075" width="13.83203125" style="415" customWidth="1"/>
    <col min="14076" max="14076" width="14.83203125" style="415" customWidth="1"/>
    <col min="14077" max="14077" width="16.1640625" style="415" customWidth="1"/>
    <col min="14078" max="14078" width="8" style="415" customWidth="1"/>
    <col min="14079" max="14079" width="9.5" style="415" customWidth="1"/>
    <col min="14080" max="14080" width="9.33203125" style="415" customWidth="1"/>
    <col min="14081" max="14081" width="12.33203125" style="415" customWidth="1"/>
    <col min="14082" max="14082" width="11.33203125" style="415" customWidth="1"/>
    <col min="14083" max="14328" width="9.33203125" style="415"/>
    <col min="14329" max="14329" width="8.1640625" style="415" customWidth="1"/>
    <col min="14330" max="14330" width="51.1640625" style="415" customWidth="1"/>
    <col min="14331" max="14331" width="13.83203125" style="415" customWidth="1"/>
    <col min="14332" max="14332" width="14.83203125" style="415" customWidth="1"/>
    <col min="14333" max="14333" width="16.1640625" style="415" customWidth="1"/>
    <col min="14334" max="14334" width="8" style="415" customWidth="1"/>
    <col min="14335" max="14335" width="9.5" style="415" customWidth="1"/>
    <col min="14336" max="14336" width="9.33203125" style="415" customWidth="1"/>
    <col min="14337" max="14337" width="12.33203125" style="415" customWidth="1"/>
    <col min="14338" max="14338" width="11.33203125" style="415" customWidth="1"/>
    <col min="14339" max="14584" width="9.33203125" style="415"/>
    <col min="14585" max="14585" width="8.1640625" style="415" customWidth="1"/>
    <col min="14586" max="14586" width="51.1640625" style="415" customWidth="1"/>
    <col min="14587" max="14587" width="13.83203125" style="415" customWidth="1"/>
    <col min="14588" max="14588" width="14.83203125" style="415" customWidth="1"/>
    <col min="14589" max="14589" width="16.1640625" style="415" customWidth="1"/>
    <col min="14590" max="14590" width="8" style="415" customWidth="1"/>
    <col min="14591" max="14591" width="9.5" style="415" customWidth="1"/>
    <col min="14592" max="14592" width="9.33203125" style="415" customWidth="1"/>
    <col min="14593" max="14593" width="12.33203125" style="415" customWidth="1"/>
    <col min="14594" max="14594" width="11.33203125" style="415" customWidth="1"/>
    <col min="14595" max="14840" width="9.33203125" style="415"/>
    <col min="14841" max="14841" width="8.1640625" style="415" customWidth="1"/>
    <col min="14842" max="14842" width="51.1640625" style="415" customWidth="1"/>
    <col min="14843" max="14843" width="13.83203125" style="415" customWidth="1"/>
    <col min="14844" max="14844" width="14.83203125" style="415" customWidth="1"/>
    <col min="14845" max="14845" width="16.1640625" style="415" customWidth="1"/>
    <col min="14846" max="14846" width="8" style="415" customWidth="1"/>
    <col min="14847" max="14847" width="9.5" style="415" customWidth="1"/>
    <col min="14848" max="14848" width="9.33203125" style="415" customWidth="1"/>
    <col min="14849" max="14849" width="12.33203125" style="415" customWidth="1"/>
    <col min="14850" max="14850" width="11.33203125" style="415" customWidth="1"/>
    <col min="14851" max="15096" width="9.33203125" style="415"/>
    <col min="15097" max="15097" width="8.1640625" style="415" customWidth="1"/>
    <col min="15098" max="15098" width="51.1640625" style="415" customWidth="1"/>
    <col min="15099" max="15099" width="13.83203125" style="415" customWidth="1"/>
    <col min="15100" max="15100" width="14.83203125" style="415" customWidth="1"/>
    <col min="15101" max="15101" width="16.1640625" style="415" customWidth="1"/>
    <col min="15102" max="15102" width="8" style="415" customWidth="1"/>
    <col min="15103" max="15103" width="9.5" style="415" customWidth="1"/>
    <col min="15104" max="15104" width="9.33203125" style="415" customWidth="1"/>
    <col min="15105" max="15105" width="12.33203125" style="415" customWidth="1"/>
    <col min="15106" max="15106" width="11.33203125" style="415" customWidth="1"/>
    <col min="15107" max="15352" width="9.33203125" style="415"/>
    <col min="15353" max="15353" width="8.1640625" style="415" customWidth="1"/>
    <col min="15354" max="15354" width="51.1640625" style="415" customWidth="1"/>
    <col min="15355" max="15355" width="13.83203125" style="415" customWidth="1"/>
    <col min="15356" max="15356" width="14.83203125" style="415" customWidth="1"/>
    <col min="15357" max="15357" width="16.1640625" style="415" customWidth="1"/>
    <col min="15358" max="15358" width="8" style="415" customWidth="1"/>
    <col min="15359" max="15359" width="9.5" style="415" customWidth="1"/>
    <col min="15360" max="15360" width="9.33203125" style="415" customWidth="1"/>
    <col min="15361" max="15361" width="12.33203125" style="415" customWidth="1"/>
    <col min="15362" max="15362" width="11.33203125" style="415" customWidth="1"/>
    <col min="15363" max="15608" width="9.33203125" style="415"/>
    <col min="15609" max="15609" width="8.1640625" style="415" customWidth="1"/>
    <col min="15610" max="15610" width="51.1640625" style="415" customWidth="1"/>
    <col min="15611" max="15611" width="13.83203125" style="415" customWidth="1"/>
    <col min="15612" max="15612" width="14.83203125" style="415" customWidth="1"/>
    <col min="15613" max="15613" width="16.1640625" style="415" customWidth="1"/>
    <col min="15614" max="15614" width="8" style="415" customWidth="1"/>
    <col min="15615" max="15615" width="9.5" style="415" customWidth="1"/>
    <col min="15616" max="15616" width="9.33203125" style="415" customWidth="1"/>
    <col min="15617" max="15617" width="12.33203125" style="415" customWidth="1"/>
    <col min="15618" max="15618" width="11.33203125" style="415" customWidth="1"/>
    <col min="15619" max="15864" width="9.33203125" style="415"/>
    <col min="15865" max="15865" width="8.1640625" style="415" customWidth="1"/>
    <col min="15866" max="15866" width="51.1640625" style="415" customWidth="1"/>
    <col min="15867" max="15867" width="13.83203125" style="415" customWidth="1"/>
    <col min="15868" max="15868" width="14.83203125" style="415" customWidth="1"/>
    <col min="15869" max="15869" width="16.1640625" style="415" customWidth="1"/>
    <col min="15870" max="15870" width="8" style="415" customWidth="1"/>
    <col min="15871" max="15871" width="9.5" style="415" customWidth="1"/>
    <col min="15872" max="15872" width="9.33203125" style="415" customWidth="1"/>
    <col min="15873" max="15873" width="12.33203125" style="415" customWidth="1"/>
    <col min="15874" max="15874" width="11.33203125" style="415" customWidth="1"/>
    <col min="15875" max="16120" width="9.33203125" style="415"/>
    <col min="16121" max="16121" width="8.1640625" style="415" customWidth="1"/>
    <col min="16122" max="16122" width="51.1640625" style="415" customWidth="1"/>
    <col min="16123" max="16123" width="13.83203125" style="415" customWidth="1"/>
    <col min="16124" max="16124" width="14.83203125" style="415" customWidth="1"/>
    <col min="16125" max="16125" width="16.1640625" style="415" customWidth="1"/>
    <col min="16126" max="16126" width="8" style="415" customWidth="1"/>
    <col min="16127" max="16127" width="9.5" style="415" customWidth="1"/>
    <col min="16128" max="16128" width="9.33203125" style="415" customWidth="1"/>
    <col min="16129" max="16129" width="12.33203125" style="415" customWidth="1"/>
    <col min="16130" max="16130" width="11.33203125" style="415" customWidth="1"/>
    <col min="16131" max="16384" width="9.33203125" style="415"/>
  </cols>
  <sheetData>
    <row r="1" spans="1:90" ht="33">
      <c r="A1" s="796" t="s">
        <v>409</v>
      </c>
      <c r="B1" s="797"/>
      <c r="C1" s="1110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411"/>
      <c r="AV1" s="411"/>
      <c r="AW1" s="411"/>
      <c r="AX1" s="411"/>
      <c r="AY1" s="411"/>
      <c r="AZ1" s="411"/>
      <c r="BA1" s="411"/>
      <c r="BB1" s="411"/>
      <c r="BC1" s="411"/>
      <c r="BD1" s="411"/>
      <c r="BE1" s="411"/>
      <c r="BF1" s="411"/>
      <c r="BG1" s="411"/>
      <c r="BH1" s="411"/>
      <c r="BI1" s="411"/>
      <c r="BJ1" s="411"/>
      <c r="BK1" s="411"/>
      <c r="BL1" s="411"/>
      <c r="BM1" s="411"/>
      <c r="BN1" s="411"/>
      <c r="BO1" s="411"/>
      <c r="BP1" s="411"/>
      <c r="BQ1" s="411"/>
      <c r="BR1" s="411"/>
      <c r="BS1" s="411"/>
      <c r="BT1" s="411"/>
      <c r="BU1" s="411"/>
      <c r="BV1" s="411"/>
      <c r="BW1" s="411"/>
      <c r="BX1" s="411"/>
      <c r="BY1" s="411"/>
      <c r="BZ1" s="411"/>
      <c r="CA1" s="411"/>
      <c r="CB1" s="411"/>
      <c r="CC1" s="411"/>
      <c r="CD1" s="411"/>
      <c r="CE1" s="411"/>
      <c r="CF1" s="411"/>
      <c r="CG1" s="411"/>
      <c r="CH1" s="411"/>
      <c r="CI1" s="411"/>
      <c r="CJ1" s="411"/>
      <c r="CK1" s="411"/>
      <c r="CL1" s="412"/>
    </row>
    <row r="2" spans="1:90" ht="33" customHeight="1">
      <c r="A2" s="798" t="s">
        <v>522</v>
      </c>
      <c r="B2" s="799"/>
      <c r="C2" s="804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5"/>
      <c r="AZ2" s="405"/>
      <c r="BA2" s="405"/>
      <c r="BB2" s="405"/>
      <c r="BC2" s="405"/>
      <c r="BD2" s="405"/>
      <c r="BE2" s="405"/>
      <c r="BF2" s="405"/>
      <c r="BG2" s="405"/>
      <c r="BH2" s="405"/>
      <c r="BI2" s="405"/>
      <c r="BJ2" s="405"/>
      <c r="BK2" s="405"/>
      <c r="BL2" s="405"/>
      <c r="BM2" s="405"/>
      <c r="BN2" s="405"/>
      <c r="BO2" s="405"/>
      <c r="BP2" s="405"/>
      <c r="BQ2" s="405"/>
      <c r="BR2" s="405"/>
      <c r="BS2" s="405"/>
      <c r="BT2" s="405"/>
      <c r="BU2" s="405"/>
      <c r="BV2" s="405"/>
      <c r="BW2" s="405"/>
      <c r="BX2" s="405"/>
      <c r="BY2" s="405"/>
      <c r="BZ2" s="405"/>
      <c r="CA2" s="405"/>
      <c r="CB2" s="405"/>
      <c r="CC2" s="405"/>
      <c r="CD2" s="405"/>
      <c r="CE2" s="405"/>
      <c r="CF2" s="405"/>
      <c r="CG2" s="405"/>
      <c r="CH2" s="405"/>
      <c r="CI2" s="405"/>
      <c r="CJ2" s="405"/>
      <c r="CK2" s="405"/>
      <c r="CL2" s="406"/>
    </row>
    <row r="3" spans="1:90" ht="33">
      <c r="A3" s="796" t="s">
        <v>22</v>
      </c>
      <c r="B3" s="797"/>
      <c r="C3" s="1110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11"/>
      <c r="BR3" s="411"/>
      <c r="BS3" s="411"/>
      <c r="BT3" s="411"/>
      <c r="BU3" s="411"/>
      <c r="BV3" s="411"/>
      <c r="BW3" s="411"/>
      <c r="BX3" s="411"/>
      <c r="BY3" s="411"/>
      <c r="BZ3" s="411"/>
      <c r="CA3" s="411"/>
      <c r="CB3" s="411"/>
      <c r="CC3" s="411"/>
      <c r="CD3" s="411"/>
      <c r="CE3" s="411"/>
      <c r="CF3" s="411"/>
      <c r="CG3" s="411"/>
      <c r="CH3" s="411"/>
      <c r="CI3" s="411"/>
      <c r="CJ3" s="411"/>
      <c r="CK3" s="411"/>
      <c r="CL3" s="412"/>
    </row>
    <row r="4" spans="1:90" ht="57" customHeight="1">
      <c r="A4" s="416" t="s">
        <v>614</v>
      </c>
      <c r="B4" s="416" t="s">
        <v>551</v>
      </c>
    </row>
    <row r="5" spans="1:90">
      <c r="A5" s="417"/>
      <c r="B5" s="418" t="s">
        <v>599</v>
      </c>
    </row>
    <row r="6" spans="1:90">
      <c r="A6" s="419">
        <v>1</v>
      </c>
      <c r="B6" s="419" t="s">
        <v>615</v>
      </c>
    </row>
    <row r="7" spans="1:90">
      <c r="A7" s="419">
        <v>2</v>
      </c>
      <c r="B7" s="419" t="s">
        <v>616</v>
      </c>
    </row>
    <row r="8" spans="1:90">
      <c r="A8" s="419">
        <v>3</v>
      </c>
      <c r="B8" s="419" t="s">
        <v>617</v>
      </c>
    </row>
    <row r="9" spans="1:90">
      <c r="A9" s="419">
        <v>4</v>
      </c>
      <c r="B9" s="419" t="s">
        <v>618</v>
      </c>
    </row>
    <row r="10" spans="1:90">
      <c r="A10" s="419">
        <v>5</v>
      </c>
      <c r="B10" s="419" t="s">
        <v>619</v>
      </c>
    </row>
    <row r="11" spans="1:90">
      <c r="A11" s="419">
        <v>6</v>
      </c>
      <c r="B11" s="419" t="s">
        <v>620</v>
      </c>
    </row>
    <row r="12" spans="1:90">
      <c r="A12" s="419">
        <v>7</v>
      </c>
      <c r="B12" s="419" t="s">
        <v>621</v>
      </c>
    </row>
    <row r="13" spans="1:90">
      <c r="A13" s="419">
        <v>8</v>
      </c>
      <c r="B13" s="419" t="s">
        <v>622</v>
      </c>
    </row>
    <row r="14" spans="1:90">
      <c r="A14" s="419">
        <v>9</v>
      </c>
      <c r="B14" s="419" t="s">
        <v>623</v>
      </c>
    </row>
    <row r="15" spans="1:90">
      <c r="A15" s="419"/>
      <c r="B15" s="418" t="s">
        <v>589</v>
      </c>
    </row>
    <row r="16" spans="1:90">
      <c r="A16" s="419">
        <v>10</v>
      </c>
      <c r="B16" s="419" t="s">
        <v>615</v>
      </c>
    </row>
    <row r="17" spans="1:2">
      <c r="A17" s="419">
        <v>11</v>
      </c>
      <c r="B17" s="419" t="s">
        <v>616</v>
      </c>
    </row>
    <row r="18" spans="1:2">
      <c r="A18" s="419">
        <v>12</v>
      </c>
      <c r="B18" s="419" t="s">
        <v>617</v>
      </c>
    </row>
    <row r="19" spans="1:2">
      <c r="A19" s="419">
        <v>13</v>
      </c>
      <c r="B19" s="419" t="s">
        <v>618</v>
      </c>
    </row>
    <row r="20" spans="1:2">
      <c r="A20" s="419">
        <v>14</v>
      </c>
      <c r="B20" s="419" t="s">
        <v>619</v>
      </c>
    </row>
    <row r="21" spans="1:2">
      <c r="A21" s="419">
        <v>15</v>
      </c>
      <c r="B21" s="419" t="s">
        <v>620</v>
      </c>
    </row>
    <row r="22" spans="1:2">
      <c r="A22" s="419">
        <v>16</v>
      </c>
      <c r="B22" s="419" t="s">
        <v>621</v>
      </c>
    </row>
    <row r="23" spans="1:2">
      <c r="A23" s="419">
        <v>17</v>
      </c>
      <c r="B23" s="419" t="s">
        <v>622</v>
      </c>
    </row>
    <row r="24" spans="1:2">
      <c r="A24" s="419">
        <v>18</v>
      </c>
      <c r="B24" s="419" t="s">
        <v>623</v>
      </c>
    </row>
    <row r="25" spans="1:2">
      <c r="A25" s="419"/>
      <c r="B25" s="418" t="s">
        <v>579</v>
      </c>
    </row>
    <row r="26" spans="1:2">
      <c r="A26" s="419">
        <v>19</v>
      </c>
      <c r="B26" s="419" t="s">
        <v>310</v>
      </c>
    </row>
    <row r="27" spans="1:2">
      <c r="A27" s="419">
        <v>20</v>
      </c>
      <c r="B27" s="419" t="s">
        <v>624</v>
      </c>
    </row>
    <row r="28" spans="1:2">
      <c r="A28" s="419">
        <v>21</v>
      </c>
      <c r="B28" s="419" t="s">
        <v>625</v>
      </c>
    </row>
    <row r="29" spans="1:2">
      <c r="A29" s="419">
        <v>22</v>
      </c>
      <c r="B29" s="419" t="s">
        <v>626</v>
      </c>
    </row>
    <row r="30" spans="1:2">
      <c r="A30" s="419">
        <v>23</v>
      </c>
      <c r="B30" s="419" t="s">
        <v>627</v>
      </c>
    </row>
    <row r="31" spans="1:2">
      <c r="A31" s="419">
        <v>24</v>
      </c>
      <c r="B31" s="419" t="s">
        <v>628</v>
      </c>
    </row>
    <row r="32" spans="1:2">
      <c r="A32" s="419">
        <v>25</v>
      </c>
      <c r="B32" s="419" t="s">
        <v>316</v>
      </c>
    </row>
    <row r="33" spans="1:81">
      <c r="A33" s="419">
        <v>26</v>
      </c>
      <c r="B33" s="419" t="s">
        <v>629</v>
      </c>
    </row>
    <row r="34" spans="1:81" ht="30">
      <c r="A34" s="419">
        <v>27</v>
      </c>
      <c r="B34" s="421" t="s">
        <v>630</v>
      </c>
      <c r="F34" s="158"/>
    </row>
    <row r="35" spans="1:81" ht="30">
      <c r="A35" s="419">
        <v>28</v>
      </c>
      <c r="B35" s="421" t="s">
        <v>631</v>
      </c>
      <c r="F35" s="158"/>
    </row>
    <row r="36" spans="1:81" ht="25.5">
      <c r="A36" s="419"/>
      <c r="B36" s="422"/>
      <c r="F36" s="158"/>
    </row>
    <row r="37" spans="1:81" ht="36.75" customHeight="1">
      <c r="B37" s="653"/>
      <c r="C37" s="413"/>
      <c r="D37" s="413"/>
      <c r="E37" s="413"/>
      <c r="F37" s="413"/>
      <c r="G37" s="413"/>
      <c r="H37" s="413"/>
      <c r="I37" s="413"/>
      <c r="J37" s="413"/>
      <c r="K37" s="413"/>
      <c r="L37" s="413"/>
      <c r="M37" s="413"/>
      <c r="N37" s="413"/>
      <c r="O37" s="413"/>
      <c r="P37" s="413"/>
      <c r="Q37" s="413"/>
      <c r="R37" s="413"/>
      <c r="S37" s="413"/>
      <c r="T37" s="413"/>
      <c r="U37" s="413"/>
      <c r="V37" s="413"/>
      <c r="W37" s="413"/>
      <c r="X37" s="413"/>
      <c r="Y37" s="413"/>
      <c r="Z37" s="413"/>
      <c r="AA37" s="413"/>
      <c r="AB37" s="413"/>
      <c r="AC37" s="413"/>
      <c r="AD37" s="413"/>
      <c r="AE37" s="413"/>
      <c r="AF37" s="413"/>
      <c r="AG37" s="413"/>
      <c r="AH37" s="413"/>
      <c r="AI37" s="413"/>
      <c r="AJ37" s="413"/>
      <c r="AK37" s="413"/>
      <c r="AL37" s="413"/>
      <c r="AM37" s="413"/>
      <c r="AN37" s="413"/>
      <c r="AO37" s="413"/>
      <c r="AP37" s="413"/>
      <c r="AQ37" s="413"/>
      <c r="AR37" s="413"/>
      <c r="AS37" s="413"/>
      <c r="AT37" s="413"/>
      <c r="AU37" s="413"/>
      <c r="AV37" s="413"/>
      <c r="AW37" s="413"/>
      <c r="AX37" s="413"/>
      <c r="AY37" s="413"/>
      <c r="AZ37" s="413"/>
      <c r="BA37" s="413"/>
      <c r="BB37" s="413"/>
      <c r="BC37" s="413"/>
      <c r="BD37" s="413"/>
      <c r="BE37" s="413"/>
      <c r="BF37" s="413"/>
      <c r="BG37" s="413"/>
      <c r="BH37" s="413"/>
      <c r="BI37" s="413"/>
      <c r="BJ37" s="413"/>
      <c r="BK37" s="413"/>
      <c r="BL37" s="413"/>
      <c r="BM37" s="413"/>
      <c r="BN37" s="413"/>
      <c r="BO37" s="413"/>
      <c r="BP37" s="413"/>
      <c r="BQ37" s="413"/>
      <c r="BR37" s="413"/>
      <c r="BS37" s="413"/>
      <c r="BT37" s="413"/>
      <c r="BU37" s="413"/>
      <c r="BV37" s="413"/>
      <c r="BW37" s="413"/>
      <c r="BX37" s="413"/>
      <c r="BY37" s="413"/>
      <c r="BZ37" s="413"/>
      <c r="CA37" s="413"/>
      <c r="CB37" s="413"/>
      <c r="CC37" s="414"/>
    </row>
    <row r="38" spans="1:81" ht="25.5">
      <c r="B38" s="555">
        <f>COUNTA(A6:A35)</f>
        <v>28</v>
      </c>
      <c r="F38" s="158"/>
    </row>
    <row r="39" spans="1:81" ht="25.5">
      <c r="F39" s="158"/>
    </row>
    <row r="40" spans="1:81" ht="25.5">
      <c r="F40" s="158"/>
    </row>
    <row r="41" spans="1:81" ht="25.5">
      <c r="F41" s="158"/>
    </row>
    <row r="42" spans="1:81" ht="25.5">
      <c r="F42" s="158"/>
    </row>
    <row r="43" spans="1:81" ht="25.5">
      <c r="F43" s="158"/>
    </row>
    <row r="44" spans="1:81" ht="25.5">
      <c r="F44" s="158"/>
    </row>
    <row r="45" spans="1:81" ht="25.5">
      <c r="F45" s="158"/>
    </row>
    <row r="46" spans="1:81" ht="25.5">
      <c r="F46" s="158"/>
    </row>
    <row r="47" spans="1:81" ht="25.5">
      <c r="F47" s="158"/>
    </row>
    <row r="48" spans="1:81" ht="25.5">
      <c r="F48" s="158"/>
    </row>
    <row r="49" spans="6:6" ht="25.5">
      <c r="F49" s="158"/>
    </row>
    <row r="50" spans="6:6" ht="25.5">
      <c r="F50" s="158"/>
    </row>
    <row r="51" spans="6:6" ht="25.5">
      <c r="F51" s="158"/>
    </row>
    <row r="52" spans="6:6" ht="25.5">
      <c r="F52" s="158"/>
    </row>
    <row r="53" spans="6:6" ht="25.5">
      <c r="F53" s="158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8"/>
  <sheetViews>
    <sheetView view="pageBreakPreview" topLeftCell="A21" zoomScale="60" workbookViewId="0">
      <selection activeCell="A37" sqref="A37:CI37"/>
    </sheetView>
  </sheetViews>
  <sheetFormatPr defaultRowHeight="18.75"/>
  <cols>
    <col min="1" max="2" width="9.33203125" style="32"/>
    <col min="3" max="3" width="117.1640625" style="32" customWidth="1"/>
    <col min="4" max="75" width="0" style="32" hidden="1" customWidth="1"/>
    <col min="76" max="76" width="17.83203125" style="32" hidden="1" customWidth="1"/>
    <col min="77" max="82" width="9.33203125" style="32"/>
    <col min="83" max="83" width="25.83203125" style="32" customWidth="1"/>
    <col min="84" max="84" width="9.33203125" style="32" hidden="1" customWidth="1"/>
    <col min="85" max="96" width="0" style="32" hidden="1" customWidth="1"/>
    <col min="97" max="97" width="5.83203125" style="32" hidden="1" customWidth="1"/>
    <col min="98" max="98" width="83.5" style="32" customWidth="1"/>
    <col min="99" max="16384" width="9.33203125" style="32"/>
  </cols>
  <sheetData>
    <row r="1" spans="1:106" ht="33">
      <c r="A1" s="796" t="s">
        <v>409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  <c r="AB1" s="797"/>
      <c r="AC1" s="797"/>
      <c r="AD1" s="797"/>
      <c r="AE1" s="797"/>
      <c r="AF1" s="797"/>
      <c r="AG1" s="797"/>
      <c r="AH1" s="797"/>
      <c r="AI1" s="797"/>
      <c r="AJ1" s="797"/>
      <c r="AK1" s="797"/>
      <c r="AL1" s="797"/>
      <c r="AM1" s="797"/>
      <c r="AN1" s="797"/>
      <c r="AO1" s="797"/>
      <c r="AP1" s="797"/>
      <c r="AQ1" s="797"/>
      <c r="AR1" s="797"/>
      <c r="AS1" s="797"/>
      <c r="AT1" s="797"/>
      <c r="AU1" s="797"/>
      <c r="AV1" s="797"/>
      <c r="AW1" s="797"/>
      <c r="AX1" s="797"/>
      <c r="AY1" s="797"/>
      <c r="AZ1" s="797"/>
      <c r="BA1" s="797"/>
      <c r="BB1" s="797"/>
      <c r="BC1" s="797"/>
      <c r="BD1" s="797"/>
      <c r="BE1" s="797"/>
      <c r="BF1" s="797"/>
      <c r="BG1" s="797"/>
      <c r="BH1" s="797"/>
      <c r="BI1" s="797"/>
      <c r="BJ1" s="797"/>
      <c r="BK1" s="797"/>
      <c r="BL1" s="797"/>
      <c r="BM1" s="797"/>
      <c r="BN1" s="797"/>
      <c r="BO1" s="797"/>
      <c r="BP1" s="797"/>
      <c r="BQ1" s="797"/>
      <c r="BR1" s="797"/>
      <c r="BS1" s="797"/>
      <c r="BT1" s="797"/>
      <c r="BU1" s="797"/>
      <c r="BV1" s="797"/>
      <c r="BW1" s="797"/>
      <c r="BX1" s="797"/>
      <c r="BY1" s="797"/>
      <c r="BZ1" s="797"/>
      <c r="CA1" s="797"/>
      <c r="CB1" s="797"/>
      <c r="CC1" s="797"/>
      <c r="CD1" s="797"/>
      <c r="CE1" s="797"/>
      <c r="CF1" s="797"/>
      <c r="CG1" s="797"/>
      <c r="CH1" s="797"/>
      <c r="CI1" s="797"/>
      <c r="CJ1" s="797"/>
      <c r="CK1" s="797"/>
      <c r="CL1" s="797"/>
      <c r="CM1" s="797"/>
      <c r="CN1" s="797"/>
      <c r="CO1" s="797"/>
      <c r="CP1" s="797"/>
      <c r="CQ1" s="797"/>
      <c r="CR1" s="797"/>
      <c r="CS1" s="797"/>
      <c r="CT1" s="1110"/>
      <c r="CU1" s="145"/>
      <c r="CV1" s="145"/>
      <c r="CW1" s="145"/>
      <c r="CX1" s="145"/>
      <c r="CY1" s="145"/>
      <c r="CZ1" s="145"/>
      <c r="DA1" s="145"/>
      <c r="DB1" s="145"/>
    </row>
    <row r="2" spans="1:106" ht="33" customHeight="1">
      <c r="A2" s="798" t="s">
        <v>522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799"/>
      <c r="AB2" s="799"/>
      <c r="AC2" s="799"/>
      <c r="AD2" s="799"/>
      <c r="AE2" s="799"/>
      <c r="AF2" s="799"/>
      <c r="AG2" s="799"/>
      <c r="AH2" s="799"/>
      <c r="AI2" s="799"/>
      <c r="AJ2" s="799"/>
      <c r="AK2" s="799"/>
      <c r="AL2" s="799"/>
      <c r="AM2" s="799"/>
      <c r="AN2" s="799"/>
      <c r="AO2" s="799"/>
      <c r="AP2" s="799"/>
      <c r="AQ2" s="799"/>
      <c r="AR2" s="799"/>
      <c r="AS2" s="799"/>
      <c r="AT2" s="799"/>
      <c r="AU2" s="799"/>
      <c r="AV2" s="799"/>
      <c r="AW2" s="799"/>
      <c r="AX2" s="799"/>
      <c r="AY2" s="799"/>
      <c r="AZ2" s="799"/>
      <c r="BA2" s="799"/>
      <c r="BB2" s="799"/>
      <c r="BC2" s="799"/>
      <c r="BD2" s="799"/>
      <c r="BE2" s="799"/>
      <c r="BF2" s="799"/>
      <c r="BG2" s="799"/>
      <c r="BH2" s="799"/>
      <c r="BI2" s="799"/>
      <c r="BJ2" s="799"/>
      <c r="BK2" s="799"/>
      <c r="BL2" s="799"/>
      <c r="BM2" s="799"/>
      <c r="BN2" s="799"/>
      <c r="BO2" s="799"/>
      <c r="BP2" s="799"/>
      <c r="BQ2" s="799"/>
      <c r="BR2" s="799"/>
      <c r="BS2" s="799"/>
      <c r="BT2" s="799"/>
      <c r="BU2" s="799"/>
      <c r="BV2" s="799"/>
      <c r="BW2" s="799"/>
      <c r="BX2" s="799"/>
      <c r="BY2" s="799"/>
      <c r="BZ2" s="799"/>
      <c r="CA2" s="799"/>
      <c r="CB2" s="799"/>
      <c r="CC2" s="799"/>
      <c r="CD2" s="799"/>
      <c r="CE2" s="799"/>
      <c r="CF2" s="799"/>
      <c r="CG2" s="799"/>
      <c r="CH2" s="799"/>
      <c r="CI2" s="799"/>
      <c r="CJ2" s="799"/>
      <c r="CK2" s="799"/>
      <c r="CL2" s="799"/>
      <c r="CM2" s="799"/>
      <c r="CN2" s="799"/>
      <c r="CO2" s="799"/>
      <c r="CP2" s="799"/>
      <c r="CQ2" s="799"/>
      <c r="CR2" s="799"/>
      <c r="CS2" s="799"/>
      <c r="CT2" s="804"/>
      <c r="CU2" s="145"/>
      <c r="CV2" s="145"/>
      <c r="CW2" s="145"/>
      <c r="CX2" s="145"/>
      <c r="CY2" s="145"/>
      <c r="CZ2" s="145"/>
      <c r="DA2" s="145"/>
      <c r="DB2" s="145"/>
    </row>
    <row r="3" spans="1:106" ht="33" customHeight="1">
      <c r="A3" s="798" t="s">
        <v>523</v>
      </c>
      <c r="B3" s="799"/>
      <c r="C3" s="799"/>
      <c r="D3" s="799"/>
      <c r="E3" s="799"/>
      <c r="F3" s="799"/>
      <c r="G3" s="799"/>
      <c r="H3" s="799"/>
      <c r="I3" s="799"/>
      <c r="J3" s="799"/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799"/>
      <c r="AL3" s="799"/>
      <c r="AM3" s="799"/>
      <c r="AN3" s="799"/>
      <c r="AO3" s="799"/>
      <c r="AP3" s="799"/>
      <c r="AQ3" s="799"/>
      <c r="AR3" s="799"/>
      <c r="AS3" s="799"/>
      <c r="AT3" s="799"/>
      <c r="AU3" s="799"/>
      <c r="AV3" s="799"/>
      <c r="AW3" s="799"/>
      <c r="AX3" s="799"/>
      <c r="AY3" s="799"/>
      <c r="AZ3" s="799"/>
      <c r="BA3" s="799"/>
      <c r="BB3" s="799"/>
      <c r="BC3" s="799"/>
      <c r="BD3" s="799"/>
      <c r="BE3" s="799"/>
      <c r="BF3" s="799"/>
      <c r="BG3" s="799"/>
      <c r="BH3" s="799"/>
      <c r="BI3" s="799"/>
      <c r="BJ3" s="799"/>
      <c r="BK3" s="799"/>
      <c r="BL3" s="799"/>
      <c r="BM3" s="799"/>
      <c r="BN3" s="799"/>
      <c r="BO3" s="799"/>
      <c r="BP3" s="799"/>
      <c r="BQ3" s="799"/>
      <c r="BR3" s="799"/>
      <c r="BS3" s="799"/>
      <c r="BT3" s="799"/>
      <c r="BU3" s="799"/>
      <c r="BV3" s="799"/>
      <c r="BW3" s="799"/>
      <c r="BX3" s="799"/>
      <c r="BY3" s="799"/>
      <c r="BZ3" s="799"/>
      <c r="CA3" s="799"/>
      <c r="CB3" s="799"/>
      <c r="CC3" s="799"/>
      <c r="CD3" s="799"/>
      <c r="CE3" s="799"/>
      <c r="CF3" s="799"/>
      <c r="CG3" s="799"/>
      <c r="CH3" s="799"/>
      <c r="CI3" s="799"/>
      <c r="CJ3" s="799"/>
      <c r="CK3" s="799"/>
      <c r="CL3" s="799"/>
      <c r="CM3" s="799"/>
      <c r="CN3" s="799"/>
      <c r="CO3" s="799"/>
      <c r="CP3" s="799"/>
      <c r="CQ3" s="799"/>
      <c r="CR3" s="799"/>
      <c r="CS3" s="799"/>
      <c r="CT3" s="799"/>
      <c r="CU3" s="147"/>
      <c r="CV3" s="147"/>
      <c r="CW3" s="147"/>
      <c r="CX3" s="147"/>
      <c r="CY3" s="147"/>
      <c r="CZ3" s="147"/>
      <c r="DA3" s="147"/>
      <c r="DB3" s="148"/>
    </row>
    <row r="4" spans="1:106" ht="33">
      <c r="A4" s="796" t="s">
        <v>22</v>
      </c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  <c r="N4" s="797"/>
      <c r="O4" s="797"/>
      <c r="P4" s="797"/>
      <c r="Q4" s="797"/>
      <c r="R4" s="797"/>
      <c r="S4" s="797"/>
      <c r="T4" s="797"/>
      <c r="U4" s="797"/>
      <c r="V4" s="797"/>
      <c r="W4" s="797"/>
      <c r="X4" s="797"/>
      <c r="Y4" s="797"/>
      <c r="Z4" s="797"/>
      <c r="AA4" s="797"/>
      <c r="AB4" s="797"/>
      <c r="AC4" s="797"/>
      <c r="AD4" s="797"/>
      <c r="AE4" s="797"/>
      <c r="AF4" s="797"/>
      <c r="AG4" s="797"/>
      <c r="AH4" s="797"/>
      <c r="AI4" s="797"/>
      <c r="AJ4" s="797"/>
      <c r="AK4" s="797"/>
      <c r="AL4" s="797"/>
      <c r="AM4" s="797"/>
      <c r="AN4" s="797"/>
      <c r="AO4" s="797"/>
      <c r="AP4" s="797"/>
      <c r="AQ4" s="797"/>
      <c r="AR4" s="797"/>
      <c r="AS4" s="797"/>
      <c r="AT4" s="797"/>
      <c r="AU4" s="797"/>
      <c r="AV4" s="797"/>
      <c r="AW4" s="797"/>
      <c r="AX4" s="797"/>
      <c r="AY4" s="797"/>
      <c r="AZ4" s="797"/>
      <c r="BA4" s="797"/>
      <c r="BB4" s="797"/>
      <c r="BC4" s="797"/>
      <c r="BD4" s="797"/>
      <c r="BE4" s="797"/>
      <c r="BF4" s="797"/>
      <c r="BG4" s="797"/>
      <c r="BH4" s="797"/>
      <c r="BI4" s="797"/>
      <c r="BJ4" s="797"/>
      <c r="BK4" s="797"/>
      <c r="BL4" s="797"/>
      <c r="BM4" s="797"/>
      <c r="BN4" s="797"/>
      <c r="BO4" s="797"/>
      <c r="BP4" s="797"/>
      <c r="BQ4" s="797"/>
      <c r="BR4" s="797"/>
      <c r="BS4" s="797"/>
      <c r="BT4" s="797"/>
      <c r="BU4" s="797"/>
      <c r="BV4" s="797"/>
      <c r="BW4" s="797"/>
      <c r="BX4" s="797"/>
      <c r="BY4" s="797"/>
      <c r="BZ4" s="797"/>
      <c r="CA4" s="797"/>
      <c r="CB4" s="797"/>
      <c r="CC4" s="797"/>
      <c r="CD4" s="797"/>
      <c r="CE4" s="797"/>
      <c r="CF4" s="797"/>
      <c r="CG4" s="797"/>
      <c r="CH4" s="797"/>
      <c r="CI4" s="797"/>
      <c r="CJ4" s="797"/>
      <c r="CK4" s="797"/>
      <c r="CL4" s="797"/>
      <c r="CM4" s="797"/>
      <c r="CN4" s="797"/>
      <c r="CO4" s="797"/>
      <c r="CP4" s="797"/>
      <c r="CQ4" s="797"/>
      <c r="CR4" s="797"/>
      <c r="CS4" s="797"/>
      <c r="CT4" s="1110"/>
      <c r="CU4" s="145"/>
      <c r="CV4" s="145"/>
      <c r="CW4" s="145"/>
      <c r="CX4" s="145"/>
      <c r="CY4" s="145"/>
      <c r="CZ4" s="145"/>
      <c r="DA4" s="145"/>
      <c r="DB4" s="145"/>
    </row>
    <row r="5" spans="1:106" ht="23.25" customHeight="1">
      <c r="A5" s="1151" t="s">
        <v>26</v>
      </c>
      <c r="B5" s="1151"/>
      <c r="C5" s="1151"/>
      <c r="D5" s="1127" t="s">
        <v>22</v>
      </c>
      <c r="E5" s="1127"/>
      <c r="F5" s="1127"/>
      <c r="G5" s="1127"/>
      <c r="H5" s="1127"/>
      <c r="I5" s="1153"/>
      <c r="J5" s="1153"/>
      <c r="K5" s="1153"/>
      <c r="L5" s="1153"/>
      <c r="M5" s="1153"/>
      <c r="N5" s="1153"/>
      <c r="O5" s="1153"/>
      <c r="P5" s="1153"/>
      <c r="Q5" s="153"/>
      <c r="R5" s="1153"/>
      <c r="S5" s="1153"/>
      <c r="T5" s="1153"/>
      <c r="U5" s="1153"/>
      <c r="V5" s="1153"/>
      <c r="W5" s="1153"/>
      <c r="X5" s="1153"/>
      <c r="Y5" s="1153"/>
      <c r="Z5" s="1153"/>
      <c r="AA5" s="1146" t="s">
        <v>27</v>
      </c>
      <c r="AB5" s="1146"/>
      <c r="AC5" s="1146"/>
      <c r="AD5" s="1146"/>
      <c r="AE5" s="1146"/>
      <c r="AF5" s="1146"/>
      <c r="AG5" s="1146"/>
      <c r="AH5" s="1146"/>
      <c r="AI5" s="1146"/>
      <c r="AJ5" s="1146"/>
      <c r="AK5" s="1159">
        <v>27</v>
      </c>
      <c r="AL5" s="1159"/>
      <c r="AM5" s="1153"/>
      <c r="AN5" s="1153"/>
      <c r="AO5" s="1153"/>
      <c r="AP5" s="1153"/>
      <c r="AQ5" s="1153"/>
      <c r="AR5" s="1153"/>
      <c r="AS5" s="1153"/>
      <c r="AT5" s="1127" t="s">
        <v>28</v>
      </c>
      <c r="AU5" s="1127"/>
      <c r="AV5" s="1127"/>
      <c r="AW5" s="1127"/>
      <c r="AX5" s="1127"/>
      <c r="AY5" s="1127"/>
      <c r="AZ5" s="1127"/>
      <c r="BA5" s="1127"/>
      <c r="BB5" s="1127"/>
      <c r="BC5" s="1127"/>
      <c r="BD5" s="1127"/>
      <c r="BE5" s="1127"/>
      <c r="BF5" s="1153"/>
      <c r="BG5" s="1153"/>
      <c r="BH5" s="1153"/>
      <c r="BI5" s="1124" t="s">
        <v>22</v>
      </c>
      <c r="BJ5" s="1125"/>
      <c r="BK5" s="1125"/>
      <c r="BL5" s="1125"/>
      <c r="BM5" s="1125"/>
      <c r="BN5" s="1125"/>
      <c r="BO5" s="1125"/>
      <c r="BP5" s="1125"/>
      <c r="BQ5" s="1125"/>
      <c r="BR5" s="1125"/>
      <c r="BS5" s="1125"/>
      <c r="BT5" s="1125"/>
      <c r="BU5" s="1125"/>
      <c r="BV5" s="1125"/>
      <c r="BW5" s="1125"/>
      <c r="BX5" s="1125"/>
      <c r="BY5" s="1125"/>
      <c r="BZ5" s="1125"/>
      <c r="CA5" s="1125"/>
      <c r="CB5" s="1125"/>
      <c r="CC5" s="1125"/>
      <c r="CD5" s="1125"/>
      <c r="CE5" s="1125"/>
      <c r="CF5" s="1125"/>
      <c r="CG5" s="1125"/>
      <c r="CH5" s="1125"/>
      <c r="CI5" s="1125"/>
      <c r="CJ5" s="1125"/>
      <c r="CK5" s="1125"/>
      <c r="CL5" s="1125"/>
      <c r="CM5" s="1125"/>
      <c r="CN5" s="1125"/>
      <c r="CO5" s="1125"/>
      <c r="CP5" s="1125"/>
      <c r="CQ5" s="1125"/>
      <c r="CR5" s="1125"/>
      <c r="CS5" s="1125"/>
      <c r="CT5" s="1126"/>
    </row>
    <row r="6" spans="1:106" s="39" customFormat="1" ht="23.25" hidden="1">
      <c r="A6" s="1148" t="s">
        <v>0</v>
      </c>
      <c r="B6" s="1149" t="s">
        <v>515</v>
      </c>
      <c r="C6" s="1149"/>
      <c r="D6" s="1150" t="s">
        <v>29</v>
      </c>
      <c r="E6" s="1150"/>
      <c r="F6" s="1150"/>
      <c r="G6" s="1150"/>
      <c r="H6" s="1150" t="s">
        <v>30</v>
      </c>
      <c r="I6" s="1147" t="s">
        <v>1</v>
      </c>
      <c r="J6" s="1147"/>
      <c r="K6" s="1147"/>
      <c r="L6" s="1147"/>
      <c r="M6" s="1147"/>
      <c r="N6" s="1147"/>
      <c r="O6" s="1147"/>
      <c r="P6" s="1147"/>
      <c r="Q6" s="1147" t="s">
        <v>2</v>
      </c>
      <c r="R6" s="1147"/>
      <c r="S6" s="1147"/>
      <c r="T6" s="1147"/>
      <c r="U6" s="1147"/>
      <c r="V6" s="1147"/>
      <c r="W6" s="1147"/>
      <c r="X6" s="1147"/>
      <c r="Y6" s="1147" t="s">
        <v>3</v>
      </c>
      <c r="Z6" s="1147"/>
      <c r="AA6" s="1147"/>
      <c r="AB6" s="1147"/>
      <c r="AC6" s="1147"/>
      <c r="AD6" s="1147"/>
      <c r="AE6" s="1147"/>
      <c r="AF6" s="1147"/>
      <c r="AG6" s="1146" t="s">
        <v>31</v>
      </c>
      <c r="AH6" s="1146"/>
      <c r="AI6" s="1146"/>
      <c r="AJ6" s="1146"/>
      <c r="AK6" s="1146"/>
      <c r="AL6" s="1146"/>
      <c r="AM6" s="1146"/>
      <c r="AN6" s="1146"/>
      <c r="AO6" s="1146"/>
      <c r="AP6" s="1147" t="s">
        <v>4</v>
      </c>
      <c r="AQ6" s="1147"/>
      <c r="AR6" s="1147"/>
      <c r="AS6" s="1147"/>
      <c r="AT6" s="1147"/>
      <c r="AU6" s="1147"/>
      <c r="AV6" s="1147"/>
      <c r="AW6" s="1147"/>
      <c r="AX6" s="1147" t="s">
        <v>5</v>
      </c>
      <c r="AY6" s="1147"/>
      <c r="AZ6" s="1147"/>
      <c r="BA6" s="1147"/>
      <c r="BB6" s="1147"/>
      <c r="BC6" s="1147"/>
      <c r="BD6" s="1147" t="s">
        <v>6</v>
      </c>
      <c r="BE6" s="1147"/>
      <c r="BF6" s="1147"/>
      <c r="BG6" s="1147"/>
      <c r="BH6" s="1147"/>
      <c r="BI6" s="1147"/>
      <c r="BJ6" s="1147"/>
      <c r="BK6" s="1147"/>
      <c r="BL6" s="1147"/>
      <c r="BM6" s="1146" t="s">
        <v>32</v>
      </c>
      <c r="BN6" s="1146"/>
      <c r="BO6" s="1146"/>
      <c r="BP6" s="1146"/>
      <c r="BQ6" s="1146"/>
      <c r="BR6" s="1146"/>
      <c r="BS6" s="1146"/>
      <c r="BT6" s="1146"/>
      <c r="BU6" s="1160"/>
      <c r="BV6" s="1161"/>
      <c r="BW6" s="1162"/>
      <c r="BX6" s="1162"/>
      <c r="BY6" s="1162"/>
      <c r="BZ6" s="1162"/>
      <c r="CA6" s="1162"/>
      <c r="CB6" s="1162"/>
      <c r="CC6" s="1162"/>
      <c r="CD6" s="1162"/>
      <c r="CE6" s="1162"/>
      <c r="CF6" s="1163"/>
      <c r="CG6" s="1164" t="s">
        <v>7</v>
      </c>
      <c r="CH6" s="1146"/>
      <c r="CI6" s="1146"/>
      <c r="CJ6" s="1146"/>
      <c r="CK6" s="1146"/>
      <c r="CL6" s="1146"/>
      <c r="CM6" s="1146"/>
      <c r="CN6" s="1146"/>
      <c r="CO6" s="1127" t="s">
        <v>33</v>
      </c>
      <c r="CP6" s="1127"/>
      <c r="CQ6" s="1127"/>
      <c r="CR6" s="1127"/>
      <c r="CS6" s="1165"/>
      <c r="CT6" s="100"/>
    </row>
    <row r="7" spans="1:106" s="39" customFormat="1" ht="52.5" customHeight="1">
      <c r="A7" s="1148"/>
      <c r="B7" s="1149"/>
      <c r="C7" s="1149"/>
      <c r="D7" s="1150"/>
      <c r="E7" s="1150"/>
      <c r="F7" s="1150"/>
      <c r="G7" s="1150"/>
      <c r="H7" s="1150"/>
      <c r="I7" s="1152" t="s">
        <v>8</v>
      </c>
      <c r="J7" s="1152"/>
      <c r="K7" s="1147" t="s">
        <v>9</v>
      </c>
      <c r="L7" s="1147"/>
      <c r="M7" s="1127" t="s">
        <v>10</v>
      </c>
      <c r="N7" s="1127"/>
      <c r="O7" s="1151" t="s">
        <v>11</v>
      </c>
      <c r="P7" s="1151"/>
      <c r="Q7" s="154" t="s">
        <v>8</v>
      </c>
      <c r="R7" s="1147" t="s">
        <v>9</v>
      </c>
      <c r="S7" s="1147"/>
      <c r="T7" s="1147"/>
      <c r="U7" s="1147" t="s">
        <v>10</v>
      </c>
      <c r="V7" s="1147"/>
      <c r="W7" s="1147" t="s">
        <v>11</v>
      </c>
      <c r="X7" s="1147"/>
      <c r="Y7" s="1146" t="s">
        <v>8</v>
      </c>
      <c r="Z7" s="1146"/>
      <c r="AA7" s="1146" t="s">
        <v>9</v>
      </c>
      <c r="AB7" s="1146"/>
      <c r="AC7" s="1146" t="s">
        <v>10</v>
      </c>
      <c r="AD7" s="1146"/>
      <c r="AE7" s="1146" t="s">
        <v>11</v>
      </c>
      <c r="AF7" s="1146"/>
      <c r="AG7" s="1147" t="s">
        <v>8</v>
      </c>
      <c r="AH7" s="1147"/>
      <c r="AI7" s="1146" t="s">
        <v>9</v>
      </c>
      <c r="AJ7" s="1146"/>
      <c r="AK7" s="1147" t="s">
        <v>10</v>
      </c>
      <c r="AL7" s="1147"/>
      <c r="AM7" s="1127" t="s">
        <v>11</v>
      </c>
      <c r="AN7" s="1127"/>
      <c r="AO7" s="1127"/>
      <c r="AP7" s="1147" t="s">
        <v>8</v>
      </c>
      <c r="AQ7" s="1147"/>
      <c r="AR7" s="1147" t="s">
        <v>9</v>
      </c>
      <c r="AS7" s="1147"/>
      <c r="AT7" s="1147" t="s">
        <v>10</v>
      </c>
      <c r="AU7" s="1147"/>
      <c r="AV7" s="1127" t="s">
        <v>11</v>
      </c>
      <c r="AW7" s="1127"/>
      <c r="AX7" s="1146" t="s">
        <v>8</v>
      </c>
      <c r="AY7" s="1146"/>
      <c r="AZ7" s="155" t="s">
        <v>9</v>
      </c>
      <c r="BA7" s="154" t="s">
        <v>10</v>
      </c>
      <c r="BB7" s="1147" t="s">
        <v>11</v>
      </c>
      <c r="BC7" s="1147"/>
      <c r="BD7" s="1146" t="s">
        <v>8</v>
      </c>
      <c r="BE7" s="1146"/>
      <c r="BF7" s="1147" t="s">
        <v>9</v>
      </c>
      <c r="BG7" s="1147"/>
      <c r="BH7" s="1147"/>
      <c r="BI7" s="1146" t="s">
        <v>10</v>
      </c>
      <c r="BJ7" s="1146"/>
      <c r="BK7" s="1147" t="s">
        <v>11</v>
      </c>
      <c r="BL7" s="1147"/>
      <c r="BM7" s="1147" t="s">
        <v>8</v>
      </c>
      <c r="BN7" s="1147"/>
      <c r="BO7" s="1147"/>
      <c r="BP7" s="1146" t="s">
        <v>9</v>
      </c>
      <c r="BQ7" s="1146"/>
      <c r="BR7" s="1151" t="s">
        <v>10</v>
      </c>
      <c r="BS7" s="1151"/>
      <c r="BT7" s="1127" t="s">
        <v>11</v>
      </c>
      <c r="BU7" s="1127"/>
      <c r="BV7" s="1144" t="s">
        <v>8</v>
      </c>
      <c r="BW7" s="1144"/>
      <c r="BX7" s="1144"/>
      <c r="BY7" s="1144" t="s">
        <v>9</v>
      </c>
      <c r="BZ7" s="1144"/>
      <c r="CA7" s="1144" t="s">
        <v>10</v>
      </c>
      <c r="CB7" s="1144"/>
      <c r="CC7" s="1144"/>
      <c r="CD7" s="1145" t="s">
        <v>421</v>
      </c>
      <c r="CE7" s="1145"/>
      <c r="CF7" s="1145"/>
      <c r="CG7" s="1146" t="s">
        <v>9</v>
      </c>
      <c r="CH7" s="1146"/>
      <c r="CI7" s="1146"/>
      <c r="CJ7" s="1147" t="s">
        <v>10</v>
      </c>
      <c r="CK7" s="1147"/>
      <c r="CL7" s="1147"/>
      <c r="CM7" s="1127" t="s">
        <v>11</v>
      </c>
      <c r="CN7" s="1127"/>
      <c r="CO7" s="1127"/>
      <c r="CP7" s="1127"/>
      <c r="CQ7" s="1127"/>
      <c r="CR7" s="1127"/>
      <c r="CS7" s="1127"/>
      <c r="CT7" s="211" t="s">
        <v>545</v>
      </c>
    </row>
    <row r="8" spans="1:106" ht="26.25">
      <c r="A8" s="156">
        <v>1</v>
      </c>
      <c r="B8" s="1142" t="s">
        <v>292</v>
      </c>
      <c r="C8" s="1143"/>
      <c r="D8" s="1128" t="s">
        <v>22</v>
      </c>
      <c r="E8" s="1129"/>
      <c r="F8" s="1129"/>
      <c r="G8" s="1130"/>
      <c r="H8" s="156">
        <v>3</v>
      </c>
      <c r="I8" s="1131">
        <v>4</v>
      </c>
      <c r="J8" s="1132"/>
      <c r="K8" s="1131">
        <v>108</v>
      </c>
      <c r="L8" s="1132"/>
      <c r="M8" s="1137">
        <v>118</v>
      </c>
      <c r="N8" s="1139"/>
      <c r="O8" s="1134">
        <v>226</v>
      </c>
      <c r="P8" s="1136"/>
      <c r="Q8" s="157">
        <v>4</v>
      </c>
      <c r="R8" s="1131">
        <v>107</v>
      </c>
      <c r="S8" s="1133"/>
      <c r="T8" s="1132"/>
      <c r="U8" s="1131">
        <v>106</v>
      </c>
      <c r="V8" s="1132"/>
      <c r="W8" s="1131">
        <v>213</v>
      </c>
      <c r="X8" s="1132"/>
      <c r="Y8" s="1137">
        <v>4</v>
      </c>
      <c r="Z8" s="1139"/>
      <c r="AA8" s="1137">
        <v>136</v>
      </c>
      <c r="AB8" s="1139"/>
      <c r="AC8" s="1137">
        <v>140</v>
      </c>
      <c r="AD8" s="1139"/>
      <c r="AE8" s="1137">
        <v>276</v>
      </c>
      <c r="AF8" s="1139"/>
      <c r="AG8" s="1131">
        <v>12</v>
      </c>
      <c r="AH8" s="1132"/>
      <c r="AI8" s="1137">
        <v>351</v>
      </c>
      <c r="AJ8" s="1139"/>
      <c r="AK8" s="1131">
        <v>364</v>
      </c>
      <c r="AL8" s="1132"/>
      <c r="AM8" s="1137">
        <v>715</v>
      </c>
      <c r="AN8" s="1138"/>
      <c r="AO8" s="1139"/>
      <c r="AP8" s="1131">
        <v>0</v>
      </c>
      <c r="AQ8" s="1132"/>
      <c r="AR8" s="1131">
        <v>0</v>
      </c>
      <c r="AS8" s="1132"/>
      <c r="AT8" s="1131">
        <v>0</v>
      </c>
      <c r="AU8" s="1132"/>
      <c r="AV8" s="1140">
        <v>0</v>
      </c>
      <c r="AW8" s="1141"/>
      <c r="AX8" s="1137">
        <v>0</v>
      </c>
      <c r="AY8" s="1139"/>
      <c r="AZ8" s="156">
        <v>0</v>
      </c>
      <c r="BA8" s="157">
        <v>0</v>
      </c>
      <c r="BB8" s="1131">
        <v>0</v>
      </c>
      <c r="BC8" s="1132"/>
      <c r="BD8" s="1137">
        <v>0</v>
      </c>
      <c r="BE8" s="1139"/>
      <c r="BF8" s="1131">
        <v>0</v>
      </c>
      <c r="BG8" s="1133"/>
      <c r="BH8" s="1132"/>
      <c r="BI8" s="1137">
        <v>0</v>
      </c>
      <c r="BJ8" s="1139"/>
      <c r="BK8" s="1131">
        <v>0</v>
      </c>
      <c r="BL8" s="1132"/>
      <c r="BM8" s="1131">
        <v>0</v>
      </c>
      <c r="BN8" s="1133"/>
      <c r="BO8" s="1132"/>
      <c r="BP8" s="1137">
        <v>0</v>
      </c>
      <c r="BQ8" s="1139"/>
      <c r="BR8" s="1134">
        <v>0</v>
      </c>
      <c r="BS8" s="1136"/>
      <c r="BT8" s="1137">
        <v>0</v>
      </c>
      <c r="BU8" s="1139"/>
      <c r="BV8" s="1131">
        <v>12</v>
      </c>
      <c r="BW8" s="1133"/>
      <c r="BX8" s="1132"/>
      <c r="BY8" s="1131">
        <v>351</v>
      </c>
      <c r="BZ8" s="1132"/>
      <c r="CA8" s="1131">
        <v>364</v>
      </c>
      <c r="CB8" s="1133"/>
      <c r="CC8" s="1132"/>
      <c r="CD8" s="1134">
        <v>715</v>
      </c>
      <c r="CE8" s="1135"/>
      <c r="CF8" s="1136"/>
      <c r="CG8" s="1137">
        <v>9</v>
      </c>
      <c r="CH8" s="1138"/>
      <c r="CI8" s="1139"/>
      <c r="CJ8" s="1131">
        <v>25</v>
      </c>
      <c r="CK8" s="1133"/>
      <c r="CL8" s="1132"/>
      <c r="CM8" s="1137">
        <v>34</v>
      </c>
      <c r="CN8" s="1139"/>
      <c r="CO8" s="1128" t="s">
        <v>35</v>
      </c>
      <c r="CP8" s="1129"/>
      <c r="CQ8" s="1129"/>
      <c r="CR8" s="1129"/>
      <c r="CS8" s="1130"/>
      <c r="CT8" s="158">
        <f>IF(CD8&lt;1001,30000 * 3,50000*3)</f>
        <v>90000</v>
      </c>
    </row>
    <row r="9" spans="1:106" ht="26.25">
      <c r="A9" s="91">
        <v>2</v>
      </c>
      <c r="B9" s="1120" t="s">
        <v>293</v>
      </c>
      <c r="C9" s="1121"/>
      <c r="D9" s="955" t="s">
        <v>22</v>
      </c>
      <c r="E9" s="956"/>
      <c r="F9" s="956"/>
      <c r="G9" s="957"/>
      <c r="H9" s="91">
        <v>12</v>
      </c>
      <c r="I9" s="942">
        <v>9</v>
      </c>
      <c r="J9" s="944"/>
      <c r="K9" s="942">
        <v>273</v>
      </c>
      <c r="L9" s="944"/>
      <c r="M9" s="945">
        <v>240</v>
      </c>
      <c r="N9" s="947"/>
      <c r="O9" s="950">
        <v>513</v>
      </c>
      <c r="P9" s="951"/>
      <c r="Q9" s="92">
        <v>8</v>
      </c>
      <c r="R9" s="942">
        <v>194</v>
      </c>
      <c r="S9" s="943"/>
      <c r="T9" s="944"/>
      <c r="U9" s="942">
        <v>193</v>
      </c>
      <c r="V9" s="944"/>
      <c r="W9" s="942">
        <v>387</v>
      </c>
      <c r="X9" s="944"/>
      <c r="Y9" s="945">
        <v>10</v>
      </c>
      <c r="Z9" s="947"/>
      <c r="AA9" s="945">
        <v>260</v>
      </c>
      <c r="AB9" s="947"/>
      <c r="AC9" s="945">
        <v>278</v>
      </c>
      <c r="AD9" s="947"/>
      <c r="AE9" s="945">
        <v>538</v>
      </c>
      <c r="AF9" s="947"/>
      <c r="AG9" s="942">
        <v>27</v>
      </c>
      <c r="AH9" s="944"/>
      <c r="AI9" s="945">
        <v>727</v>
      </c>
      <c r="AJ9" s="947"/>
      <c r="AK9" s="942">
        <v>711</v>
      </c>
      <c r="AL9" s="944"/>
      <c r="AM9" s="945">
        <v>1438</v>
      </c>
      <c r="AN9" s="946"/>
      <c r="AO9" s="947"/>
      <c r="AP9" s="942">
        <v>0</v>
      </c>
      <c r="AQ9" s="944"/>
      <c r="AR9" s="942">
        <v>0</v>
      </c>
      <c r="AS9" s="944"/>
      <c r="AT9" s="942">
        <v>0</v>
      </c>
      <c r="AU9" s="944"/>
      <c r="AV9" s="952">
        <v>0</v>
      </c>
      <c r="AW9" s="954"/>
      <c r="AX9" s="945">
        <v>0</v>
      </c>
      <c r="AY9" s="947"/>
      <c r="AZ9" s="91">
        <v>0</v>
      </c>
      <c r="BA9" s="92">
        <v>0</v>
      </c>
      <c r="BB9" s="942">
        <v>0</v>
      </c>
      <c r="BC9" s="944"/>
      <c r="BD9" s="945">
        <v>0</v>
      </c>
      <c r="BE9" s="947"/>
      <c r="BF9" s="942">
        <v>0</v>
      </c>
      <c r="BG9" s="943"/>
      <c r="BH9" s="944"/>
      <c r="BI9" s="945">
        <v>0</v>
      </c>
      <c r="BJ9" s="947"/>
      <c r="BK9" s="942">
        <v>0</v>
      </c>
      <c r="BL9" s="944"/>
      <c r="BM9" s="942">
        <v>0</v>
      </c>
      <c r="BN9" s="943"/>
      <c r="BO9" s="944"/>
      <c r="BP9" s="945">
        <v>0</v>
      </c>
      <c r="BQ9" s="947"/>
      <c r="BR9" s="950">
        <v>0</v>
      </c>
      <c r="BS9" s="951"/>
      <c r="BT9" s="945">
        <v>0</v>
      </c>
      <c r="BU9" s="947"/>
      <c r="BV9" s="942">
        <v>27</v>
      </c>
      <c r="BW9" s="943"/>
      <c r="BX9" s="944"/>
      <c r="BY9" s="942">
        <v>727</v>
      </c>
      <c r="BZ9" s="944"/>
      <c r="CA9" s="942">
        <v>711</v>
      </c>
      <c r="CB9" s="943"/>
      <c r="CC9" s="944"/>
      <c r="CD9" s="950">
        <v>1438</v>
      </c>
      <c r="CE9" s="1059"/>
      <c r="CF9" s="951"/>
      <c r="CG9" s="945">
        <v>7</v>
      </c>
      <c r="CH9" s="946"/>
      <c r="CI9" s="947"/>
      <c r="CJ9" s="942">
        <v>29</v>
      </c>
      <c r="CK9" s="943"/>
      <c r="CL9" s="944"/>
      <c r="CM9" s="945">
        <v>36</v>
      </c>
      <c r="CN9" s="947"/>
      <c r="CO9" s="955" t="s">
        <v>35</v>
      </c>
      <c r="CP9" s="956"/>
      <c r="CQ9" s="956"/>
      <c r="CR9" s="956"/>
      <c r="CS9" s="957"/>
      <c r="CT9" s="158">
        <f t="shared" ref="CT9:CT34" si="0">IF(CD9&lt;1001,30000 * 3,50000*3)</f>
        <v>150000</v>
      </c>
    </row>
    <row r="10" spans="1:106" ht="26.25">
      <c r="A10" s="91">
        <v>3</v>
      </c>
      <c r="B10" s="1120" t="s">
        <v>294</v>
      </c>
      <c r="C10" s="1121"/>
      <c r="D10" s="955" t="s">
        <v>22</v>
      </c>
      <c r="E10" s="956"/>
      <c r="F10" s="956"/>
      <c r="G10" s="957"/>
      <c r="H10" s="91">
        <v>6</v>
      </c>
      <c r="I10" s="942">
        <v>10</v>
      </c>
      <c r="J10" s="944"/>
      <c r="K10" s="942">
        <v>344</v>
      </c>
      <c r="L10" s="944"/>
      <c r="M10" s="945">
        <v>358</v>
      </c>
      <c r="N10" s="947"/>
      <c r="O10" s="950">
        <v>702</v>
      </c>
      <c r="P10" s="951"/>
      <c r="Q10" s="92">
        <v>10</v>
      </c>
      <c r="R10" s="942">
        <v>412</v>
      </c>
      <c r="S10" s="943"/>
      <c r="T10" s="944"/>
      <c r="U10" s="942">
        <v>436</v>
      </c>
      <c r="V10" s="944"/>
      <c r="W10" s="942">
        <v>848</v>
      </c>
      <c r="X10" s="944"/>
      <c r="Y10" s="945">
        <v>10</v>
      </c>
      <c r="Z10" s="947"/>
      <c r="AA10" s="945">
        <v>375</v>
      </c>
      <c r="AB10" s="947"/>
      <c r="AC10" s="945">
        <v>319</v>
      </c>
      <c r="AD10" s="947"/>
      <c r="AE10" s="945">
        <v>694</v>
      </c>
      <c r="AF10" s="947"/>
      <c r="AG10" s="942">
        <v>30</v>
      </c>
      <c r="AH10" s="944"/>
      <c r="AI10" s="945">
        <v>1131</v>
      </c>
      <c r="AJ10" s="947"/>
      <c r="AK10" s="942">
        <v>1113</v>
      </c>
      <c r="AL10" s="944"/>
      <c r="AM10" s="945">
        <v>2244</v>
      </c>
      <c r="AN10" s="946"/>
      <c r="AO10" s="947"/>
      <c r="AP10" s="942">
        <v>0</v>
      </c>
      <c r="AQ10" s="944"/>
      <c r="AR10" s="942">
        <v>0</v>
      </c>
      <c r="AS10" s="944"/>
      <c r="AT10" s="942">
        <v>0</v>
      </c>
      <c r="AU10" s="944"/>
      <c r="AV10" s="952">
        <v>0</v>
      </c>
      <c r="AW10" s="954"/>
      <c r="AX10" s="945">
        <v>0</v>
      </c>
      <c r="AY10" s="947"/>
      <c r="AZ10" s="91">
        <v>0</v>
      </c>
      <c r="BA10" s="92">
        <v>0</v>
      </c>
      <c r="BB10" s="942">
        <v>0</v>
      </c>
      <c r="BC10" s="944"/>
      <c r="BD10" s="945">
        <v>0</v>
      </c>
      <c r="BE10" s="947"/>
      <c r="BF10" s="942">
        <v>0</v>
      </c>
      <c r="BG10" s="943"/>
      <c r="BH10" s="944"/>
      <c r="BI10" s="945">
        <v>0</v>
      </c>
      <c r="BJ10" s="947"/>
      <c r="BK10" s="942">
        <v>0</v>
      </c>
      <c r="BL10" s="944"/>
      <c r="BM10" s="942">
        <v>0</v>
      </c>
      <c r="BN10" s="943"/>
      <c r="BO10" s="944"/>
      <c r="BP10" s="945">
        <v>0</v>
      </c>
      <c r="BQ10" s="947"/>
      <c r="BR10" s="950">
        <v>0</v>
      </c>
      <c r="BS10" s="951"/>
      <c r="BT10" s="945">
        <v>0</v>
      </c>
      <c r="BU10" s="947"/>
      <c r="BV10" s="942">
        <v>30</v>
      </c>
      <c r="BW10" s="943"/>
      <c r="BX10" s="944"/>
      <c r="BY10" s="942">
        <v>1131</v>
      </c>
      <c r="BZ10" s="944"/>
      <c r="CA10" s="942">
        <v>1113</v>
      </c>
      <c r="CB10" s="943"/>
      <c r="CC10" s="944"/>
      <c r="CD10" s="950">
        <v>2244</v>
      </c>
      <c r="CE10" s="1059"/>
      <c r="CF10" s="951"/>
      <c r="CG10" s="945">
        <v>11</v>
      </c>
      <c r="CH10" s="946"/>
      <c r="CI10" s="947"/>
      <c r="CJ10" s="942">
        <v>25</v>
      </c>
      <c r="CK10" s="943"/>
      <c r="CL10" s="944"/>
      <c r="CM10" s="945">
        <v>36</v>
      </c>
      <c r="CN10" s="947"/>
      <c r="CO10" s="955" t="s">
        <v>35</v>
      </c>
      <c r="CP10" s="956"/>
      <c r="CQ10" s="956"/>
      <c r="CR10" s="956"/>
      <c r="CS10" s="957"/>
      <c r="CT10" s="158">
        <f t="shared" si="0"/>
        <v>150000</v>
      </c>
    </row>
    <row r="11" spans="1:106" ht="26.25">
      <c r="A11" s="91">
        <v>4</v>
      </c>
      <c r="B11" s="1120" t="s">
        <v>295</v>
      </c>
      <c r="C11" s="1121"/>
      <c r="D11" s="955" t="s">
        <v>22</v>
      </c>
      <c r="E11" s="956"/>
      <c r="F11" s="956"/>
      <c r="G11" s="957"/>
      <c r="H11" s="91">
        <v>5</v>
      </c>
      <c r="I11" s="942">
        <v>10</v>
      </c>
      <c r="J11" s="944"/>
      <c r="K11" s="942">
        <v>285</v>
      </c>
      <c r="L11" s="944"/>
      <c r="M11" s="945">
        <v>230</v>
      </c>
      <c r="N11" s="947"/>
      <c r="O11" s="950">
        <v>515</v>
      </c>
      <c r="P11" s="951"/>
      <c r="Q11" s="92">
        <v>10</v>
      </c>
      <c r="R11" s="942">
        <v>263</v>
      </c>
      <c r="S11" s="943"/>
      <c r="T11" s="944"/>
      <c r="U11" s="942">
        <v>274</v>
      </c>
      <c r="V11" s="944"/>
      <c r="W11" s="942">
        <v>537</v>
      </c>
      <c r="X11" s="944"/>
      <c r="Y11" s="945">
        <v>10</v>
      </c>
      <c r="Z11" s="947"/>
      <c r="AA11" s="945">
        <v>265</v>
      </c>
      <c r="AB11" s="947"/>
      <c r="AC11" s="945">
        <v>225</v>
      </c>
      <c r="AD11" s="947"/>
      <c r="AE11" s="945">
        <v>490</v>
      </c>
      <c r="AF11" s="947"/>
      <c r="AG11" s="942">
        <v>30</v>
      </c>
      <c r="AH11" s="944"/>
      <c r="AI11" s="945">
        <v>813</v>
      </c>
      <c r="AJ11" s="947"/>
      <c r="AK11" s="942">
        <v>729</v>
      </c>
      <c r="AL11" s="944"/>
      <c r="AM11" s="945">
        <v>1542</v>
      </c>
      <c r="AN11" s="946"/>
      <c r="AO11" s="947"/>
      <c r="AP11" s="942">
        <v>0</v>
      </c>
      <c r="AQ11" s="944"/>
      <c r="AR11" s="942">
        <v>0</v>
      </c>
      <c r="AS11" s="944"/>
      <c r="AT11" s="942">
        <v>0</v>
      </c>
      <c r="AU11" s="944"/>
      <c r="AV11" s="952">
        <v>0</v>
      </c>
      <c r="AW11" s="954"/>
      <c r="AX11" s="945">
        <v>0</v>
      </c>
      <c r="AY11" s="947"/>
      <c r="AZ11" s="91">
        <v>0</v>
      </c>
      <c r="BA11" s="92">
        <v>0</v>
      </c>
      <c r="BB11" s="942">
        <v>0</v>
      </c>
      <c r="BC11" s="944"/>
      <c r="BD11" s="945">
        <v>0</v>
      </c>
      <c r="BE11" s="947"/>
      <c r="BF11" s="942">
        <v>0</v>
      </c>
      <c r="BG11" s="943"/>
      <c r="BH11" s="944"/>
      <c r="BI11" s="945">
        <v>0</v>
      </c>
      <c r="BJ11" s="947"/>
      <c r="BK11" s="942">
        <v>0</v>
      </c>
      <c r="BL11" s="944"/>
      <c r="BM11" s="942">
        <v>0</v>
      </c>
      <c r="BN11" s="943"/>
      <c r="BO11" s="944"/>
      <c r="BP11" s="945">
        <v>0</v>
      </c>
      <c r="BQ11" s="947"/>
      <c r="BR11" s="950">
        <v>0</v>
      </c>
      <c r="BS11" s="951"/>
      <c r="BT11" s="945">
        <v>0</v>
      </c>
      <c r="BU11" s="947"/>
      <c r="BV11" s="942">
        <v>30</v>
      </c>
      <c r="BW11" s="943"/>
      <c r="BX11" s="944"/>
      <c r="BY11" s="942">
        <v>813</v>
      </c>
      <c r="BZ11" s="944"/>
      <c r="CA11" s="942">
        <v>729</v>
      </c>
      <c r="CB11" s="943"/>
      <c r="CC11" s="944"/>
      <c r="CD11" s="950">
        <v>1542</v>
      </c>
      <c r="CE11" s="1059"/>
      <c r="CF11" s="951"/>
      <c r="CG11" s="945">
        <v>13</v>
      </c>
      <c r="CH11" s="946"/>
      <c r="CI11" s="947"/>
      <c r="CJ11" s="942">
        <v>25</v>
      </c>
      <c r="CK11" s="943"/>
      <c r="CL11" s="944"/>
      <c r="CM11" s="945">
        <v>38</v>
      </c>
      <c r="CN11" s="947"/>
      <c r="CO11" s="955" t="s">
        <v>35</v>
      </c>
      <c r="CP11" s="956"/>
      <c r="CQ11" s="956"/>
      <c r="CR11" s="956"/>
      <c r="CS11" s="957"/>
      <c r="CT11" s="158">
        <f t="shared" si="0"/>
        <v>150000</v>
      </c>
    </row>
    <row r="12" spans="1:106" ht="26.25">
      <c r="A12" s="91">
        <v>5</v>
      </c>
      <c r="B12" s="1120" t="s">
        <v>296</v>
      </c>
      <c r="C12" s="1121"/>
      <c r="D12" s="955" t="s">
        <v>22</v>
      </c>
      <c r="E12" s="956"/>
      <c r="F12" s="956"/>
      <c r="G12" s="957"/>
      <c r="H12" s="91">
        <v>10</v>
      </c>
      <c r="I12" s="942">
        <v>12</v>
      </c>
      <c r="J12" s="944"/>
      <c r="K12" s="942">
        <v>432</v>
      </c>
      <c r="L12" s="944"/>
      <c r="M12" s="945">
        <v>394</v>
      </c>
      <c r="N12" s="947"/>
      <c r="O12" s="950">
        <v>826</v>
      </c>
      <c r="P12" s="951"/>
      <c r="Q12" s="92">
        <v>14</v>
      </c>
      <c r="R12" s="942">
        <v>532</v>
      </c>
      <c r="S12" s="943"/>
      <c r="T12" s="944"/>
      <c r="U12" s="942">
        <v>475</v>
      </c>
      <c r="V12" s="944"/>
      <c r="W12" s="942">
        <v>1007</v>
      </c>
      <c r="X12" s="944"/>
      <c r="Y12" s="945">
        <v>12</v>
      </c>
      <c r="Z12" s="947"/>
      <c r="AA12" s="945">
        <v>458</v>
      </c>
      <c r="AB12" s="947"/>
      <c r="AC12" s="945">
        <v>479</v>
      </c>
      <c r="AD12" s="947"/>
      <c r="AE12" s="945">
        <v>937</v>
      </c>
      <c r="AF12" s="947"/>
      <c r="AG12" s="942">
        <v>38</v>
      </c>
      <c r="AH12" s="944"/>
      <c r="AI12" s="945">
        <v>1422</v>
      </c>
      <c r="AJ12" s="947"/>
      <c r="AK12" s="942">
        <v>1348</v>
      </c>
      <c r="AL12" s="944"/>
      <c r="AM12" s="945">
        <v>2770</v>
      </c>
      <c r="AN12" s="946"/>
      <c r="AO12" s="947"/>
      <c r="AP12" s="942">
        <v>0</v>
      </c>
      <c r="AQ12" s="944"/>
      <c r="AR12" s="942">
        <v>0</v>
      </c>
      <c r="AS12" s="944"/>
      <c r="AT12" s="942">
        <v>0</v>
      </c>
      <c r="AU12" s="944"/>
      <c r="AV12" s="952">
        <v>0</v>
      </c>
      <c r="AW12" s="954"/>
      <c r="AX12" s="945">
        <v>0</v>
      </c>
      <c r="AY12" s="947"/>
      <c r="AZ12" s="91">
        <v>0</v>
      </c>
      <c r="BA12" s="92">
        <v>0</v>
      </c>
      <c r="BB12" s="942">
        <v>0</v>
      </c>
      <c r="BC12" s="944"/>
      <c r="BD12" s="945">
        <v>0</v>
      </c>
      <c r="BE12" s="947"/>
      <c r="BF12" s="942">
        <v>0</v>
      </c>
      <c r="BG12" s="943"/>
      <c r="BH12" s="944"/>
      <c r="BI12" s="945">
        <v>0</v>
      </c>
      <c r="BJ12" s="947"/>
      <c r="BK12" s="942">
        <v>0</v>
      </c>
      <c r="BL12" s="944"/>
      <c r="BM12" s="942">
        <v>0</v>
      </c>
      <c r="BN12" s="943"/>
      <c r="BO12" s="944"/>
      <c r="BP12" s="945">
        <v>0</v>
      </c>
      <c r="BQ12" s="947"/>
      <c r="BR12" s="950">
        <v>0</v>
      </c>
      <c r="BS12" s="951"/>
      <c r="BT12" s="945">
        <v>0</v>
      </c>
      <c r="BU12" s="947"/>
      <c r="BV12" s="942">
        <v>38</v>
      </c>
      <c r="BW12" s="943"/>
      <c r="BX12" s="944"/>
      <c r="BY12" s="942">
        <v>1422</v>
      </c>
      <c r="BZ12" s="944"/>
      <c r="CA12" s="942">
        <v>1348</v>
      </c>
      <c r="CB12" s="943"/>
      <c r="CC12" s="944"/>
      <c r="CD12" s="950">
        <v>2770</v>
      </c>
      <c r="CE12" s="1059"/>
      <c r="CF12" s="951"/>
      <c r="CG12" s="945">
        <v>11</v>
      </c>
      <c r="CH12" s="946"/>
      <c r="CI12" s="947"/>
      <c r="CJ12" s="942">
        <v>32</v>
      </c>
      <c r="CK12" s="943"/>
      <c r="CL12" s="944"/>
      <c r="CM12" s="945">
        <v>43</v>
      </c>
      <c r="CN12" s="947"/>
      <c r="CO12" s="955" t="s">
        <v>35</v>
      </c>
      <c r="CP12" s="956"/>
      <c r="CQ12" s="956"/>
      <c r="CR12" s="956"/>
      <c r="CS12" s="957"/>
      <c r="CT12" s="158">
        <f t="shared" si="0"/>
        <v>150000</v>
      </c>
    </row>
    <row r="13" spans="1:106" ht="26.25">
      <c r="A13" s="91">
        <v>6</v>
      </c>
      <c r="B13" s="1120" t="s">
        <v>297</v>
      </c>
      <c r="C13" s="1121"/>
      <c r="D13" s="955" t="s">
        <v>22</v>
      </c>
      <c r="E13" s="956"/>
      <c r="F13" s="956"/>
      <c r="G13" s="957"/>
      <c r="H13" s="91">
        <v>5</v>
      </c>
      <c r="I13" s="942">
        <v>12</v>
      </c>
      <c r="J13" s="944"/>
      <c r="K13" s="942">
        <v>309</v>
      </c>
      <c r="L13" s="944"/>
      <c r="M13" s="945">
        <v>356</v>
      </c>
      <c r="N13" s="947"/>
      <c r="O13" s="950">
        <v>665</v>
      </c>
      <c r="P13" s="951"/>
      <c r="Q13" s="92">
        <v>12</v>
      </c>
      <c r="R13" s="942">
        <v>308</v>
      </c>
      <c r="S13" s="943"/>
      <c r="T13" s="944"/>
      <c r="U13" s="942">
        <v>253</v>
      </c>
      <c r="V13" s="944"/>
      <c r="W13" s="942">
        <v>561</v>
      </c>
      <c r="X13" s="944"/>
      <c r="Y13" s="945">
        <v>12</v>
      </c>
      <c r="Z13" s="947"/>
      <c r="AA13" s="945">
        <v>245</v>
      </c>
      <c r="AB13" s="947"/>
      <c r="AC13" s="945">
        <v>282</v>
      </c>
      <c r="AD13" s="947"/>
      <c r="AE13" s="945">
        <v>527</v>
      </c>
      <c r="AF13" s="947"/>
      <c r="AG13" s="942">
        <v>36</v>
      </c>
      <c r="AH13" s="944"/>
      <c r="AI13" s="945">
        <v>862</v>
      </c>
      <c r="AJ13" s="947"/>
      <c r="AK13" s="942">
        <v>891</v>
      </c>
      <c r="AL13" s="944"/>
      <c r="AM13" s="945">
        <v>1753</v>
      </c>
      <c r="AN13" s="946"/>
      <c r="AO13" s="947"/>
      <c r="AP13" s="942">
        <v>0</v>
      </c>
      <c r="AQ13" s="944"/>
      <c r="AR13" s="942">
        <v>0</v>
      </c>
      <c r="AS13" s="944"/>
      <c r="AT13" s="942">
        <v>0</v>
      </c>
      <c r="AU13" s="944"/>
      <c r="AV13" s="952">
        <v>0</v>
      </c>
      <c r="AW13" s="954"/>
      <c r="AX13" s="945">
        <v>0</v>
      </c>
      <c r="AY13" s="947"/>
      <c r="AZ13" s="91">
        <v>0</v>
      </c>
      <c r="BA13" s="92">
        <v>0</v>
      </c>
      <c r="BB13" s="942">
        <v>0</v>
      </c>
      <c r="BC13" s="944"/>
      <c r="BD13" s="945">
        <v>0</v>
      </c>
      <c r="BE13" s="947"/>
      <c r="BF13" s="942">
        <v>0</v>
      </c>
      <c r="BG13" s="943"/>
      <c r="BH13" s="944"/>
      <c r="BI13" s="945">
        <v>0</v>
      </c>
      <c r="BJ13" s="947"/>
      <c r="BK13" s="942">
        <v>0</v>
      </c>
      <c r="BL13" s="944"/>
      <c r="BM13" s="942">
        <v>0</v>
      </c>
      <c r="BN13" s="943"/>
      <c r="BO13" s="944"/>
      <c r="BP13" s="945">
        <v>0</v>
      </c>
      <c r="BQ13" s="947"/>
      <c r="BR13" s="950">
        <v>0</v>
      </c>
      <c r="BS13" s="951"/>
      <c r="BT13" s="945">
        <v>0</v>
      </c>
      <c r="BU13" s="947"/>
      <c r="BV13" s="942">
        <v>36</v>
      </c>
      <c r="BW13" s="943"/>
      <c r="BX13" s="944"/>
      <c r="BY13" s="942">
        <v>862</v>
      </c>
      <c r="BZ13" s="944"/>
      <c r="CA13" s="942">
        <v>891</v>
      </c>
      <c r="CB13" s="943"/>
      <c r="CC13" s="944"/>
      <c r="CD13" s="950">
        <v>1753</v>
      </c>
      <c r="CE13" s="1059"/>
      <c r="CF13" s="951"/>
      <c r="CG13" s="945">
        <v>11</v>
      </c>
      <c r="CH13" s="946"/>
      <c r="CI13" s="947"/>
      <c r="CJ13" s="942">
        <v>33</v>
      </c>
      <c r="CK13" s="943"/>
      <c r="CL13" s="944"/>
      <c r="CM13" s="945">
        <v>44</v>
      </c>
      <c r="CN13" s="947"/>
      <c r="CO13" s="955" t="s">
        <v>35</v>
      </c>
      <c r="CP13" s="956"/>
      <c r="CQ13" s="956"/>
      <c r="CR13" s="956"/>
      <c r="CS13" s="957"/>
      <c r="CT13" s="158">
        <f t="shared" si="0"/>
        <v>150000</v>
      </c>
    </row>
    <row r="14" spans="1:106" ht="26.25">
      <c r="A14" s="91">
        <v>7</v>
      </c>
      <c r="B14" s="1120" t="s">
        <v>298</v>
      </c>
      <c r="C14" s="1121"/>
      <c r="D14" s="955" t="s">
        <v>22</v>
      </c>
      <c r="E14" s="956"/>
      <c r="F14" s="956"/>
      <c r="G14" s="957"/>
      <c r="H14" s="91">
        <v>1</v>
      </c>
      <c r="I14" s="942">
        <v>8</v>
      </c>
      <c r="J14" s="944"/>
      <c r="K14" s="942">
        <v>398</v>
      </c>
      <c r="L14" s="944"/>
      <c r="M14" s="945">
        <v>428</v>
      </c>
      <c r="N14" s="947"/>
      <c r="O14" s="950">
        <v>826</v>
      </c>
      <c r="P14" s="951"/>
      <c r="Q14" s="92">
        <v>8</v>
      </c>
      <c r="R14" s="942">
        <v>303</v>
      </c>
      <c r="S14" s="943"/>
      <c r="T14" s="944"/>
      <c r="U14" s="942">
        <v>309</v>
      </c>
      <c r="V14" s="944"/>
      <c r="W14" s="942">
        <v>612</v>
      </c>
      <c r="X14" s="944"/>
      <c r="Y14" s="945">
        <v>7</v>
      </c>
      <c r="Z14" s="947"/>
      <c r="AA14" s="945">
        <v>249</v>
      </c>
      <c r="AB14" s="947"/>
      <c r="AC14" s="945">
        <v>277</v>
      </c>
      <c r="AD14" s="947"/>
      <c r="AE14" s="945">
        <v>526</v>
      </c>
      <c r="AF14" s="947"/>
      <c r="AG14" s="942">
        <v>23</v>
      </c>
      <c r="AH14" s="944"/>
      <c r="AI14" s="945">
        <v>950</v>
      </c>
      <c r="AJ14" s="947"/>
      <c r="AK14" s="942">
        <v>1014</v>
      </c>
      <c r="AL14" s="944"/>
      <c r="AM14" s="945">
        <v>1964</v>
      </c>
      <c r="AN14" s="946"/>
      <c r="AO14" s="947"/>
      <c r="AP14" s="942">
        <v>0</v>
      </c>
      <c r="AQ14" s="944"/>
      <c r="AR14" s="942">
        <v>0</v>
      </c>
      <c r="AS14" s="944"/>
      <c r="AT14" s="942">
        <v>0</v>
      </c>
      <c r="AU14" s="944"/>
      <c r="AV14" s="952">
        <v>0</v>
      </c>
      <c r="AW14" s="954"/>
      <c r="AX14" s="945">
        <v>0</v>
      </c>
      <c r="AY14" s="947"/>
      <c r="AZ14" s="91">
        <v>0</v>
      </c>
      <c r="BA14" s="92">
        <v>0</v>
      </c>
      <c r="BB14" s="942">
        <v>0</v>
      </c>
      <c r="BC14" s="944"/>
      <c r="BD14" s="945">
        <v>0</v>
      </c>
      <c r="BE14" s="947"/>
      <c r="BF14" s="942">
        <v>0</v>
      </c>
      <c r="BG14" s="943"/>
      <c r="BH14" s="944"/>
      <c r="BI14" s="945">
        <v>0</v>
      </c>
      <c r="BJ14" s="947"/>
      <c r="BK14" s="942">
        <v>0</v>
      </c>
      <c r="BL14" s="944"/>
      <c r="BM14" s="942">
        <v>0</v>
      </c>
      <c r="BN14" s="943"/>
      <c r="BO14" s="944"/>
      <c r="BP14" s="945">
        <v>0</v>
      </c>
      <c r="BQ14" s="947"/>
      <c r="BR14" s="950">
        <v>0</v>
      </c>
      <c r="BS14" s="951"/>
      <c r="BT14" s="945">
        <v>0</v>
      </c>
      <c r="BU14" s="947"/>
      <c r="BV14" s="942">
        <v>23</v>
      </c>
      <c r="BW14" s="943"/>
      <c r="BX14" s="944"/>
      <c r="BY14" s="942">
        <v>950</v>
      </c>
      <c r="BZ14" s="944"/>
      <c r="CA14" s="942">
        <v>1014</v>
      </c>
      <c r="CB14" s="943"/>
      <c r="CC14" s="944"/>
      <c r="CD14" s="950">
        <v>1964</v>
      </c>
      <c r="CE14" s="1059"/>
      <c r="CF14" s="951"/>
      <c r="CG14" s="945">
        <v>21</v>
      </c>
      <c r="CH14" s="946"/>
      <c r="CI14" s="947"/>
      <c r="CJ14" s="942">
        <v>34</v>
      </c>
      <c r="CK14" s="943"/>
      <c r="CL14" s="944"/>
      <c r="CM14" s="945">
        <v>55</v>
      </c>
      <c r="CN14" s="947"/>
      <c r="CO14" s="955" t="s">
        <v>35</v>
      </c>
      <c r="CP14" s="956"/>
      <c r="CQ14" s="956"/>
      <c r="CR14" s="956"/>
      <c r="CS14" s="957"/>
      <c r="CT14" s="158">
        <f t="shared" si="0"/>
        <v>150000</v>
      </c>
    </row>
    <row r="15" spans="1:106" ht="26.25">
      <c r="A15" s="91">
        <v>8</v>
      </c>
      <c r="B15" s="1120" t="s">
        <v>299</v>
      </c>
      <c r="C15" s="1121"/>
      <c r="D15" s="955" t="s">
        <v>22</v>
      </c>
      <c r="E15" s="956"/>
      <c r="F15" s="956"/>
      <c r="G15" s="957"/>
      <c r="H15" s="91">
        <v>12</v>
      </c>
      <c r="I15" s="942">
        <v>6</v>
      </c>
      <c r="J15" s="944"/>
      <c r="K15" s="942">
        <v>173</v>
      </c>
      <c r="L15" s="944"/>
      <c r="M15" s="945">
        <v>161</v>
      </c>
      <c r="N15" s="947"/>
      <c r="O15" s="950">
        <v>334</v>
      </c>
      <c r="P15" s="951"/>
      <c r="Q15" s="92">
        <v>6</v>
      </c>
      <c r="R15" s="942">
        <v>183</v>
      </c>
      <c r="S15" s="943"/>
      <c r="T15" s="944"/>
      <c r="U15" s="942">
        <v>195</v>
      </c>
      <c r="V15" s="944"/>
      <c r="W15" s="942">
        <v>378</v>
      </c>
      <c r="X15" s="944"/>
      <c r="Y15" s="945">
        <v>6</v>
      </c>
      <c r="Z15" s="947"/>
      <c r="AA15" s="945">
        <v>153</v>
      </c>
      <c r="AB15" s="947"/>
      <c r="AC15" s="945">
        <v>128</v>
      </c>
      <c r="AD15" s="947"/>
      <c r="AE15" s="945">
        <v>281</v>
      </c>
      <c r="AF15" s="947"/>
      <c r="AG15" s="942">
        <v>18</v>
      </c>
      <c r="AH15" s="944"/>
      <c r="AI15" s="945">
        <v>509</v>
      </c>
      <c r="AJ15" s="947"/>
      <c r="AK15" s="942">
        <v>484</v>
      </c>
      <c r="AL15" s="944"/>
      <c r="AM15" s="945">
        <v>993</v>
      </c>
      <c r="AN15" s="946"/>
      <c r="AO15" s="947"/>
      <c r="AP15" s="942">
        <v>0</v>
      </c>
      <c r="AQ15" s="944"/>
      <c r="AR15" s="942">
        <v>0</v>
      </c>
      <c r="AS15" s="944"/>
      <c r="AT15" s="942">
        <v>0</v>
      </c>
      <c r="AU15" s="944"/>
      <c r="AV15" s="952">
        <v>0</v>
      </c>
      <c r="AW15" s="954"/>
      <c r="AX15" s="945">
        <v>0</v>
      </c>
      <c r="AY15" s="947"/>
      <c r="AZ15" s="91">
        <v>0</v>
      </c>
      <c r="BA15" s="92">
        <v>0</v>
      </c>
      <c r="BB15" s="942">
        <v>0</v>
      </c>
      <c r="BC15" s="944"/>
      <c r="BD15" s="945">
        <v>0</v>
      </c>
      <c r="BE15" s="947"/>
      <c r="BF15" s="942">
        <v>0</v>
      </c>
      <c r="BG15" s="943"/>
      <c r="BH15" s="944"/>
      <c r="BI15" s="945">
        <v>0</v>
      </c>
      <c r="BJ15" s="947"/>
      <c r="BK15" s="942">
        <v>0</v>
      </c>
      <c r="BL15" s="944"/>
      <c r="BM15" s="942">
        <v>0</v>
      </c>
      <c r="BN15" s="943"/>
      <c r="BO15" s="944"/>
      <c r="BP15" s="945">
        <v>0</v>
      </c>
      <c r="BQ15" s="947"/>
      <c r="BR15" s="950">
        <v>0</v>
      </c>
      <c r="BS15" s="951"/>
      <c r="BT15" s="945">
        <v>0</v>
      </c>
      <c r="BU15" s="947"/>
      <c r="BV15" s="942">
        <v>18</v>
      </c>
      <c r="BW15" s="943"/>
      <c r="BX15" s="944"/>
      <c r="BY15" s="942">
        <v>509</v>
      </c>
      <c r="BZ15" s="944"/>
      <c r="CA15" s="942">
        <v>484</v>
      </c>
      <c r="CB15" s="943"/>
      <c r="CC15" s="944"/>
      <c r="CD15" s="950">
        <v>993</v>
      </c>
      <c r="CE15" s="1059"/>
      <c r="CF15" s="951"/>
      <c r="CG15" s="945">
        <v>5</v>
      </c>
      <c r="CH15" s="946"/>
      <c r="CI15" s="947"/>
      <c r="CJ15" s="942">
        <v>29</v>
      </c>
      <c r="CK15" s="943"/>
      <c r="CL15" s="944"/>
      <c r="CM15" s="945">
        <v>34</v>
      </c>
      <c r="CN15" s="947"/>
      <c r="CO15" s="955" t="s">
        <v>35</v>
      </c>
      <c r="CP15" s="956"/>
      <c r="CQ15" s="956"/>
      <c r="CR15" s="956"/>
      <c r="CS15" s="957"/>
      <c r="CT15" s="158">
        <f t="shared" si="0"/>
        <v>90000</v>
      </c>
    </row>
    <row r="16" spans="1:106" ht="26.25">
      <c r="A16" s="91">
        <v>9</v>
      </c>
      <c r="B16" s="1120" t="s">
        <v>300</v>
      </c>
      <c r="C16" s="1121"/>
      <c r="D16" s="955" t="s">
        <v>22</v>
      </c>
      <c r="E16" s="956"/>
      <c r="F16" s="956"/>
      <c r="G16" s="957"/>
      <c r="H16" s="91">
        <v>1</v>
      </c>
      <c r="I16" s="942">
        <v>3</v>
      </c>
      <c r="J16" s="944"/>
      <c r="K16" s="942">
        <v>74</v>
      </c>
      <c r="L16" s="944"/>
      <c r="M16" s="945">
        <v>66</v>
      </c>
      <c r="N16" s="947"/>
      <c r="O16" s="950">
        <v>140</v>
      </c>
      <c r="P16" s="951"/>
      <c r="Q16" s="92">
        <v>3</v>
      </c>
      <c r="R16" s="942">
        <v>80</v>
      </c>
      <c r="S16" s="943"/>
      <c r="T16" s="944"/>
      <c r="U16" s="942">
        <v>58</v>
      </c>
      <c r="V16" s="944"/>
      <c r="W16" s="942">
        <v>138</v>
      </c>
      <c r="X16" s="944"/>
      <c r="Y16" s="945">
        <v>3</v>
      </c>
      <c r="Z16" s="947"/>
      <c r="AA16" s="945">
        <v>50</v>
      </c>
      <c r="AB16" s="947"/>
      <c r="AC16" s="945">
        <v>56</v>
      </c>
      <c r="AD16" s="947"/>
      <c r="AE16" s="945">
        <v>106</v>
      </c>
      <c r="AF16" s="947"/>
      <c r="AG16" s="942">
        <v>9</v>
      </c>
      <c r="AH16" s="944"/>
      <c r="AI16" s="945">
        <v>204</v>
      </c>
      <c r="AJ16" s="947"/>
      <c r="AK16" s="942">
        <v>180</v>
      </c>
      <c r="AL16" s="944"/>
      <c r="AM16" s="945">
        <v>384</v>
      </c>
      <c r="AN16" s="946"/>
      <c r="AO16" s="947"/>
      <c r="AP16" s="942">
        <v>0</v>
      </c>
      <c r="AQ16" s="944"/>
      <c r="AR16" s="942">
        <v>0</v>
      </c>
      <c r="AS16" s="944"/>
      <c r="AT16" s="942">
        <v>0</v>
      </c>
      <c r="AU16" s="944"/>
      <c r="AV16" s="952">
        <v>0</v>
      </c>
      <c r="AW16" s="954"/>
      <c r="AX16" s="945">
        <v>0</v>
      </c>
      <c r="AY16" s="947"/>
      <c r="AZ16" s="91">
        <v>0</v>
      </c>
      <c r="BA16" s="92">
        <v>0</v>
      </c>
      <c r="BB16" s="942">
        <v>0</v>
      </c>
      <c r="BC16" s="944"/>
      <c r="BD16" s="945">
        <v>0</v>
      </c>
      <c r="BE16" s="947"/>
      <c r="BF16" s="942">
        <v>0</v>
      </c>
      <c r="BG16" s="943"/>
      <c r="BH16" s="944"/>
      <c r="BI16" s="945">
        <v>0</v>
      </c>
      <c r="BJ16" s="947"/>
      <c r="BK16" s="942">
        <v>0</v>
      </c>
      <c r="BL16" s="944"/>
      <c r="BM16" s="942">
        <v>0</v>
      </c>
      <c r="BN16" s="943"/>
      <c r="BO16" s="944"/>
      <c r="BP16" s="945">
        <v>0</v>
      </c>
      <c r="BQ16" s="947"/>
      <c r="BR16" s="950">
        <v>0</v>
      </c>
      <c r="BS16" s="951"/>
      <c r="BT16" s="945">
        <v>0</v>
      </c>
      <c r="BU16" s="947"/>
      <c r="BV16" s="942">
        <v>9</v>
      </c>
      <c r="BW16" s="943"/>
      <c r="BX16" s="944"/>
      <c r="BY16" s="942">
        <v>204</v>
      </c>
      <c r="BZ16" s="944"/>
      <c r="CA16" s="942">
        <v>180</v>
      </c>
      <c r="CB16" s="943"/>
      <c r="CC16" s="944"/>
      <c r="CD16" s="950">
        <v>384</v>
      </c>
      <c r="CE16" s="1059"/>
      <c r="CF16" s="951"/>
      <c r="CG16" s="945">
        <v>9</v>
      </c>
      <c r="CH16" s="946"/>
      <c r="CI16" s="947"/>
      <c r="CJ16" s="942">
        <v>17</v>
      </c>
      <c r="CK16" s="943"/>
      <c r="CL16" s="944"/>
      <c r="CM16" s="945">
        <v>26</v>
      </c>
      <c r="CN16" s="947"/>
      <c r="CO16" s="955" t="s">
        <v>35</v>
      </c>
      <c r="CP16" s="956"/>
      <c r="CQ16" s="956"/>
      <c r="CR16" s="956"/>
      <c r="CS16" s="957"/>
      <c r="CT16" s="158">
        <f t="shared" si="0"/>
        <v>90000</v>
      </c>
    </row>
    <row r="17" spans="1:98" ht="26.25">
      <c r="A17" s="91">
        <v>10</v>
      </c>
      <c r="B17" s="1120" t="s">
        <v>301</v>
      </c>
      <c r="C17" s="1121"/>
      <c r="D17" s="955" t="s">
        <v>22</v>
      </c>
      <c r="E17" s="956"/>
      <c r="F17" s="956"/>
      <c r="G17" s="957"/>
      <c r="H17" s="91">
        <v>3</v>
      </c>
      <c r="I17" s="942">
        <v>0</v>
      </c>
      <c r="J17" s="944"/>
      <c r="K17" s="942">
        <v>0</v>
      </c>
      <c r="L17" s="944"/>
      <c r="M17" s="952">
        <v>0</v>
      </c>
      <c r="N17" s="954"/>
      <c r="O17" s="950">
        <v>0</v>
      </c>
      <c r="P17" s="951"/>
      <c r="Q17" s="92">
        <v>0</v>
      </c>
      <c r="R17" s="942">
        <v>0</v>
      </c>
      <c r="S17" s="943"/>
      <c r="T17" s="944"/>
      <c r="U17" s="942">
        <v>0</v>
      </c>
      <c r="V17" s="944"/>
      <c r="W17" s="942">
        <v>0</v>
      </c>
      <c r="X17" s="944"/>
      <c r="Y17" s="945">
        <v>0</v>
      </c>
      <c r="Z17" s="947"/>
      <c r="AA17" s="945">
        <v>0</v>
      </c>
      <c r="AB17" s="947"/>
      <c r="AC17" s="945">
        <v>0</v>
      </c>
      <c r="AD17" s="947"/>
      <c r="AE17" s="945">
        <v>0</v>
      </c>
      <c r="AF17" s="947"/>
      <c r="AG17" s="942">
        <v>0</v>
      </c>
      <c r="AH17" s="944"/>
      <c r="AI17" s="945">
        <v>0</v>
      </c>
      <c r="AJ17" s="947"/>
      <c r="AK17" s="942">
        <v>0</v>
      </c>
      <c r="AL17" s="944"/>
      <c r="AM17" s="952">
        <v>0</v>
      </c>
      <c r="AN17" s="953"/>
      <c r="AO17" s="954"/>
      <c r="AP17" s="942">
        <v>6</v>
      </c>
      <c r="AQ17" s="944"/>
      <c r="AR17" s="942">
        <v>111</v>
      </c>
      <c r="AS17" s="944"/>
      <c r="AT17" s="942">
        <v>104</v>
      </c>
      <c r="AU17" s="944"/>
      <c r="AV17" s="945">
        <v>215</v>
      </c>
      <c r="AW17" s="947"/>
      <c r="AX17" s="945">
        <v>3</v>
      </c>
      <c r="AY17" s="947"/>
      <c r="AZ17" s="91">
        <v>82</v>
      </c>
      <c r="BA17" s="92">
        <v>109</v>
      </c>
      <c r="BB17" s="942">
        <v>191</v>
      </c>
      <c r="BC17" s="944"/>
      <c r="BD17" s="945">
        <v>3</v>
      </c>
      <c r="BE17" s="947"/>
      <c r="BF17" s="942">
        <v>36</v>
      </c>
      <c r="BG17" s="943"/>
      <c r="BH17" s="944"/>
      <c r="BI17" s="945">
        <v>58</v>
      </c>
      <c r="BJ17" s="947"/>
      <c r="BK17" s="942">
        <v>94</v>
      </c>
      <c r="BL17" s="944"/>
      <c r="BM17" s="942">
        <v>12</v>
      </c>
      <c r="BN17" s="943"/>
      <c r="BO17" s="944"/>
      <c r="BP17" s="945">
        <v>229</v>
      </c>
      <c r="BQ17" s="947"/>
      <c r="BR17" s="950">
        <v>271</v>
      </c>
      <c r="BS17" s="951"/>
      <c r="BT17" s="945">
        <v>500</v>
      </c>
      <c r="BU17" s="947"/>
      <c r="BV17" s="942">
        <v>12</v>
      </c>
      <c r="BW17" s="943"/>
      <c r="BX17" s="944"/>
      <c r="BY17" s="942">
        <v>229</v>
      </c>
      <c r="BZ17" s="944"/>
      <c r="CA17" s="942">
        <v>271</v>
      </c>
      <c r="CB17" s="943"/>
      <c r="CC17" s="944"/>
      <c r="CD17" s="950">
        <v>500</v>
      </c>
      <c r="CE17" s="1059"/>
      <c r="CF17" s="951"/>
      <c r="CG17" s="945">
        <v>10</v>
      </c>
      <c r="CH17" s="946"/>
      <c r="CI17" s="947"/>
      <c r="CJ17" s="942">
        <v>20</v>
      </c>
      <c r="CK17" s="943"/>
      <c r="CL17" s="944"/>
      <c r="CM17" s="945">
        <v>30</v>
      </c>
      <c r="CN17" s="947"/>
      <c r="CO17" s="955" t="s">
        <v>35</v>
      </c>
      <c r="CP17" s="956"/>
      <c r="CQ17" s="956"/>
      <c r="CR17" s="956"/>
      <c r="CS17" s="957"/>
      <c r="CT17" s="158">
        <f t="shared" si="0"/>
        <v>90000</v>
      </c>
    </row>
    <row r="18" spans="1:98" ht="26.25">
      <c r="A18" s="91">
        <v>11</v>
      </c>
      <c r="B18" s="1120" t="s">
        <v>302</v>
      </c>
      <c r="C18" s="1121"/>
      <c r="D18" s="955" t="s">
        <v>22</v>
      </c>
      <c r="E18" s="956"/>
      <c r="F18" s="956"/>
      <c r="G18" s="957"/>
      <c r="H18" s="91">
        <v>12</v>
      </c>
      <c r="I18" s="942">
        <v>0</v>
      </c>
      <c r="J18" s="944"/>
      <c r="K18" s="942">
        <v>0</v>
      </c>
      <c r="L18" s="944"/>
      <c r="M18" s="952">
        <v>0</v>
      </c>
      <c r="N18" s="954"/>
      <c r="O18" s="950">
        <v>0</v>
      </c>
      <c r="P18" s="951"/>
      <c r="Q18" s="92">
        <v>0</v>
      </c>
      <c r="R18" s="942">
        <v>0</v>
      </c>
      <c r="S18" s="943"/>
      <c r="T18" s="944"/>
      <c r="U18" s="942">
        <v>0</v>
      </c>
      <c r="V18" s="944"/>
      <c r="W18" s="942">
        <v>0</v>
      </c>
      <c r="X18" s="944"/>
      <c r="Y18" s="945">
        <v>0</v>
      </c>
      <c r="Z18" s="947"/>
      <c r="AA18" s="945">
        <v>0</v>
      </c>
      <c r="AB18" s="947"/>
      <c r="AC18" s="945">
        <v>0</v>
      </c>
      <c r="AD18" s="947"/>
      <c r="AE18" s="945">
        <v>0</v>
      </c>
      <c r="AF18" s="947"/>
      <c r="AG18" s="942">
        <v>0</v>
      </c>
      <c r="AH18" s="944"/>
      <c r="AI18" s="945">
        <v>0</v>
      </c>
      <c r="AJ18" s="947"/>
      <c r="AK18" s="942">
        <v>0</v>
      </c>
      <c r="AL18" s="944"/>
      <c r="AM18" s="952">
        <v>0</v>
      </c>
      <c r="AN18" s="953"/>
      <c r="AO18" s="954"/>
      <c r="AP18" s="942">
        <v>7</v>
      </c>
      <c r="AQ18" s="944"/>
      <c r="AR18" s="942">
        <v>261</v>
      </c>
      <c r="AS18" s="944"/>
      <c r="AT18" s="942">
        <v>254</v>
      </c>
      <c r="AU18" s="944"/>
      <c r="AV18" s="945">
        <v>515</v>
      </c>
      <c r="AW18" s="947"/>
      <c r="AX18" s="945">
        <v>6</v>
      </c>
      <c r="AY18" s="947"/>
      <c r="AZ18" s="91">
        <v>217</v>
      </c>
      <c r="BA18" s="92">
        <v>206</v>
      </c>
      <c r="BB18" s="942">
        <v>423</v>
      </c>
      <c r="BC18" s="944"/>
      <c r="BD18" s="945">
        <v>6</v>
      </c>
      <c r="BE18" s="947"/>
      <c r="BF18" s="942">
        <v>139</v>
      </c>
      <c r="BG18" s="943"/>
      <c r="BH18" s="944"/>
      <c r="BI18" s="945">
        <v>164</v>
      </c>
      <c r="BJ18" s="947"/>
      <c r="BK18" s="942">
        <v>303</v>
      </c>
      <c r="BL18" s="944"/>
      <c r="BM18" s="942">
        <v>19</v>
      </c>
      <c r="BN18" s="943"/>
      <c r="BO18" s="944"/>
      <c r="BP18" s="945">
        <v>617</v>
      </c>
      <c r="BQ18" s="947"/>
      <c r="BR18" s="950">
        <v>624</v>
      </c>
      <c r="BS18" s="951"/>
      <c r="BT18" s="945">
        <v>1241</v>
      </c>
      <c r="BU18" s="947"/>
      <c r="BV18" s="942">
        <v>19</v>
      </c>
      <c r="BW18" s="943"/>
      <c r="BX18" s="944"/>
      <c r="BY18" s="942">
        <v>617</v>
      </c>
      <c r="BZ18" s="944"/>
      <c r="CA18" s="942">
        <v>624</v>
      </c>
      <c r="CB18" s="943"/>
      <c r="CC18" s="944"/>
      <c r="CD18" s="950">
        <v>1241</v>
      </c>
      <c r="CE18" s="1059"/>
      <c r="CF18" s="951"/>
      <c r="CG18" s="945">
        <v>15</v>
      </c>
      <c r="CH18" s="946"/>
      <c r="CI18" s="947"/>
      <c r="CJ18" s="942">
        <v>18</v>
      </c>
      <c r="CK18" s="943"/>
      <c r="CL18" s="944"/>
      <c r="CM18" s="945">
        <v>33</v>
      </c>
      <c r="CN18" s="947"/>
      <c r="CO18" s="955" t="s">
        <v>35</v>
      </c>
      <c r="CP18" s="956"/>
      <c r="CQ18" s="956"/>
      <c r="CR18" s="956"/>
      <c r="CS18" s="957"/>
      <c r="CT18" s="158">
        <f t="shared" si="0"/>
        <v>150000</v>
      </c>
    </row>
    <row r="19" spans="1:98" ht="26.25">
      <c r="A19" s="91">
        <v>12</v>
      </c>
      <c r="B19" s="1120" t="s">
        <v>303</v>
      </c>
      <c r="C19" s="1121"/>
      <c r="D19" s="955" t="s">
        <v>22</v>
      </c>
      <c r="E19" s="956"/>
      <c r="F19" s="956"/>
      <c r="G19" s="957"/>
      <c r="H19" s="91">
        <v>6</v>
      </c>
      <c r="I19" s="942">
        <v>0</v>
      </c>
      <c r="J19" s="944"/>
      <c r="K19" s="942">
        <v>0</v>
      </c>
      <c r="L19" s="944"/>
      <c r="M19" s="952">
        <v>0</v>
      </c>
      <c r="N19" s="954"/>
      <c r="O19" s="950">
        <v>0</v>
      </c>
      <c r="P19" s="951"/>
      <c r="Q19" s="92">
        <v>0</v>
      </c>
      <c r="R19" s="942">
        <v>0</v>
      </c>
      <c r="S19" s="943"/>
      <c r="T19" s="944"/>
      <c r="U19" s="942">
        <v>0</v>
      </c>
      <c r="V19" s="944"/>
      <c r="W19" s="942">
        <v>0</v>
      </c>
      <c r="X19" s="944"/>
      <c r="Y19" s="945">
        <v>0</v>
      </c>
      <c r="Z19" s="947"/>
      <c r="AA19" s="945">
        <v>0</v>
      </c>
      <c r="AB19" s="947"/>
      <c r="AC19" s="945">
        <v>0</v>
      </c>
      <c r="AD19" s="947"/>
      <c r="AE19" s="945">
        <v>0</v>
      </c>
      <c r="AF19" s="947"/>
      <c r="AG19" s="942">
        <v>0</v>
      </c>
      <c r="AH19" s="944"/>
      <c r="AI19" s="945">
        <v>0</v>
      </c>
      <c r="AJ19" s="947"/>
      <c r="AK19" s="942">
        <v>0</v>
      </c>
      <c r="AL19" s="944"/>
      <c r="AM19" s="952">
        <v>0</v>
      </c>
      <c r="AN19" s="953"/>
      <c r="AO19" s="954"/>
      <c r="AP19" s="942">
        <v>9</v>
      </c>
      <c r="AQ19" s="944"/>
      <c r="AR19" s="942">
        <v>378</v>
      </c>
      <c r="AS19" s="944"/>
      <c r="AT19" s="942">
        <v>368</v>
      </c>
      <c r="AU19" s="944"/>
      <c r="AV19" s="945">
        <v>746</v>
      </c>
      <c r="AW19" s="947"/>
      <c r="AX19" s="945">
        <v>6</v>
      </c>
      <c r="AY19" s="947"/>
      <c r="AZ19" s="91">
        <v>186</v>
      </c>
      <c r="BA19" s="92">
        <v>207</v>
      </c>
      <c r="BB19" s="942">
        <v>393</v>
      </c>
      <c r="BC19" s="944"/>
      <c r="BD19" s="945">
        <v>6</v>
      </c>
      <c r="BE19" s="947"/>
      <c r="BF19" s="942">
        <v>198</v>
      </c>
      <c r="BG19" s="943"/>
      <c r="BH19" s="944"/>
      <c r="BI19" s="945">
        <v>220</v>
      </c>
      <c r="BJ19" s="947"/>
      <c r="BK19" s="942">
        <v>418</v>
      </c>
      <c r="BL19" s="944"/>
      <c r="BM19" s="942">
        <v>21</v>
      </c>
      <c r="BN19" s="943"/>
      <c r="BO19" s="944"/>
      <c r="BP19" s="945">
        <v>762</v>
      </c>
      <c r="BQ19" s="947"/>
      <c r="BR19" s="950">
        <v>795</v>
      </c>
      <c r="BS19" s="951"/>
      <c r="BT19" s="945">
        <v>1557</v>
      </c>
      <c r="BU19" s="947"/>
      <c r="BV19" s="942">
        <v>21</v>
      </c>
      <c r="BW19" s="943"/>
      <c r="BX19" s="944"/>
      <c r="BY19" s="942">
        <v>762</v>
      </c>
      <c r="BZ19" s="944"/>
      <c r="CA19" s="942">
        <v>795</v>
      </c>
      <c r="CB19" s="943"/>
      <c r="CC19" s="944"/>
      <c r="CD19" s="950">
        <v>1557</v>
      </c>
      <c r="CE19" s="1059"/>
      <c r="CF19" s="951"/>
      <c r="CG19" s="945">
        <v>10</v>
      </c>
      <c r="CH19" s="946"/>
      <c r="CI19" s="947"/>
      <c r="CJ19" s="942">
        <v>26</v>
      </c>
      <c r="CK19" s="943"/>
      <c r="CL19" s="944"/>
      <c r="CM19" s="945">
        <v>36</v>
      </c>
      <c r="CN19" s="947"/>
      <c r="CO19" s="955" t="s">
        <v>35</v>
      </c>
      <c r="CP19" s="956"/>
      <c r="CQ19" s="956"/>
      <c r="CR19" s="956"/>
      <c r="CS19" s="957"/>
      <c r="CT19" s="158">
        <f t="shared" si="0"/>
        <v>150000</v>
      </c>
    </row>
    <row r="20" spans="1:98" ht="26.25">
      <c r="A20" s="91">
        <v>13</v>
      </c>
      <c r="B20" s="1120" t="s">
        <v>304</v>
      </c>
      <c r="C20" s="1121"/>
      <c r="D20" s="955" t="s">
        <v>22</v>
      </c>
      <c r="E20" s="956"/>
      <c r="F20" s="956"/>
      <c r="G20" s="957"/>
      <c r="H20" s="91">
        <v>5</v>
      </c>
      <c r="I20" s="942">
        <v>0</v>
      </c>
      <c r="J20" s="944"/>
      <c r="K20" s="942">
        <v>0</v>
      </c>
      <c r="L20" s="944"/>
      <c r="M20" s="952">
        <v>0</v>
      </c>
      <c r="N20" s="954"/>
      <c r="O20" s="950">
        <v>0</v>
      </c>
      <c r="P20" s="951"/>
      <c r="Q20" s="92">
        <v>0</v>
      </c>
      <c r="R20" s="942">
        <v>0</v>
      </c>
      <c r="S20" s="943"/>
      <c r="T20" s="944"/>
      <c r="U20" s="942">
        <v>0</v>
      </c>
      <c r="V20" s="944"/>
      <c r="W20" s="942">
        <v>0</v>
      </c>
      <c r="X20" s="944"/>
      <c r="Y20" s="945">
        <v>0</v>
      </c>
      <c r="Z20" s="947"/>
      <c r="AA20" s="945">
        <v>0</v>
      </c>
      <c r="AB20" s="947"/>
      <c r="AC20" s="945">
        <v>0</v>
      </c>
      <c r="AD20" s="947"/>
      <c r="AE20" s="945">
        <v>0</v>
      </c>
      <c r="AF20" s="947"/>
      <c r="AG20" s="942">
        <v>0</v>
      </c>
      <c r="AH20" s="944"/>
      <c r="AI20" s="945">
        <v>0</v>
      </c>
      <c r="AJ20" s="947"/>
      <c r="AK20" s="942">
        <v>0</v>
      </c>
      <c r="AL20" s="944"/>
      <c r="AM20" s="952">
        <v>0</v>
      </c>
      <c r="AN20" s="953"/>
      <c r="AO20" s="954"/>
      <c r="AP20" s="942">
        <v>5</v>
      </c>
      <c r="AQ20" s="944"/>
      <c r="AR20" s="942">
        <v>189</v>
      </c>
      <c r="AS20" s="944"/>
      <c r="AT20" s="942">
        <v>201</v>
      </c>
      <c r="AU20" s="944"/>
      <c r="AV20" s="945">
        <v>390</v>
      </c>
      <c r="AW20" s="947"/>
      <c r="AX20" s="945">
        <v>6</v>
      </c>
      <c r="AY20" s="947"/>
      <c r="AZ20" s="91">
        <v>148</v>
      </c>
      <c r="BA20" s="92">
        <v>203</v>
      </c>
      <c r="BB20" s="942">
        <v>351</v>
      </c>
      <c r="BC20" s="944"/>
      <c r="BD20" s="945">
        <v>4</v>
      </c>
      <c r="BE20" s="947"/>
      <c r="BF20" s="942">
        <v>61</v>
      </c>
      <c r="BG20" s="943"/>
      <c r="BH20" s="944"/>
      <c r="BI20" s="945">
        <v>93</v>
      </c>
      <c r="BJ20" s="947"/>
      <c r="BK20" s="942">
        <v>154</v>
      </c>
      <c r="BL20" s="944"/>
      <c r="BM20" s="942">
        <v>15</v>
      </c>
      <c r="BN20" s="943"/>
      <c r="BO20" s="944"/>
      <c r="BP20" s="945">
        <v>398</v>
      </c>
      <c r="BQ20" s="947"/>
      <c r="BR20" s="950">
        <v>497</v>
      </c>
      <c r="BS20" s="951"/>
      <c r="BT20" s="945">
        <v>895</v>
      </c>
      <c r="BU20" s="947"/>
      <c r="BV20" s="942">
        <v>15</v>
      </c>
      <c r="BW20" s="943"/>
      <c r="BX20" s="944"/>
      <c r="BY20" s="942">
        <v>398</v>
      </c>
      <c r="BZ20" s="944"/>
      <c r="CA20" s="942">
        <v>497</v>
      </c>
      <c r="CB20" s="943"/>
      <c r="CC20" s="944"/>
      <c r="CD20" s="950">
        <v>895</v>
      </c>
      <c r="CE20" s="1059"/>
      <c r="CF20" s="951"/>
      <c r="CG20" s="945">
        <v>15</v>
      </c>
      <c r="CH20" s="946"/>
      <c r="CI20" s="947"/>
      <c r="CJ20" s="942">
        <v>22</v>
      </c>
      <c r="CK20" s="943"/>
      <c r="CL20" s="944"/>
      <c r="CM20" s="945">
        <v>37</v>
      </c>
      <c r="CN20" s="947"/>
      <c r="CO20" s="955" t="s">
        <v>35</v>
      </c>
      <c r="CP20" s="956"/>
      <c r="CQ20" s="956"/>
      <c r="CR20" s="956"/>
      <c r="CS20" s="957"/>
      <c r="CT20" s="158">
        <f t="shared" si="0"/>
        <v>90000</v>
      </c>
    </row>
    <row r="21" spans="1:98" ht="26.25">
      <c r="A21" s="91">
        <v>14</v>
      </c>
      <c r="B21" s="1120" t="s">
        <v>305</v>
      </c>
      <c r="C21" s="1121"/>
      <c r="D21" s="955" t="s">
        <v>22</v>
      </c>
      <c r="E21" s="956"/>
      <c r="F21" s="956"/>
      <c r="G21" s="957"/>
      <c r="H21" s="91">
        <v>10</v>
      </c>
      <c r="I21" s="942">
        <v>0</v>
      </c>
      <c r="J21" s="944"/>
      <c r="K21" s="942">
        <v>0</v>
      </c>
      <c r="L21" s="944"/>
      <c r="M21" s="952">
        <v>0</v>
      </c>
      <c r="N21" s="954"/>
      <c r="O21" s="950">
        <v>0</v>
      </c>
      <c r="P21" s="951"/>
      <c r="Q21" s="92">
        <v>0</v>
      </c>
      <c r="R21" s="942">
        <v>0</v>
      </c>
      <c r="S21" s="943"/>
      <c r="T21" s="944"/>
      <c r="U21" s="942">
        <v>0</v>
      </c>
      <c r="V21" s="944"/>
      <c r="W21" s="942">
        <v>0</v>
      </c>
      <c r="X21" s="944"/>
      <c r="Y21" s="945">
        <v>0</v>
      </c>
      <c r="Z21" s="947"/>
      <c r="AA21" s="945">
        <v>0</v>
      </c>
      <c r="AB21" s="947"/>
      <c r="AC21" s="945">
        <v>0</v>
      </c>
      <c r="AD21" s="947"/>
      <c r="AE21" s="945">
        <v>0</v>
      </c>
      <c r="AF21" s="947"/>
      <c r="AG21" s="942">
        <v>0</v>
      </c>
      <c r="AH21" s="944"/>
      <c r="AI21" s="945">
        <v>0</v>
      </c>
      <c r="AJ21" s="947"/>
      <c r="AK21" s="942">
        <v>0</v>
      </c>
      <c r="AL21" s="944"/>
      <c r="AM21" s="952">
        <v>0</v>
      </c>
      <c r="AN21" s="953"/>
      <c r="AO21" s="954"/>
      <c r="AP21" s="942">
        <v>10</v>
      </c>
      <c r="AQ21" s="944"/>
      <c r="AR21" s="942">
        <v>451</v>
      </c>
      <c r="AS21" s="944"/>
      <c r="AT21" s="942">
        <v>460</v>
      </c>
      <c r="AU21" s="944"/>
      <c r="AV21" s="945">
        <v>911</v>
      </c>
      <c r="AW21" s="947"/>
      <c r="AX21" s="945">
        <v>6</v>
      </c>
      <c r="AY21" s="947"/>
      <c r="AZ21" s="91">
        <v>179</v>
      </c>
      <c r="BA21" s="92">
        <v>194</v>
      </c>
      <c r="BB21" s="942">
        <v>373</v>
      </c>
      <c r="BC21" s="944"/>
      <c r="BD21" s="945">
        <v>3</v>
      </c>
      <c r="BE21" s="947"/>
      <c r="BF21" s="942">
        <v>77</v>
      </c>
      <c r="BG21" s="943"/>
      <c r="BH21" s="944"/>
      <c r="BI21" s="945">
        <v>84</v>
      </c>
      <c r="BJ21" s="947"/>
      <c r="BK21" s="942">
        <v>161</v>
      </c>
      <c r="BL21" s="944"/>
      <c r="BM21" s="942">
        <v>19</v>
      </c>
      <c r="BN21" s="943"/>
      <c r="BO21" s="944"/>
      <c r="BP21" s="945">
        <v>707</v>
      </c>
      <c r="BQ21" s="947"/>
      <c r="BR21" s="950">
        <v>738</v>
      </c>
      <c r="BS21" s="951"/>
      <c r="BT21" s="945">
        <v>1445</v>
      </c>
      <c r="BU21" s="947"/>
      <c r="BV21" s="942">
        <v>19</v>
      </c>
      <c r="BW21" s="943"/>
      <c r="BX21" s="944"/>
      <c r="BY21" s="942">
        <v>707</v>
      </c>
      <c r="BZ21" s="944"/>
      <c r="CA21" s="942">
        <v>738</v>
      </c>
      <c r="CB21" s="943"/>
      <c r="CC21" s="944"/>
      <c r="CD21" s="950">
        <v>1445</v>
      </c>
      <c r="CE21" s="1059"/>
      <c r="CF21" s="951"/>
      <c r="CG21" s="945">
        <v>12</v>
      </c>
      <c r="CH21" s="946"/>
      <c r="CI21" s="947"/>
      <c r="CJ21" s="942">
        <v>34</v>
      </c>
      <c r="CK21" s="943"/>
      <c r="CL21" s="944"/>
      <c r="CM21" s="945">
        <v>46</v>
      </c>
      <c r="CN21" s="947"/>
      <c r="CO21" s="955" t="s">
        <v>35</v>
      </c>
      <c r="CP21" s="956"/>
      <c r="CQ21" s="956"/>
      <c r="CR21" s="956"/>
      <c r="CS21" s="957"/>
      <c r="CT21" s="158">
        <f t="shared" si="0"/>
        <v>150000</v>
      </c>
    </row>
    <row r="22" spans="1:98" ht="26.25">
      <c r="A22" s="91">
        <v>15</v>
      </c>
      <c r="B22" s="1120" t="s">
        <v>306</v>
      </c>
      <c r="C22" s="1121"/>
      <c r="D22" s="955" t="s">
        <v>22</v>
      </c>
      <c r="E22" s="956"/>
      <c r="F22" s="956"/>
      <c r="G22" s="957"/>
      <c r="H22" s="91">
        <v>5</v>
      </c>
      <c r="I22" s="942">
        <v>0</v>
      </c>
      <c r="J22" s="944"/>
      <c r="K22" s="942">
        <v>0</v>
      </c>
      <c r="L22" s="944"/>
      <c r="M22" s="952">
        <v>0</v>
      </c>
      <c r="N22" s="954"/>
      <c r="O22" s="950">
        <v>0</v>
      </c>
      <c r="P22" s="951"/>
      <c r="Q22" s="92">
        <v>0</v>
      </c>
      <c r="R22" s="942">
        <v>0</v>
      </c>
      <c r="S22" s="943"/>
      <c r="T22" s="944"/>
      <c r="U22" s="942">
        <v>0</v>
      </c>
      <c r="V22" s="944"/>
      <c r="W22" s="942">
        <v>0</v>
      </c>
      <c r="X22" s="944"/>
      <c r="Y22" s="945">
        <v>0</v>
      </c>
      <c r="Z22" s="947"/>
      <c r="AA22" s="945">
        <v>0</v>
      </c>
      <c r="AB22" s="947"/>
      <c r="AC22" s="945">
        <v>0</v>
      </c>
      <c r="AD22" s="947"/>
      <c r="AE22" s="945">
        <v>0</v>
      </c>
      <c r="AF22" s="947"/>
      <c r="AG22" s="942">
        <v>0</v>
      </c>
      <c r="AH22" s="944"/>
      <c r="AI22" s="945">
        <v>0</v>
      </c>
      <c r="AJ22" s="947"/>
      <c r="AK22" s="942">
        <v>0</v>
      </c>
      <c r="AL22" s="944"/>
      <c r="AM22" s="952">
        <v>0</v>
      </c>
      <c r="AN22" s="953"/>
      <c r="AO22" s="954"/>
      <c r="AP22" s="942">
        <v>7</v>
      </c>
      <c r="AQ22" s="944"/>
      <c r="AR22" s="942">
        <v>326</v>
      </c>
      <c r="AS22" s="944"/>
      <c r="AT22" s="942">
        <v>330</v>
      </c>
      <c r="AU22" s="944"/>
      <c r="AV22" s="945">
        <v>656</v>
      </c>
      <c r="AW22" s="947"/>
      <c r="AX22" s="945">
        <v>7</v>
      </c>
      <c r="AY22" s="947"/>
      <c r="AZ22" s="91">
        <v>318</v>
      </c>
      <c r="BA22" s="92">
        <v>306</v>
      </c>
      <c r="BB22" s="942">
        <v>624</v>
      </c>
      <c r="BC22" s="944"/>
      <c r="BD22" s="945">
        <v>5</v>
      </c>
      <c r="BE22" s="947"/>
      <c r="BF22" s="942">
        <v>161</v>
      </c>
      <c r="BG22" s="943"/>
      <c r="BH22" s="944"/>
      <c r="BI22" s="945">
        <v>162</v>
      </c>
      <c r="BJ22" s="947"/>
      <c r="BK22" s="942">
        <v>323</v>
      </c>
      <c r="BL22" s="944"/>
      <c r="BM22" s="942">
        <v>19</v>
      </c>
      <c r="BN22" s="943"/>
      <c r="BO22" s="944"/>
      <c r="BP22" s="945">
        <v>805</v>
      </c>
      <c r="BQ22" s="947"/>
      <c r="BR22" s="950">
        <v>798</v>
      </c>
      <c r="BS22" s="951"/>
      <c r="BT22" s="945">
        <v>1603</v>
      </c>
      <c r="BU22" s="947"/>
      <c r="BV22" s="942">
        <v>19</v>
      </c>
      <c r="BW22" s="943"/>
      <c r="BX22" s="944"/>
      <c r="BY22" s="942">
        <v>805</v>
      </c>
      <c r="BZ22" s="944"/>
      <c r="CA22" s="942">
        <v>798</v>
      </c>
      <c r="CB22" s="943"/>
      <c r="CC22" s="944"/>
      <c r="CD22" s="950">
        <v>1603</v>
      </c>
      <c r="CE22" s="1059"/>
      <c r="CF22" s="951"/>
      <c r="CG22" s="945">
        <v>20</v>
      </c>
      <c r="CH22" s="946"/>
      <c r="CI22" s="947"/>
      <c r="CJ22" s="942">
        <v>25</v>
      </c>
      <c r="CK22" s="943"/>
      <c r="CL22" s="944"/>
      <c r="CM22" s="945">
        <v>45</v>
      </c>
      <c r="CN22" s="947"/>
      <c r="CO22" s="955" t="s">
        <v>35</v>
      </c>
      <c r="CP22" s="956"/>
      <c r="CQ22" s="956"/>
      <c r="CR22" s="956"/>
      <c r="CS22" s="957"/>
      <c r="CT22" s="158">
        <f t="shared" si="0"/>
        <v>150000</v>
      </c>
    </row>
    <row r="23" spans="1:98" ht="26.25">
      <c r="A23" s="91">
        <v>16</v>
      </c>
      <c r="B23" s="1120" t="s">
        <v>307</v>
      </c>
      <c r="C23" s="1121"/>
      <c r="D23" s="955" t="s">
        <v>22</v>
      </c>
      <c r="E23" s="956"/>
      <c r="F23" s="956"/>
      <c r="G23" s="957"/>
      <c r="H23" s="91">
        <v>1</v>
      </c>
      <c r="I23" s="942">
        <v>0</v>
      </c>
      <c r="J23" s="944"/>
      <c r="K23" s="942">
        <v>0</v>
      </c>
      <c r="L23" s="944"/>
      <c r="M23" s="952">
        <v>0</v>
      </c>
      <c r="N23" s="954"/>
      <c r="O23" s="950">
        <v>0</v>
      </c>
      <c r="P23" s="951"/>
      <c r="Q23" s="92">
        <v>0</v>
      </c>
      <c r="R23" s="942">
        <v>0</v>
      </c>
      <c r="S23" s="943"/>
      <c r="T23" s="944"/>
      <c r="U23" s="942">
        <v>0</v>
      </c>
      <c r="V23" s="944"/>
      <c r="W23" s="942">
        <v>0</v>
      </c>
      <c r="X23" s="944"/>
      <c r="Y23" s="945">
        <v>0</v>
      </c>
      <c r="Z23" s="947"/>
      <c r="AA23" s="945">
        <v>0</v>
      </c>
      <c r="AB23" s="947"/>
      <c r="AC23" s="945">
        <v>0</v>
      </c>
      <c r="AD23" s="947"/>
      <c r="AE23" s="945">
        <v>0</v>
      </c>
      <c r="AF23" s="947"/>
      <c r="AG23" s="942">
        <v>0</v>
      </c>
      <c r="AH23" s="944"/>
      <c r="AI23" s="945">
        <v>0</v>
      </c>
      <c r="AJ23" s="947"/>
      <c r="AK23" s="942">
        <v>0</v>
      </c>
      <c r="AL23" s="944"/>
      <c r="AM23" s="952">
        <v>0</v>
      </c>
      <c r="AN23" s="953"/>
      <c r="AO23" s="954"/>
      <c r="AP23" s="942">
        <v>8</v>
      </c>
      <c r="AQ23" s="944"/>
      <c r="AR23" s="942">
        <v>382</v>
      </c>
      <c r="AS23" s="944"/>
      <c r="AT23" s="942">
        <v>412</v>
      </c>
      <c r="AU23" s="944"/>
      <c r="AV23" s="945">
        <v>794</v>
      </c>
      <c r="AW23" s="947"/>
      <c r="AX23" s="945">
        <v>7</v>
      </c>
      <c r="AY23" s="947"/>
      <c r="AZ23" s="91">
        <v>279</v>
      </c>
      <c r="BA23" s="92">
        <v>287</v>
      </c>
      <c r="BB23" s="942">
        <v>566</v>
      </c>
      <c r="BC23" s="944"/>
      <c r="BD23" s="945">
        <v>6</v>
      </c>
      <c r="BE23" s="947"/>
      <c r="BF23" s="942">
        <v>188</v>
      </c>
      <c r="BG23" s="943"/>
      <c r="BH23" s="944"/>
      <c r="BI23" s="945">
        <v>224</v>
      </c>
      <c r="BJ23" s="947"/>
      <c r="BK23" s="942">
        <v>412</v>
      </c>
      <c r="BL23" s="944"/>
      <c r="BM23" s="942">
        <v>21</v>
      </c>
      <c r="BN23" s="943"/>
      <c r="BO23" s="944"/>
      <c r="BP23" s="945">
        <v>849</v>
      </c>
      <c r="BQ23" s="947"/>
      <c r="BR23" s="950">
        <v>923</v>
      </c>
      <c r="BS23" s="951"/>
      <c r="BT23" s="945">
        <v>1772</v>
      </c>
      <c r="BU23" s="947"/>
      <c r="BV23" s="942">
        <v>21</v>
      </c>
      <c r="BW23" s="943"/>
      <c r="BX23" s="944"/>
      <c r="BY23" s="942">
        <v>849</v>
      </c>
      <c r="BZ23" s="944"/>
      <c r="CA23" s="942">
        <v>923</v>
      </c>
      <c r="CB23" s="943"/>
      <c r="CC23" s="944"/>
      <c r="CD23" s="950">
        <v>1772</v>
      </c>
      <c r="CE23" s="1059"/>
      <c r="CF23" s="951"/>
      <c r="CG23" s="945">
        <v>18</v>
      </c>
      <c r="CH23" s="946"/>
      <c r="CI23" s="947"/>
      <c r="CJ23" s="942">
        <v>41</v>
      </c>
      <c r="CK23" s="943"/>
      <c r="CL23" s="944"/>
      <c r="CM23" s="945">
        <v>59</v>
      </c>
      <c r="CN23" s="947"/>
      <c r="CO23" s="955" t="s">
        <v>35</v>
      </c>
      <c r="CP23" s="956"/>
      <c r="CQ23" s="956"/>
      <c r="CR23" s="956"/>
      <c r="CS23" s="957"/>
      <c r="CT23" s="158">
        <f t="shared" si="0"/>
        <v>150000</v>
      </c>
    </row>
    <row r="24" spans="1:98" ht="26.25">
      <c r="A24" s="91">
        <v>17</v>
      </c>
      <c r="B24" s="1120" t="s">
        <v>308</v>
      </c>
      <c r="C24" s="1121"/>
      <c r="D24" s="955" t="s">
        <v>22</v>
      </c>
      <c r="E24" s="956"/>
      <c r="F24" s="956"/>
      <c r="G24" s="957"/>
      <c r="H24" s="91">
        <v>12</v>
      </c>
      <c r="I24" s="942">
        <v>0</v>
      </c>
      <c r="J24" s="944"/>
      <c r="K24" s="942">
        <v>0</v>
      </c>
      <c r="L24" s="944"/>
      <c r="M24" s="952">
        <v>0</v>
      </c>
      <c r="N24" s="954"/>
      <c r="O24" s="950">
        <v>0</v>
      </c>
      <c r="P24" s="951"/>
      <c r="Q24" s="92">
        <v>0</v>
      </c>
      <c r="R24" s="942">
        <v>0</v>
      </c>
      <c r="S24" s="943"/>
      <c r="T24" s="944"/>
      <c r="U24" s="942">
        <v>0</v>
      </c>
      <c r="V24" s="944"/>
      <c r="W24" s="942">
        <v>0</v>
      </c>
      <c r="X24" s="944"/>
      <c r="Y24" s="945">
        <v>0</v>
      </c>
      <c r="Z24" s="947"/>
      <c r="AA24" s="945">
        <v>0</v>
      </c>
      <c r="AB24" s="947"/>
      <c r="AC24" s="945">
        <v>0</v>
      </c>
      <c r="AD24" s="947"/>
      <c r="AE24" s="945">
        <v>0</v>
      </c>
      <c r="AF24" s="947"/>
      <c r="AG24" s="942">
        <v>0</v>
      </c>
      <c r="AH24" s="944"/>
      <c r="AI24" s="945">
        <v>0</v>
      </c>
      <c r="AJ24" s="947"/>
      <c r="AK24" s="942">
        <v>0</v>
      </c>
      <c r="AL24" s="944"/>
      <c r="AM24" s="952">
        <v>0</v>
      </c>
      <c r="AN24" s="953"/>
      <c r="AO24" s="954"/>
      <c r="AP24" s="942">
        <v>6</v>
      </c>
      <c r="AQ24" s="944"/>
      <c r="AR24" s="942">
        <v>137</v>
      </c>
      <c r="AS24" s="944"/>
      <c r="AT24" s="942">
        <v>111</v>
      </c>
      <c r="AU24" s="944"/>
      <c r="AV24" s="945">
        <v>248</v>
      </c>
      <c r="AW24" s="947"/>
      <c r="AX24" s="945">
        <v>6</v>
      </c>
      <c r="AY24" s="947"/>
      <c r="AZ24" s="91">
        <v>121</v>
      </c>
      <c r="BA24" s="92">
        <v>137</v>
      </c>
      <c r="BB24" s="942">
        <v>258</v>
      </c>
      <c r="BC24" s="944"/>
      <c r="BD24" s="945">
        <v>3</v>
      </c>
      <c r="BE24" s="947"/>
      <c r="BF24" s="942">
        <v>103</v>
      </c>
      <c r="BG24" s="943"/>
      <c r="BH24" s="944"/>
      <c r="BI24" s="945">
        <v>119</v>
      </c>
      <c r="BJ24" s="947"/>
      <c r="BK24" s="942">
        <v>222</v>
      </c>
      <c r="BL24" s="944"/>
      <c r="BM24" s="942">
        <v>15</v>
      </c>
      <c r="BN24" s="943"/>
      <c r="BO24" s="944"/>
      <c r="BP24" s="945">
        <v>361</v>
      </c>
      <c r="BQ24" s="947"/>
      <c r="BR24" s="950">
        <v>367</v>
      </c>
      <c r="BS24" s="951"/>
      <c r="BT24" s="945">
        <v>728</v>
      </c>
      <c r="BU24" s="947"/>
      <c r="BV24" s="942">
        <v>15</v>
      </c>
      <c r="BW24" s="943"/>
      <c r="BX24" s="944"/>
      <c r="BY24" s="942">
        <v>361</v>
      </c>
      <c r="BZ24" s="944"/>
      <c r="CA24" s="942">
        <v>367</v>
      </c>
      <c r="CB24" s="943"/>
      <c r="CC24" s="944"/>
      <c r="CD24" s="950">
        <v>728</v>
      </c>
      <c r="CE24" s="1059"/>
      <c r="CF24" s="951"/>
      <c r="CG24" s="945">
        <v>11</v>
      </c>
      <c r="CH24" s="946"/>
      <c r="CI24" s="947"/>
      <c r="CJ24" s="942">
        <v>22</v>
      </c>
      <c r="CK24" s="943"/>
      <c r="CL24" s="944"/>
      <c r="CM24" s="945">
        <v>33</v>
      </c>
      <c r="CN24" s="947"/>
      <c r="CO24" s="955" t="s">
        <v>35</v>
      </c>
      <c r="CP24" s="956"/>
      <c r="CQ24" s="956"/>
      <c r="CR24" s="956"/>
      <c r="CS24" s="957"/>
      <c r="CT24" s="158">
        <f t="shared" si="0"/>
        <v>90000</v>
      </c>
    </row>
    <row r="25" spans="1:98" ht="26.25">
      <c r="A25" s="91">
        <v>18</v>
      </c>
      <c r="B25" s="1120" t="s">
        <v>309</v>
      </c>
      <c r="C25" s="1121"/>
      <c r="D25" s="955" t="s">
        <v>22</v>
      </c>
      <c r="E25" s="956"/>
      <c r="F25" s="956"/>
      <c r="G25" s="957"/>
      <c r="H25" s="91">
        <v>1</v>
      </c>
      <c r="I25" s="942">
        <v>0</v>
      </c>
      <c r="J25" s="944"/>
      <c r="K25" s="942">
        <v>0</v>
      </c>
      <c r="L25" s="944"/>
      <c r="M25" s="952">
        <v>0</v>
      </c>
      <c r="N25" s="954"/>
      <c r="O25" s="950">
        <v>0</v>
      </c>
      <c r="P25" s="951"/>
      <c r="Q25" s="92">
        <v>0</v>
      </c>
      <c r="R25" s="942">
        <v>0</v>
      </c>
      <c r="S25" s="943"/>
      <c r="T25" s="944"/>
      <c r="U25" s="942">
        <v>0</v>
      </c>
      <c r="V25" s="944"/>
      <c r="W25" s="942">
        <v>0</v>
      </c>
      <c r="X25" s="944"/>
      <c r="Y25" s="945">
        <v>0</v>
      </c>
      <c r="Z25" s="947"/>
      <c r="AA25" s="945">
        <v>0</v>
      </c>
      <c r="AB25" s="947"/>
      <c r="AC25" s="945">
        <v>0</v>
      </c>
      <c r="AD25" s="947"/>
      <c r="AE25" s="945">
        <v>0</v>
      </c>
      <c r="AF25" s="947"/>
      <c r="AG25" s="942">
        <v>0</v>
      </c>
      <c r="AH25" s="944"/>
      <c r="AI25" s="945">
        <v>0</v>
      </c>
      <c r="AJ25" s="947"/>
      <c r="AK25" s="942">
        <v>0</v>
      </c>
      <c r="AL25" s="944"/>
      <c r="AM25" s="952">
        <v>0</v>
      </c>
      <c r="AN25" s="953"/>
      <c r="AO25" s="954"/>
      <c r="AP25" s="942">
        <v>3</v>
      </c>
      <c r="AQ25" s="944"/>
      <c r="AR25" s="942">
        <v>41</v>
      </c>
      <c r="AS25" s="944"/>
      <c r="AT25" s="942">
        <v>64</v>
      </c>
      <c r="AU25" s="944"/>
      <c r="AV25" s="945">
        <v>105</v>
      </c>
      <c r="AW25" s="947"/>
      <c r="AX25" s="945">
        <v>3</v>
      </c>
      <c r="AY25" s="947"/>
      <c r="AZ25" s="91">
        <v>56</v>
      </c>
      <c r="BA25" s="92">
        <v>47</v>
      </c>
      <c r="BB25" s="942">
        <v>103</v>
      </c>
      <c r="BC25" s="944"/>
      <c r="BD25" s="945">
        <v>3</v>
      </c>
      <c r="BE25" s="947"/>
      <c r="BF25" s="942">
        <v>34</v>
      </c>
      <c r="BG25" s="943"/>
      <c r="BH25" s="944"/>
      <c r="BI25" s="945">
        <v>38</v>
      </c>
      <c r="BJ25" s="947"/>
      <c r="BK25" s="942">
        <v>72</v>
      </c>
      <c r="BL25" s="944"/>
      <c r="BM25" s="942">
        <v>9</v>
      </c>
      <c r="BN25" s="943"/>
      <c r="BO25" s="944"/>
      <c r="BP25" s="945">
        <v>131</v>
      </c>
      <c r="BQ25" s="947"/>
      <c r="BR25" s="950">
        <v>149</v>
      </c>
      <c r="BS25" s="951"/>
      <c r="BT25" s="945">
        <v>280</v>
      </c>
      <c r="BU25" s="947"/>
      <c r="BV25" s="942">
        <v>9</v>
      </c>
      <c r="BW25" s="943"/>
      <c r="BX25" s="944"/>
      <c r="BY25" s="942">
        <v>131</v>
      </c>
      <c r="BZ25" s="944"/>
      <c r="CA25" s="942">
        <v>149</v>
      </c>
      <c r="CB25" s="943"/>
      <c r="CC25" s="944"/>
      <c r="CD25" s="950">
        <v>280</v>
      </c>
      <c r="CE25" s="1059"/>
      <c r="CF25" s="951"/>
      <c r="CG25" s="945">
        <v>6</v>
      </c>
      <c r="CH25" s="946"/>
      <c r="CI25" s="947"/>
      <c r="CJ25" s="942">
        <v>17</v>
      </c>
      <c r="CK25" s="943"/>
      <c r="CL25" s="944"/>
      <c r="CM25" s="945">
        <v>23</v>
      </c>
      <c r="CN25" s="947"/>
      <c r="CO25" s="955" t="s">
        <v>35</v>
      </c>
      <c r="CP25" s="956"/>
      <c r="CQ25" s="956"/>
      <c r="CR25" s="956"/>
      <c r="CS25" s="957"/>
      <c r="CT25" s="158">
        <f t="shared" si="0"/>
        <v>90000</v>
      </c>
    </row>
    <row r="26" spans="1:98" ht="26.25">
      <c r="A26" s="91">
        <v>19</v>
      </c>
      <c r="B26" s="1120" t="s">
        <v>310</v>
      </c>
      <c r="C26" s="1121"/>
      <c r="D26" s="955" t="s">
        <v>22</v>
      </c>
      <c r="E26" s="956"/>
      <c r="F26" s="956"/>
      <c r="G26" s="957"/>
      <c r="H26" s="91">
        <v>13</v>
      </c>
      <c r="I26" s="942">
        <v>2</v>
      </c>
      <c r="J26" s="944"/>
      <c r="K26" s="942">
        <v>67</v>
      </c>
      <c r="L26" s="944"/>
      <c r="M26" s="945">
        <v>65</v>
      </c>
      <c r="N26" s="947"/>
      <c r="O26" s="950">
        <v>132</v>
      </c>
      <c r="P26" s="951"/>
      <c r="Q26" s="92">
        <v>2</v>
      </c>
      <c r="R26" s="942">
        <v>61</v>
      </c>
      <c r="S26" s="943"/>
      <c r="T26" s="944"/>
      <c r="U26" s="942">
        <v>57</v>
      </c>
      <c r="V26" s="944"/>
      <c r="W26" s="942">
        <v>118</v>
      </c>
      <c r="X26" s="944"/>
      <c r="Y26" s="945">
        <v>1</v>
      </c>
      <c r="Z26" s="947"/>
      <c r="AA26" s="945">
        <v>12</v>
      </c>
      <c r="AB26" s="947"/>
      <c r="AC26" s="945">
        <v>17</v>
      </c>
      <c r="AD26" s="947"/>
      <c r="AE26" s="945">
        <v>29</v>
      </c>
      <c r="AF26" s="947"/>
      <c r="AG26" s="942">
        <v>5</v>
      </c>
      <c r="AH26" s="944"/>
      <c r="AI26" s="945">
        <v>140</v>
      </c>
      <c r="AJ26" s="947"/>
      <c r="AK26" s="942">
        <v>139</v>
      </c>
      <c r="AL26" s="944"/>
      <c r="AM26" s="945">
        <v>279</v>
      </c>
      <c r="AN26" s="946"/>
      <c r="AO26" s="947"/>
      <c r="AP26" s="942">
        <v>2</v>
      </c>
      <c r="AQ26" s="944"/>
      <c r="AR26" s="942">
        <v>24</v>
      </c>
      <c r="AS26" s="944"/>
      <c r="AT26" s="942">
        <v>19</v>
      </c>
      <c r="AU26" s="944"/>
      <c r="AV26" s="945">
        <v>43</v>
      </c>
      <c r="AW26" s="947"/>
      <c r="AX26" s="945">
        <v>2</v>
      </c>
      <c r="AY26" s="947"/>
      <c r="AZ26" s="91">
        <v>20</v>
      </c>
      <c r="BA26" s="92">
        <v>14</v>
      </c>
      <c r="BB26" s="942">
        <v>34</v>
      </c>
      <c r="BC26" s="944"/>
      <c r="BD26" s="945">
        <v>2</v>
      </c>
      <c r="BE26" s="947"/>
      <c r="BF26" s="942">
        <v>21</v>
      </c>
      <c r="BG26" s="943"/>
      <c r="BH26" s="944"/>
      <c r="BI26" s="945">
        <v>20</v>
      </c>
      <c r="BJ26" s="947"/>
      <c r="BK26" s="942">
        <v>41</v>
      </c>
      <c r="BL26" s="944"/>
      <c r="BM26" s="942">
        <v>6</v>
      </c>
      <c r="BN26" s="943"/>
      <c r="BO26" s="944"/>
      <c r="BP26" s="945">
        <v>65</v>
      </c>
      <c r="BQ26" s="947"/>
      <c r="BR26" s="950">
        <v>53</v>
      </c>
      <c r="BS26" s="951"/>
      <c r="BT26" s="945">
        <v>118</v>
      </c>
      <c r="BU26" s="947"/>
      <c r="BV26" s="942">
        <v>11</v>
      </c>
      <c r="BW26" s="943"/>
      <c r="BX26" s="944"/>
      <c r="BY26" s="942">
        <v>205</v>
      </c>
      <c r="BZ26" s="944"/>
      <c r="CA26" s="942">
        <v>192</v>
      </c>
      <c r="CB26" s="943"/>
      <c r="CC26" s="944"/>
      <c r="CD26" s="950">
        <v>397</v>
      </c>
      <c r="CE26" s="1059"/>
      <c r="CF26" s="951"/>
      <c r="CG26" s="945">
        <v>7</v>
      </c>
      <c r="CH26" s="946"/>
      <c r="CI26" s="947"/>
      <c r="CJ26" s="942">
        <v>19</v>
      </c>
      <c r="CK26" s="943"/>
      <c r="CL26" s="944"/>
      <c r="CM26" s="945">
        <v>26</v>
      </c>
      <c r="CN26" s="947"/>
      <c r="CO26" s="955" t="s">
        <v>35</v>
      </c>
      <c r="CP26" s="956"/>
      <c r="CQ26" s="956"/>
      <c r="CR26" s="956"/>
      <c r="CS26" s="957"/>
      <c r="CT26" s="158">
        <f t="shared" si="0"/>
        <v>90000</v>
      </c>
    </row>
    <row r="27" spans="1:98" ht="26.25">
      <c r="A27" s="91">
        <v>20</v>
      </c>
      <c r="B27" s="1120" t="s">
        <v>311</v>
      </c>
      <c r="C27" s="1121"/>
      <c r="D27" s="955" t="s">
        <v>22</v>
      </c>
      <c r="E27" s="956"/>
      <c r="F27" s="956"/>
      <c r="G27" s="957"/>
      <c r="H27" s="91">
        <v>9</v>
      </c>
      <c r="I27" s="942">
        <v>1</v>
      </c>
      <c r="J27" s="944"/>
      <c r="K27" s="942">
        <v>29</v>
      </c>
      <c r="L27" s="944"/>
      <c r="M27" s="945">
        <v>16</v>
      </c>
      <c r="N27" s="947"/>
      <c r="O27" s="950">
        <v>45</v>
      </c>
      <c r="P27" s="951"/>
      <c r="Q27" s="92">
        <v>1</v>
      </c>
      <c r="R27" s="942">
        <v>25</v>
      </c>
      <c r="S27" s="943"/>
      <c r="T27" s="944"/>
      <c r="U27" s="942">
        <v>14</v>
      </c>
      <c r="V27" s="944"/>
      <c r="W27" s="942">
        <v>39</v>
      </c>
      <c r="X27" s="944"/>
      <c r="Y27" s="945">
        <v>1</v>
      </c>
      <c r="Z27" s="947"/>
      <c r="AA27" s="945">
        <v>6</v>
      </c>
      <c r="AB27" s="947"/>
      <c r="AC27" s="945">
        <v>13</v>
      </c>
      <c r="AD27" s="947"/>
      <c r="AE27" s="945">
        <v>19</v>
      </c>
      <c r="AF27" s="947"/>
      <c r="AG27" s="942">
        <v>3</v>
      </c>
      <c r="AH27" s="944"/>
      <c r="AI27" s="945">
        <v>60</v>
      </c>
      <c r="AJ27" s="947"/>
      <c r="AK27" s="942">
        <v>43</v>
      </c>
      <c r="AL27" s="944"/>
      <c r="AM27" s="945">
        <v>103</v>
      </c>
      <c r="AN27" s="946"/>
      <c r="AO27" s="947"/>
      <c r="AP27" s="942">
        <v>1</v>
      </c>
      <c r="AQ27" s="944"/>
      <c r="AR27" s="942">
        <v>33</v>
      </c>
      <c r="AS27" s="944"/>
      <c r="AT27" s="942">
        <v>31</v>
      </c>
      <c r="AU27" s="944"/>
      <c r="AV27" s="945">
        <v>64</v>
      </c>
      <c r="AW27" s="947"/>
      <c r="AX27" s="945">
        <v>1</v>
      </c>
      <c r="AY27" s="947"/>
      <c r="AZ27" s="91">
        <v>5</v>
      </c>
      <c r="BA27" s="92">
        <v>19</v>
      </c>
      <c r="BB27" s="942">
        <v>24</v>
      </c>
      <c r="BC27" s="944"/>
      <c r="BD27" s="945">
        <v>1</v>
      </c>
      <c r="BE27" s="947"/>
      <c r="BF27" s="942">
        <v>8</v>
      </c>
      <c r="BG27" s="943"/>
      <c r="BH27" s="944"/>
      <c r="BI27" s="945">
        <v>6</v>
      </c>
      <c r="BJ27" s="947"/>
      <c r="BK27" s="942">
        <v>14</v>
      </c>
      <c r="BL27" s="944"/>
      <c r="BM27" s="942">
        <v>3</v>
      </c>
      <c r="BN27" s="943"/>
      <c r="BO27" s="944"/>
      <c r="BP27" s="945">
        <v>46</v>
      </c>
      <c r="BQ27" s="947"/>
      <c r="BR27" s="950">
        <v>56</v>
      </c>
      <c r="BS27" s="951"/>
      <c r="BT27" s="945">
        <v>102</v>
      </c>
      <c r="BU27" s="947"/>
      <c r="BV27" s="942">
        <v>6</v>
      </c>
      <c r="BW27" s="943"/>
      <c r="BX27" s="944"/>
      <c r="BY27" s="942">
        <v>106</v>
      </c>
      <c r="BZ27" s="944"/>
      <c r="CA27" s="942">
        <v>99</v>
      </c>
      <c r="CB27" s="943"/>
      <c r="CC27" s="944"/>
      <c r="CD27" s="950">
        <v>205</v>
      </c>
      <c r="CE27" s="1059"/>
      <c r="CF27" s="951"/>
      <c r="CG27" s="945">
        <v>12</v>
      </c>
      <c r="CH27" s="946"/>
      <c r="CI27" s="947"/>
      <c r="CJ27" s="942">
        <v>9</v>
      </c>
      <c r="CK27" s="943"/>
      <c r="CL27" s="944"/>
      <c r="CM27" s="945">
        <v>21</v>
      </c>
      <c r="CN27" s="947"/>
      <c r="CO27" s="955" t="s">
        <v>35</v>
      </c>
      <c r="CP27" s="956"/>
      <c r="CQ27" s="956"/>
      <c r="CR27" s="956"/>
      <c r="CS27" s="957"/>
      <c r="CT27" s="158">
        <f t="shared" si="0"/>
        <v>90000</v>
      </c>
    </row>
    <row r="28" spans="1:98" ht="26.25">
      <c r="A28" s="91">
        <v>21</v>
      </c>
      <c r="B28" s="1122" t="s">
        <v>312</v>
      </c>
      <c r="C28" s="1123"/>
      <c r="D28" s="955" t="s">
        <v>22</v>
      </c>
      <c r="E28" s="956"/>
      <c r="F28" s="956"/>
      <c r="G28" s="957"/>
      <c r="H28" s="91">
        <v>14</v>
      </c>
      <c r="I28" s="942">
        <v>2</v>
      </c>
      <c r="J28" s="944"/>
      <c r="K28" s="942">
        <v>32</v>
      </c>
      <c r="L28" s="944"/>
      <c r="M28" s="945">
        <v>39</v>
      </c>
      <c r="N28" s="947"/>
      <c r="O28" s="950">
        <v>71</v>
      </c>
      <c r="P28" s="951"/>
      <c r="Q28" s="92">
        <v>2</v>
      </c>
      <c r="R28" s="942">
        <v>41</v>
      </c>
      <c r="S28" s="943"/>
      <c r="T28" s="944"/>
      <c r="U28" s="942">
        <v>48</v>
      </c>
      <c r="V28" s="944"/>
      <c r="W28" s="942">
        <v>89</v>
      </c>
      <c r="X28" s="944"/>
      <c r="Y28" s="945">
        <v>2</v>
      </c>
      <c r="Z28" s="947"/>
      <c r="AA28" s="945">
        <v>44</v>
      </c>
      <c r="AB28" s="947"/>
      <c r="AC28" s="945">
        <v>29</v>
      </c>
      <c r="AD28" s="947"/>
      <c r="AE28" s="945">
        <v>73</v>
      </c>
      <c r="AF28" s="947"/>
      <c r="AG28" s="942">
        <v>6</v>
      </c>
      <c r="AH28" s="944"/>
      <c r="AI28" s="945">
        <v>117</v>
      </c>
      <c r="AJ28" s="947"/>
      <c r="AK28" s="942">
        <v>116</v>
      </c>
      <c r="AL28" s="944"/>
      <c r="AM28" s="945">
        <v>233</v>
      </c>
      <c r="AN28" s="946"/>
      <c r="AO28" s="947"/>
      <c r="AP28" s="942">
        <v>3</v>
      </c>
      <c r="AQ28" s="944"/>
      <c r="AR28" s="942">
        <v>30</v>
      </c>
      <c r="AS28" s="944"/>
      <c r="AT28" s="942">
        <v>28</v>
      </c>
      <c r="AU28" s="944"/>
      <c r="AV28" s="945">
        <v>58</v>
      </c>
      <c r="AW28" s="947"/>
      <c r="AX28" s="945">
        <v>3</v>
      </c>
      <c r="AY28" s="947"/>
      <c r="AZ28" s="91">
        <v>23</v>
      </c>
      <c r="BA28" s="92">
        <v>34</v>
      </c>
      <c r="BB28" s="942">
        <v>57</v>
      </c>
      <c r="BC28" s="944"/>
      <c r="BD28" s="945">
        <v>3</v>
      </c>
      <c r="BE28" s="947"/>
      <c r="BF28" s="942">
        <v>20</v>
      </c>
      <c r="BG28" s="943"/>
      <c r="BH28" s="944"/>
      <c r="BI28" s="945">
        <v>23</v>
      </c>
      <c r="BJ28" s="947"/>
      <c r="BK28" s="942">
        <v>43</v>
      </c>
      <c r="BL28" s="944"/>
      <c r="BM28" s="942">
        <v>9</v>
      </c>
      <c r="BN28" s="943"/>
      <c r="BO28" s="944"/>
      <c r="BP28" s="945">
        <v>73</v>
      </c>
      <c r="BQ28" s="947"/>
      <c r="BR28" s="950">
        <v>85</v>
      </c>
      <c r="BS28" s="951"/>
      <c r="BT28" s="945">
        <v>158</v>
      </c>
      <c r="BU28" s="947"/>
      <c r="BV28" s="942">
        <v>15</v>
      </c>
      <c r="BW28" s="943"/>
      <c r="BX28" s="944"/>
      <c r="BY28" s="942">
        <v>190</v>
      </c>
      <c r="BZ28" s="944"/>
      <c r="CA28" s="942">
        <v>201</v>
      </c>
      <c r="CB28" s="943"/>
      <c r="CC28" s="944"/>
      <c r="CD28" s="950">
        <v>391</v>
      </c>
      <c r="CE28" s="1059"/>
      <c r="CF28" s="951"/>
      <c r="CG28" s="945">
        <v>10</v>
      </c>
      <c r="CH28" s="946"/>
      <c r="CI28" s="947"/>
      <c r="CJ28" s="942">
        <v>16</v>
      </c>
      <c r="CK28" s="943"/>
      <c r="CL28" s="944"/>
      <c r="CM28" s="945">
        <v>26</v>
      </c>
      <c r="CN28" s="947"/>
      <c r="CO28" s="955" t="s">
        <v>35</v>
      </c>
      <c r="CP28" s="956"/>
      <c r="CQ28" s="956"/>
      <c r="CR28" s="956"/>
      <c r="CS28" s="957"/>
      <c r="CT28" s="158">
        <f t="shared" si="0"/>
        <v>90000</v>
      </c>
    </row>
    <row r="29" spans="1:98" ht="26.25">
      <c r="A29" s="91">
        <v>22</v>
      </c>
      <c r="B29" s="1120" t="s">
        <v>313</v>
      </c>
      <c r="C29" s="1121"/>
      <c r="D29" s="955" t="s">
        <v>22</v>
      </c>
      <c r="E29" s="956"/>
      <c r="F29" s="956"/>
      <c r="G29" s="957"/>
      <c r="H29" s="91">
        <v>10</v>
      </c>
      <c r="I29" s="942">
        <v>1</v>
      </c>
      <c r="J29" s="944"/>
      <c r="K29" s="942">
        <v>35</v>
      </c>
      <c r="L29" s="944"/>
      <c r="M29" s="945">
        <v>31</v>
      </c>
      <c r="N29" s="947"/>
      <c r="O29" s="950">
        <v>66</v>
      </c>
      <c r="P29" s="951"/>
      <c r="Q29" s="92">
        <v>1</v>
      </c>
      <c r="R29" s="942">
        <v>42</v>
      </c>
      <c r="S29" s="943"/>
      <c r="T29" s="944"/>
      <c r="U29" s="942">
        <v>33</v>
      </c>
      <c r="V29" s="944"/>
      <c r="W29" s="942">
        <v>75</v>
      </c>
      <c r="X29" s="944"/>
      <c r="Y29" s="945">
        <v>1</v>
      </c>
      <c r="Z29" s="947"/>
      <c r="AA29" s="945">
        <v>28</v>
      </c>
      <c r="AB29" s="947"/>
      <c r="AC29" s="945">
        <v>22</v>
      </c>
      <c r="AD29" s="947"/>
      <c r="AE29" s="945">
        <v>50</v>
      </c>
      <c r="AF29" s="947"/>
      <c r="AG29" s="942">
        <v>3</v>
      </c>
      <c r="AH29" s="944"/>
      <c r="AI29" s="945">
        <v>105</v>
      </c>
      <c r="AJ29" s="947"/>
      <c r="AK29" s="942">
        <v>86</v>
      </c>
      <c r="AL29" s="944"/>
      <c r="AM29" s="945">
        <v>191</v>
      </c>
      <c r="AN29" s="946"/>
      <c r="AO29" s="947"/>
      <c r="AP29" s="942">
        <v>1</v>
      </c>
      <c r="AQ29" s="944"/>
      <c r="AR29" s="942">
        <v>15</v>
      </c>
      <c r="AS29" s="944"/>
      <c r="AT29" s="942">
        <v>24</v>
      </c>
      <c r="AU29" s="944"/>
      <c r="AV29" s="945">
        <v>39</v>
      </c>
      <c r="AW29" s="947"/>
      <c r="AX29" s="945">
        <v>1</v>
      </c>
      <c r="AY29" s="947"/>
      <c r="AZ29" s="91">
        <v>11</v>
      </c>
      <c r="BA29" s="92">
        <v>18</v>
      </c>
      <c r="BB29" s="942">
        <v>29</v>
      </c>
      <c r="BC29" s="944"/>
      <c r="BD29" s="945">
        <v>1</v>
      </c>
      <c r="BE29" s="947"/>
      <c r="BF29" s="942">
        <v>18</v>
      </c>
      <c r="BG29" s="943"/>
      <c r="BH29" s="944"/>
      <c r="BI29" s="945">
        <v>22</v>
      </c>
      <c r="BJ29" s="947"/>
      <c r="BK29" s="942">
        <v>40</v>
      </c>
      <c r="BL29" s="944"/>
      <c r="BM29" s="942">
        <v>3</v>
      </c>
      <c r="BN29" s="943"/>
      <c r="BO29" s="944"/>
      <c r="BP29" s="945">
        <v>44</v>
      </c>
      <c r="BQ29" s="947"/>
      <c r="BR29" s="950">
        <v>64</v>
      </c>
      <c r="BS29" s="951"/>
      <c r="BT29" s="945">
        <v>108</v>
      </c>
      <c r="BU29" s="947"/>
      <c r="BV29" s="942">
        <v>6</v>
      </c>
      <c r="BW29" s="943"/>
      <c r="BX29" s="944"/>
      <c r="BY29" s="942">
        <v>149</v>
      </c>
      <c r="BZ29" s="944"/>
      <c r="CA29" s="942">
        <v>150</v>
      </c>
      <c r="CB29" s="943"/>
      <c r="CC29" s="944"/>
      <c r="CD29" s="950">
        <v>299</v>
      </c>
      <c r="CE29" s="1059"/>
      <c r="CF29" s="951"/>
      <c r="CG29" s="945">
        <v>8</v>
      </c>
      <c r="CH29" s="946"/>
      <c r="CI29" s="947"/>
      <c r="CJ29" s="942">
        <v>17</v>
      </c>
      <c r="CK29" s="943"/>
      <c r="CL29" s="944"/>
      <c r="CM29" s="945">
        <v>25</v>
      </c>
      <c r="CN29" s="947"/>
      <c r="CO29" s="955" t="s">
        <v>35</v>
      </c>
      <c r="CP29" s="956"/>
      <c r="CQ29" s="956"/>
      <c r="CR29" s="956"/>
      <c r="CS29" s="957"/>
      <c r="CT29" s="158">
        <f t="shared" si="0"/>
        <v>90000</v>
      </c>
    </row>
    <row r="30" spans="1:98" ht="26.25">
      <c r="A30" s="91">
        <v>23</v>
      </c>
      <c r="B30" s="1120" t="s">
        <v>314</v>
      </c>
      <c r="C30" s="1121"/>
      <c r="D30" s="955" t="s">
        <v>22</v>
      </c>
      <c r="E30" s="956"/>
      <c r="F30" s="956"/>
      <c r="G30" s="957"/>
      <c r="H30" s="91">
        <v>10</v>
      </c>
      <c r="I30" s="942">
        <v>4</v>
      </c>
      <c r="J30" s="944"/>
      <c r="K30" s="942">
        <v>131</v>
      </c>
      <c r="L30" s="944"/>
      <c r="M30" s="945">
        <v>131</v>
      </c>
      <c r="N30" s="947"/>
      <c r="O30" s="950">
        <v>262</v>
      </c>
      <c r="P30" s="951"/>
      <c r="Q30" s="92">
        <v>4</v>
      </c>
      <c r="R30" s="942">
        <v>146</v>
      </c>
      <c r="S30" s="943"/>
      <c r="T30" s="944"/>
      <c r="U30" s="942">
        <v>114</v>
      </c>
      <c r="V30" s="944"/>
      <c r="W30" s="942">
        <v>260</v>
      </c>
      <c r="X30" s="944"/>
      <c r="Y30" s="945">
        <v>4</v>
      </c>
      <c r="Z30" s="947"/>
      <c r="AA30" s="945">
        <v>121</v>
      </c>
      <c r="AB30" s="947"/>
      <c r="AC30" s="945">
        <v>97</v>
      </c>
      <c r="AD30" s="947"/>
      <c r="AE30" s="945">
        <v>218</v>
      </c>
      <c r="AF30" s="947"/>
      <c r="AG30" s="942">
        <v>12</v>
      </c>
      <c r="AH30" s="944"/>
      <c r="AI30" s="945">
        <v>398</v>
      </c>
      <c r="AJ30" s="947"/>
      <c r="AK30" s="942">
        <v>342</v>
      </c>
      <c r="AL30" s="944"/>
      <c r="AM30" s="945">
        <v>740</v>
      </c>
      <c r="AN30" s="946"/>
      <c r="AO30" s="947"/>
      <c r="AP30" s="942">
        <v>5</v>
      </c>
      <c r="AQ30" s="944"/>
      <c r="AR30" s="942">
        <v>134</v>
      </c>
      <c r="AS30" s="944"/>
      <c r="AT30" s="942">
        <v>100</v>
      </c>
      <c r="AU30" s="944"/>
      <c r="AV30" s="945">
        <v>234</v>
      </c>
      <c r="AW30" s="947"/>
      <c r="AX30" s="945">
        <v>4</v>
      </c>
      <c r="AY30" s="947"/>
      <c r="AZ30" s="91">
        <v>106</v>
      </c>
      <c r="BA30" s="92">
        <v>113</v>
      </c>
      <c r="BB30" s="942">
        <v>219</v>
      </c>
      <c r="BC30" s="944"/>
      <c r="BD30" s="945">
        <v>7</v>
      </c>
      <c r="BE30" s="947"/>
      <c r="BF30" s="942">
        <v>116</v>
      </c>
      <c r="BG30" s="943"/>
      <c r="BH30" s="944"/>
      <c r="BI30" s="945">
        <v>119</v>
      </c>
      <c r="BJ30" s="947"/>
      <c r="BK30" s="942">
        <v>235</v>
      </c>
      <c r="BL30" s="944"/>
      <c r="BM30" s="942">
        <v>16</v>
      </c>
      <c r="BN30" s="943"/>
      <c r="BO30" s="944"/>
      <c r="BP30" s="945">
        <v>356</v>
      </c>
      <c r="BQ30" s="947"/>
      <c r="BR30" s="950">
        <v>332</v>
      </c>
      <c r="BS30" s="951"/>
      <c r="BT30" s="945">
        <v>688</v>
      </c>
      <c r="BU30" s="947"/>
      <c r="BV30" s="942">
        <v>28</v>
      </c>
      <c r="BW30" s="943"/>
      <c r="BX30" s="944"/>
      <c r="BY30" s="942">
        <v>754</v>
      </c>
      <c r="BZ30" s="944"/>
      <c r="CA30" s="942">
        <v>674</v>
      </c>
      <c r="CB30" s="943"/>
      <c r="CC30" s="944"/>
      <c r="CD30" s="950">
        <v>1428</v>
      </c>
      <c r="CE30" s="1059"/>
      <c r="CF30" s="951"/>
      <c r="CG30" s="945">
        <v>11</v>
      </c>
      <c r="CH30" s="946"/>
      <c r="CI30" s="947"/>
      <c r="CJ30" s="942">
        <v>34</v>
      </c>
      <c r="CK30" s="943"/>
      <c r="CL30" s="944"/>
      <c r="CM30" s="945">
        <v>45</v>
      </c>
      <c r="CN30" s="947"/>
      <c r="CO30" s="955" t="s">
        <v>35</v>
      </c>
      <c r="CP30" s="956"/>
      <c r="CQ30" s="956"/>
      <c r="CR30" s="956"/>
      <c r="CS30" s="957"/>
      <c r="CT30" s="158">
        <f t="shared" si="0"/>
        <v>150000</v>
      </c>
    </row>
    <row r="31" spans="1:98" ht="26.25">
      <c r="A31" s="91">
        <v>24</v>
      </c>
      <c r="B31" s="1122" t="s">
        <v>315</v>
      </c>
      <c r="C31" s="1123"/>
      <c r="D31" s="955" t="s">
        <v>22</v>
      </c>
      <c r="E31" s="956"/>
      <c r="F31" s="956"/>
      <c r="G31" s="957"/>
      <c r="H31" s="91">
        <v>3</v>
      </c>
      <c r="I31" s="942">
        <v>2</v>
      </c>
      <c r="J31" s="944"/>
      <c r="K31" s="942">
        <v>45</v>
      </c>
      <c r="L31" s="944"/>
      <c r="M31" s="945">
        <v>31</v>
      </c>
      <c r="N31" s="947"/>
      <c r="O31" s="950">
        <v>76</v>
      </c>
      <c r="P31" s="951"/>
      <c r="Q31" s="92">
        <v>2</v>
      </c>
      <c r="R31" s="942">
        <v>49</v>
      </c>
      <c r="S31" s="943"/>
      <c r="T31" s="944"/>
      <c r="U31" s="942">
        <v>56</v>
      </c>
      <c r="V31" s="944"/>
      <c r="W31" s="942">
        <v>105</v>
      </c>
      <c r="X31" s="944"/>
      <c r="Y31" s="945">
        <v>2</v>
      </c>
      <c r="Z31" s="947"/>
      <c r="AA31" s="945">
        <v>39</v>
      </c>
      <c r="AB31" s="947"/>
      <c r="AC31" s="945">
        <v>37</v>
      </c>
      <c r="AD31" s="947"/>
      <c r="AE31" s="945">
        <v>76</v>
      </c>
      <c r="AF31" s="947"/>
      <c r="AG31" s="942">
        <v>6</v>
      </c>
      <c r="AH31" s="944"/>
      <c r="AI31" s="945">
        <v>133</v>
      </c>
      <c r="AJ31" s="947"/>
      <c r="AK31" s="942">
        <v>124</v>
      </c>
      <c r="AL31" s="944"/>
      <c r="AM31" s="945">
        <v>257</v>
      </c>
      <c r="AN31" s="946"/>
      <c r="AO31" s="947"/>
      <c r="AP31" s="942">
        <v>3</v>
      </c>
      <c r="AQ31" s="944"/>
      <c r="AR31" s="942">
        <v>27</v>
      </c>
      <c r="AS31" s="944"/>
      <c r="AT31" s="942">
        <v>31</v>
      </c>
      <c r="AU31" s="944"/>
      <c r="AV31" s="945">
        <v>58</v>
      </c>
      <c r="AW31" s="947"/>
      <c r="AX31" s="945">
        <v>3</v>
      </c>
      <c r="AY31" s="947"/>
      <c r="AZ31" s="91">
        <v>25</v>
      </c>
      <c r="BA31" s="92">
        <v>21</v>
      </c>
      <c r="BB31" s="942">
        <v>46</v>
      </c>
      <c r="BC31" s="944"/>
      <c r="BD31" s="945">
        <v>3</v>
      </c>
      <c r="BE31" s="947"/>
      <c r="BF31" s="942">
        <v>19</v>
      </c>
      <c r="BG31" s="943"/>
      <c r="BH31" s="944"/>
      <c r="BI31" s="945">
        <v>29</v>
      </c>
      <c r="BJ31" s="947"/>
      <c r="BK31" s="942">
        <v>48</v>
      </c>
      <c r="BL31" s="944"/>
      <c r="BM31" s="942">
        <v>9</v>
      </c>
      <c r="BN31" s="943"/>
      <c r="BO31" s="944"/>
      <c r="BP31" s="945">
        <v>71</v>
      </c>
      <c r="BQ31" s="947"/>
      <c r="BR31" s="950">
        <v>81</v>
      </c>
      <c r="BS31" s="951"/>
      <c r="BT31" s="945">
        <v>152</v>
      </c>
      <c r="BU31" s="947"/>
      <c r="BV31" s="942">
        <v>15</v>
      </c>
      <c r="BW31" s="943"/>
      <c r="BX31" s="944"/>
      <c r="BY31" s="942">
        <v>204</v>
      </c>
      <c r="BZ31" s="944"/>
      <c r="CA31" s="942">
        <v>205</v>
      </c>
      <c r="CB31" s="943"/>
      <c r="CC31" s="944"/>
      <c r="CD31" s="950">
        <v>409</v>
      </c>
      <c r="CE31" s="1059"/>
      <c r="CF31" s="951"/>
      <c r="CG31" s="945">
        <v>8</v>
      </c>
      <c r="CH31" s="946"/>
      <c r="CI31" s="947"/>
      <c r="CJ31" s="942">
        <v>17</v>
      </c>
      <c r="CK31" s="943"/>
      <c r="CL31" s="944"/>
      <c r="CM31" s="945">
        <v>25</v>
      </c>
      <c r="CN31" s="947"/>
      <c r="CO31" s="955" t="s">
        <v>35</v>
      </c>
      <c r="CP31" s="956"/>
      <c r="CQ31" s="956"/>
      <c r="CR31" s="956"/>
      <c r="CS31" s="957"/>
      <c r="CT31" s="158">
        <f t="shared" si="0"/>
        <v>90000</v>
      </c>
    </row>
    <row r="32" spans="1:98" ht="26.25">
      <c r="A32" s="91">
        <v>25</v>
      </c>
      <c r="B32" s="1120" t="s">
        <v>316</v>
      </c>
      <c r="C32" s="1121"/>
      <c r="D32" s="955" t="s">
        <v>22</v>
      </c>
      <c r="E32" s="956"/>
      <c r="F32" s="956"/>
      <c r="G32" s="957"/>
      <c r="H32" s="91">
        <v>10</v>
      </c>
      <c r="I32" s="942">
        <v>2</v>
      </c>
      <c r="J32" s="944"/>
      <c r="K32" s="942">
        <v>50</v>
      </c>
      <c r="L32" s="944"/>
      <c r="M32" s="945">
        <v>42</v>
      </c>
      <c r="N32" s="947"/>
      <c r="O32" s="950">
        <v>92</v>
      </c>
      <c r="P32" s="951"/>
      <c r="Q32" s="92">
        <v>2</v>
      </c>
      <c r="R32" s="942">
        <v>59</v>
      </c>
      <c r="S32" s="943"/>
      <c r="T32" s="944"/>
      <c r="U32" s="942">
        <v>61</v>
      </c>
      <c r="V32" s="944"/>
      <c r="W32" s="942">
        <v>120</v>
      </c>
      <c r="X32" s="944"/>
      <c r="Y32" s="945">
        <v>2</v>
      </c>
      <c r="Z32" s="947"/>
      <c r="AA32" s="945">
        <v>57</v>
      </c>
      <c r="AB32" s="947"/>
      <c r="AC32" s="945">
        <v>39</v>
      </c>
      <c r="AD32" s="947"/>
      <c r="AE32" s="945">
        <v>96</v>
      </c>
      <c r="AF32" s="947"/>
      <c r="AG32" s="942">
        <v>6</v>
      </c>
      <c r="AH32" s="944"/>
      <c r="AI32" s="945">
        <v>166</v>
      </c>
      <c r="AJ32" s="947"/>
      <c r="AK32" s="942">
        <v>142</v>
      </c>
      <c r="AL32" s="944"/>
      <c r="AM32" s="945">
        <v>308</v>
      </c>
      <c r="AN32" s="946"/>
      <c r="AO32" s="947"/>
      <c r="AP32" s="942">
        <v>3</v>
      </c>
      <c r="AQ32" s="944"/>
      <c r="AR32" s="942">
        <v>52</v>
      </c>
      <c r="AS32" s="944"/>
      <c r="AT32" s="942">
        <v>63</v>
      </c>
      <c r="AU32" s="944"/>
      <c r="AV32" s="945">
        <v>115</v>
      </c>
      <c r="AW32" s="947"/>
      <c r="AX32" s="945">
        <v>3</v>
      </c>
      <c r="AY32" s="947"/>
      <c r="AZ32" s="91">
        <v>53</v>
      </c>
      <c r="BA32" s="92">
        <v>62</v>
      </c>
      <c r="BB32" s="942">
        <v>115</v>
      </c>
      <c r="BC32" s="944"/>
      <c r="BD32" s="945">
        <v>1</v>
      </c>
      <c r="BE32" s="947"/>
      <c r="BF32" s="942">
        <v>25</v>
      </c>
      <c r="BG32" s="943"/>
      <c r="BH32" s="944"/>
      <c r="BI32" s="945">
        <v>31</v>
      </c>
      <c r="BJ32" s="947"/>
      <c r="BK32" s="942">
        <v>56</v>
      </c>
      <c r="BL32" s="944"/>
      <c r="BM32" s="942">
        <v>7</v>
      </c>
      <c r="BN32" s="943"/>
      <c r="BO32" s="944"/>
      <c r="BP32" s="945">
        <v>130</v>
      </c>
      <c r="BQ32" s="947"/>
      <c r="BR32" s="950">
        <v>156</v>
      </c>
      <c r="BS32" s="951"/>
      <c r="BT32" s="945">
        <v>286</v>
      </c>
      <c r="BU32" s="947"/>
      <c r="BV32" s="942">
        <v>13</v>
      </c>
      <c r="BW32" s="943"/>
      <c r="BX32" s="944"/>
      <c r="BY32" s="942">
        <v>296</v>
      </c>
      <c r="BZ32" s="944"/>
      <c r="CA32" s="942">
        <v>298</v>
      </c>
      <c r="CB32" s="943"/>
      <c r="CC32" s="944"/>
      <c r="CD32" s="950">
        <v>594</v>
      </c>
      <c r="CE32" s="1059"/>
      <c r="CF32" s="951"/>
      <c r="CG32" s="945">
        <v>9</v>
      </c>
      <c r="CH32" s="946"/>
      <c r="CI32" s="947"/>
      <c r="CJ32" s="942">
        <v>17</v>
      </c>
      <c r="CK32" s="943"/>
      <c r="CL32" s="944"/>
      <c r="CM32" s="945">
        <v>26</v>
      </c>
      <c r="CN32" s="947"/>
      <c r="CO32" s="955" t="s">
        <v>35</v>
      </c>
      <c r="CP32" s="956"/>
      <c r="CQ32" s="956"/>
      <c r="CR32" s="956"/>
      <c r="CS32" s="957"/>
      <c r="CT32" s="158">
        <f t="shared" si="0"/>
        <v>90000</v>
      </c>
    </row>
    <row r="33" spans="1:159" ht="26.25">
      <c r="A33" s="91">
        <v>26</v>
      </c>
      <c r="B33" s="1120" t="s">
        <v>317</v>
      </c>
      <c r="C33" s="1121"/>
      <c r="D33" s="955" t="s">
        <v>22</v>
      </c>
      <c r="E33" s="956"/>
      <c r="F33" s="956"/>
      <c r="G33" s="957"/>
      <c r="H33" s="91">
        <v>13</v>
      </c>
      <c r="I33" s="942">
        <v>3</v>
      </c>
      <c r="J33" s="944"/>
      <c r="K33" s="942">
        <v>106</v>
      </c>
      <c r="L33" s="944"/>
      <c r="M33" s="945">
        <v>121</v>
      </c>
      <c r="N33" s="947"/>
      <c r="O33" s="950">
        <v>227</v>
      </c>
      <c r="P33" s="951"/>
      <c r="Q33" s="92">
        <v>3</v>
      </c>
      <c r="R33" s="942">
        <v>107</v>
      </c>
      <c r="S33" s="943"/>
      <c r="T33" s="944"/>
      <c r="U33" s="942">
        <v>122</v>
      </c>
      <c r="V33" s="944"/>
      <c r="W33" s="942">
        <v>229</v>
      </c>
      <c r="X33" s="944"/>
      <c r="Y33" s="945">
        <v>3</v>
      </c>
      <c r="Z33" s="947"/>
      <c r="AA33" s="945">
        <v>75</v>
      </c>
      <c r="AB33" s="947"/>
      <c r="AC33" s="945">
        <v>108</v>
      </c>
      <c r="AD33" s="947"/>
      <c r="AE33" s="945">
        <v>183</v>
      </c>
      <c r="AF33" s="947"/>
      <c r="AG33" s="942">
        <v>9</v>
      </c>
      <c r="AH33" s="944"/>
      <c r="AI33" s="945">
        <v>288</v>
      </c>
      <c r="AJ33" s="947"/>
      <c r="AK33" s="942">
        <v>351</v>
      </c>
      <c r="AL33" s="944"/>
      <c r="AM33" s="945">
        <v>639</v>
      </c>
      <c r="AN33" s="946"/>
      <c r="AO33" s="947"/>
      <c r="AP33" s="942">
        <v>3</v>
      </c>
      <c r="AQ33" s="944"/>
      <c r="AR33" s="942">
        <v>95</v>
      </c>
      <c r="AS33" s="944"/>
      <c r="AT33" s="942">
        <v>116</v>
      </c>
      <c r="AU33" s="944"/>
      <c r="AV33" s="945">
        <v>211</v>
      </c>
      <c r="AW33" s="947"/>
      <c r="AX33" s="945">
        <v>3</v>
      </c>
      <c r="AY33" s="947"/>
      <c r="AZ33" s="91">
        <v>125</v>
      </c>
      <c r="BA33" s="92">
        <v>109</v>
      </c>
      <c r="BB33" s="942">
        <v>234</v>
      </c>
      <c r="BC33" s="944"/>
      <c r="BD33" s="945">
        <v>3</v>
      </c>
      <c r="BE33" s="947"/>
      <c r="BF33" s="942">
        <v>84</v>
      </c>
      <c r="BG33" s="943"/>
      <c r="BH33" s="944"/>
      <c r="BI33" s="945">
        <v>78</v>
      </c>
      <c r="BJ33" s="947"/>
      <c r="BK33" s="942">
        <v>162</v>
      </c>
      <c r="BL33" s="944"/>
      <c r="BM33" s="942">
        <v>9</v>
      </c>
      <c r="BN33" s="943"/>
      <c r="BO33" s="944"/>
      <c r="BP33" s="945">
        <v>304</v>
      </c>
      <c r="BQ33" s="947"/>
      <c r="BR33" s="950">
        <v>303</v>
      </c>
      <c r="BS33" s="951"/>
      <c r="BT33" s="945">
        <v>607</v>
      </c>
      <c r="BU33" s="947"/>
      <c r="BV33" s="942">
        <v>18</v>
      </c>
      <c r="BW33" s="943"/>
      <c r="BX33" s="944"/>
      <c r="BY33" s="942">
        <v>592</v>
      </c>
      <c r="BZ33" s="944"/>
      <c r="CA33" s="942">
        <v>654</v>
      </c>
      <c r="CB33" s="943"/>
      <c r="CC33" s="944"/>
      <c r="CD33" s="950">
        <v>1246</v>
      </c>
      <c r="CE33" s="1059"/>
      <c r="CF33" s="951"/>
      <c r="CG33" s="945">
        <v>12</v>
      </c>
      <c r="CH33" s="946"/>
      <c r="CI33" s="947"/>
      <c r="CJ33" s="942">
        <v>17</v>
      </c>
      <c r="CK33" s="943"/>
      <c r="CL33" s="944"/>
      <c r="CM33" s="945">
        <v>29</v>
      </c>
      <c r="CN33" s="947"/>
      <c r="CO33" s="955" t="s">
        <v>35</v>
      </c>
      <c r="CP33" s="956"/>
      <c r="CQ33" s="956"/>
      <c r="CR33" s="956"/>
      <c r="CS33" s="957"/>
      <c r="CT33" s="158">
        <f t="shared" si="0"/>
        <v>150000</v>
      </c>
    </row>
    <row r="34" spans="1:159" ht="26.25">
      <c r="A34" s="91">
        <v>27</v>
      </c>
      <c r="B34" s="1120" t="s">
        <v>318</v>
      </c>
      <c r="C34" s="1121"/>
      <c r="D34" s="955" t="s">
        <v>22</v>
      </c>
      <c r="E34" s="956"/>
      <c r="F34" s="956"/>
      <c r="G34" s="957"/>
      <c r="H34" s="91">
        <v>9</v>
      </c>
      <c r="I34" s="942">
        <v>1</v>
      </c>
      <c r="J34" s="944"/>
      <c r="K34" s="942">
        <v>12</v>
      </c>
      <c r="L34" s="944"/>
      <c r="M34" s="945">
        <v>14</v>
      </c>
      <c r="N34" s="947"/>
      <c r="O34" s="950">
        <v>26</v>
      </c>
      <c r="P34" s="951"/>
      <c r="Q34" s="92">
        <v>1</v>
      </c>
      <c r="R34" s="942">
        <v>20</v>
      </c>
      <c r="S34" s="943"/>
      <c r="T34" s="944"/>
      <c r="U34" s="942">
        <v>15</v>
      </c>
      <c r="V34" s="944"/>
      <c r="W34" s="942">
        <v>35</v>
      </c>
      <c r="X34" s="944"/>
      <c r="Y34" s="945">
        <v>1</v>
      </c>
      <c r="Z34" s="947"/>
      <c r="AA34" s="945">
        <v>20</v>
      </c>
      <c r="AB34" s="947"/>
      <c r="AC34" s="945">
        <v>29</v>
      </c>
      <c r="AD34" s="947"/>
      <c r="AE34" s="945">
        <v>49</v>
      </c>
      <c r="AF34" s="947"/>
      <c r="AG34" s="942">
        <v>3</v>
      </c>
      <c r="AH34" s="944"/>
      <c r="AI34" s="945">
        <v>52</v>
      </c>
      <c r="AJ34" s="947"/>
      <c r="AK34" s="942">
        <v>58</v>
      </c>
      <c r="AL34" s="944"/>
      <c r="AM34" s="945">
        <v>110</v>
      </c>
      <c r="AN34" s="946"/>
      <c r="AO34" s="947"/>
      <c r="AP34" s="942">
        <v>1</v>
      </c>
      <c r="AQ34" s="944"/>
      <c r="AR34" s="942">
        <v>12</v>
      </c>
      <c r="AS34" s="944"/>
      <c r="AT34" s="942">
        <v>22</v>
      </c>
      <c r="AU34" s="944"/>
      <c r="AV34" s="945">
        <v>34</v>
      </c>
      <c r="AW34" s="947"/>
      <c r="AX34" s="945">
        <v>1</v>
      </c>
      <c r="AY34" s="947"/>
      <c r="AZ34" s="91">
        <v>22</v>
      </c>
      <c r="BA34" s="92">
        <v>11</v>
      </c>
      <c r="BB34" s="942">
        <v>33</v>
      </c>
      <c r="BC34" s="944"/>
      <c r="BD34" s="945">
        <v>1</v>
      </c>
      <c r="BE34" s="947"/>
      <c r="BF34" s="942">
        <v>17</v>
      </c>
      <c r="BG34" s="943"/>
      <c r="BH34" s="944"/>
      <c r="BI34" s="945">
        <v>16</v>
      </c>
      <c r="BJ34" s="947"/>
      <c r="BK34" s="942">
        <v>33</v>
      </c>
      <c r="BL34" s="944"/>
      <c r="BM34" s="942">
        <v>3</v>
      </c>
      <c r="BN34" s="943"/>
      <c r="BO34" s="944"/>
      <c r="BP34" s="945">
        <v>51</v>
      </c>
      <c r="BQ34" s="947"/>
      <c r="BR34" s="950">
        <v>49</v>
      </c>
      <c r="BS34" s="951"/>
      <c r="BT34" s="945">
        <v>100</v>
      </c>
      <c r="BU34" s="947"/>
      <c r="BV34" s="942">
        <v>6</v>
      </c>
      <c r="BW34" s="943"/>
      <c r="BX34" s="944"/>
      <c r="BY34" s="942">
        <v>103</v>
      </c>
      <c r="BZ34" s="944"/>
      <c r="CA34" s="942">
        <v>107</v>
      </c>
      <c r="CB34" s="943"/>
      <c r="CC34" s="944"/>
      <c r="CD34" s="950">
        <v>210</v>
      </c>
      <c r="CE34" s="1059"/>
      <c r="CF34" s="951"/>
      <c r="CG34" s="945">
        <v>9</v>
      </c>
      <c r="CH34" s="946"/>
      <c r="CI34" s="947"/>
      <c r="CJ34" s="942">
        <v>8</v>
      </c>
      <c r="CK34" s="943"/>
      <c r="CL34" s="944"/>
      <c r="CM34" s="945">
        <v>17</v>
      </c>
      <c r="CN34" s="947"/>
      <c r="CO34" s="955" t="s">
        <v>35</v>
      </c>
      <c r="CP34" s="956"/>
      <c r="CQ34" s="956"/>
      <c r="CR34" s="956"/>
      <c r="CS34" s="957"/>
      <c r="CT34" s="158">
        <f t="shared" si="0"/>
        <v>90000</v>
      </c>
    </row>
    <row r="35" spans="1:159" ht="26.25">
      <c r="A35" s="19"/>
      <c r="B35" s="905" t="s">
        <v>420</v>
      </c>
      <c r="C35" s="906"/>
      <c r="D35" s="1117"/>
      <c r="E35" s="1118"/>
      <c r="F35" s="1118"/>
      <c r="G35" s="1119"/>
      <c r="H35" s="86"/>
      <c r="I35" s="809">
        <v>92</v>
      </c>
      <c r="J35" s="1113"/>
      <c r="K35" s="809">
        <v>2903</v>
      </c>
      <c r="L35" s="1113"/>
      <c r="M35" s="1111">
        <v>2841</v>
      </c>
      <c r="N35" s="1112"/>
      <c r="O35" s="1115">
        <v>5744</v>
      </c>
      <c r="P35" s="1116"/>
      <c r="Q35" s="43">
        <v>93</v>
      </c>
      <c r="R35" s="809">
        <v>2932</v>
      </c>
      <c r="S35" s="810"/>
      <c r="T35" s="1113"/>
      <c r="U35" s="809">
        <v>2819</v>
      </c>
      <c r="V35" s="1113"/>
      <c r="W35" s="809">
        <v>5751</v>
      </c>
      <c r="X35" s="1113"/>
      <c r="Y35" s="1111">
        <v>91</v>
      </c>
      <c r="Z35" s="1112"/>
      <c r="AA35" s="1111">
        <v>2593</v>
      </c>
      <c r="AB35" s="1112"/>
      <c r="AC35" s="1111">
        <v>2575</v>
      </c>
      <c r="AD35" s="1112"/>
      <c r="AE35" s="1111">
        <v>5168</v>
      </c>
      <c r="AF35" s="1112"/>
      <c r="AG35" s="809">
        <v>276</v>
      </c>
      <c r="AH35" s="1113"/>
      <c r="AI35" s="1111">
        <v>8428</v>
      </c>
      <c r="AJ35" s="1112"/>
      <c r="AK35" s="809">
        <v>8235</v>
      </c>
      <c r="AL35" s="1113"/>
      <c r="AM35" s="1111">
        <v>16663</v>
      </c>
      <c r="AN35" s="1114"/>
      <c r="AO35" s="1112"/>
      <c r="AP35" s="809">
        <v>83</v>
      </c>
      <c r="AQ35" s="1113"/>
      <c r="AR35" s="809">
        <v>2698</v>
      </c>
      <c r="AS35" s="1113"/>
      <c r="AT35" s="809">
        <v>2738</v>
      </c>
      <c r="AU35" s="1113"/>
      <c r="AV35" s="1111">
        <v>5436</v>
      </c>
      <c r="AW35" s="1112"/>
      <c r="AX35" s="1111">
        <v>71</v>
      </c>
      <c r="AY35" s="1112"/>
      <c r="AZ35" s="44">
        <v>1976</v>
      </c>
      <c r="BA35" s="43">
        <v>2097</v>
      </c>
      <c r="BB35" s="809">
        <v>4073</v>
      </c>
      <c r="BC35" s="1113"/>
      <c r="BD35" s="1111">
        <v>61</v>
      </c>
      <c r="BE35" s="1112"/>
      <c r="BF35" s="809">
        <v>1325</v>
      </c>
      <c r="BG35" s="810"/>
      <c r="BH35" s="1113"/>
      <c r="BI35" s="1111">
        <v>1506</v>
      </c>
      <c r="BJ35" s="1112"/>
      <c r="BK35" s="809">
        <v>2831</v>
      </c>
      <c r="BL35" s="1113"/>
      <c r="BM35" s="809">
        <v>215</v>
      </c>
      <c r="BN35" s="810"/>
      <c r="BO35" s="1113"/>
      <c r="BP35" s="1111">
        <v>5999</v>
      </c>
      <c r="BQ35" s="1112"/>
      <c r="BR35" s="1115">
        <v>6341</v>
      </c>
      <c r="BS35" s="1116"/>
      <c r="BT35" s="1111">
        <v>12340</v>
      </c>
      <c r="BU35" s="1112"/>
      <c r="BV35" s="809">
        <v>491</v>
      </c>
      <c r="BW35" s="810"/>
      <c r="BX35" s="1113"/>
      <c r="BY35" s="942">
        <v>14427</v>
      </c>
      <c r="BZ35" s="944"/>
      <c r="CA35" s="942">
        <v>14576</v>
      </c>
      <c r="CB35" s="943"/>
      <c r="CC35" s="944"/>
      <c r="CD35" s="950">
        <v>29003</v>
      </c>
      <c r="CE35" s="1059"/>
      <c r="CF35" s="951"/>
      <c r="CG35" s="1111">
        <v>300</v>
      </c>
      <c r="CH35" s="1114"/>
      <c r="CI35" s="1112"/>
      <c r="CJ35" s="809">
        <v>628</v>
      </c>
      <c r="CK35" s="810"/>
      <c r="CL35" s="1113"/>
      <c r="CM35" s="1111">
        <v>928</v>
      </c>
      <c r="CN35" s="1112"/>
      <c r="CO35" s="809">
        <v>27</v>
      </c>
      <c r="CP35" s="810"/>
      <c r="CQ35" s="810"/>
      <c r="CR35" s="810"/>
      <c r="CS35" s="810"/>
      <c r="CT35" s="158">
        <f>SUM(CT8:CT34)</f>
        <v>3210000</v>
      </c>
    </row>
    <row r="36" spans="1:159" ht="45" customHeight="1">
      <c r="A36" s="87"/>
      <c r="C36" s="1154" t="s">
        <v>419</v>
      </c>
      <c r="D36" s="1154"/>
      <c r="E36" s="1154"/>
      <c r="F36" s="1154"/>
      <c r="G36" s="1154"/>
      <c r="H36" s="1154"/>
      <c r="I36" s="1154"/>
      <c r="J36" s="1154"/>
      <c r="K36" s="1154"/>
      <c r="L36" s="1154"/>
      <c r="M36" s="1154"/>
      <c r="N36" s="1154"/>
      <c r="O36" s="1154"/>
      <c r="P36" s="1154"/>
      <c r="Q36" s="1154"/>
      <c r="R36" s="1154"/>
      <c r="S36" s="1154"/>
      <c r="T36" s="1154"/>
      <c r="U36" s="1154"/>
      <c r="V36" s="1154"/>
      <c r="W36" s="1154"/>
      <c r="X36" s="1154"/>
      <c r="Y36" s="1154"/>
      <c r="Z36" s="1154"/>
      <c r="AA36" s="1154"/>
      <c r="AB36" s="1154"/>
      <c r="AC36" s="1154"/>
      <c r="AD36" s="1154"/>
      <c r="AE36" s="1154"/>
      <c r="AF36" s="1154"/>
      <c r="AG36" s="1154"/>
      <c r="AH36" s="1154"/>
      <c r="AI36" s="1154"/>
      <c r="AJ36" s="1154"/>
      <c r="AK36" s="1154"/>
      <c r="AL36" s="1154"/>
      <c r="AM36" s="1154"/>
      <c r="AN36" s="1154"/>
      <c r="AO36" s="1154"/>
      <c r="AP36" s="1154"/>
      <c r="AQ36" s="1154"/>
      <c r="AR36" s="1154"/>
      <c r="AS36" s="1154"/>
      <c r="AT36" s="1154"/>
      <c r="AU36" s="1154"/>
      <c r="AV36" s="1154"/>
      <c r="AW36" s="1154"/>
      <c r="AX36" s="1154"/>
      <c r="AY36" s="1154"/>
      <c r="AZ36" s="1154"/>
      <c r="BA36" s="1154"/>
      <c r="BB36" s="1154"/>
      <c r="BC36" s="1154"/>
      <c r="BD36" s="1154"/>
      <c r="BE36" s="1154"/>
      <c r="BF36" s="1154"/>
      <c r="BG36" s="1154"/>
      <c r="BH36" s="1154"/>
      <c r="BI36" s="1154"/>
      <c r="BJ36" s="1154"/>
      <c r="BK36" s="1154"/>
      <c r="BL36" s="1154"/>
      <c r="BM36" s="1154"/>
      <c r="BN36" s="1154"/>
      <c r="BO36" s="1154"/>
      <c r="BP36" s="1154"/>
      <c r="BQ36" s="1154"/>
      <c r="BR36" s="1154"/>
      <c r="BS36" s="1154"/>
      <c r="BT36" s="1154"/>
      <c r="BU36" s="1154"/>
      <c r="BV36" s="1154"/>
      <c r="BW36" s="1154"/>
      <c r="BX36" s="1154"/>
      <c r="BY36" s="1154"/>
      <c r="BZ36" s="1154"/>
      <c r="CA36" s="1154"/>
      <c r="CB36" s="1154"/>
      <c r="CC36" s="1154"/>
      <c r="CD36" s="1154"/>
      <c r="CE36" s="1155"/>
      <c r="CF36" s="216"/>
      <c r="CG36" s="216"/>
      <c r="CH36" s="216"/>
      <c r="CI36" s="216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237">
        <f>CD35*20</f>
        <v>580060</v>
      </c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</row>
    <row r="37" spans="1:159" ht="68.25" customHeight="1">
      <c r="A37" s="1156" t="s">
        <v>425</v>
      </c>
      <c r="B37" s="1157"/>
      <c r="C37" s="1157"/>
      <c r="D37" s="1157"/>
      <c r="E37" s="1157"/>
      <c r="F37" s="1157"/>
      <c r="G37" s="1157"/>
      <c r="H37" s="1157"/>
      <c r="I37" s="1157"/>
      <c r="J37" s="1157"/>
      <c r="K37" s="1157"/>
      <c r="L37" s="1157"/>
      <c r="M37" s="1157"/>
      <c r="N37" s="1157"/>
      <c r="O37" s="1157"/>
      <c r="P37" s="1157"/>
      <c r="Q37" s="1157"/>
      <c r="R37" s="1157"/>
      <c r="S37" s="1157"/>
      <c r="T37" s="1157"/>
      <c r="U37" s="1157"/>
      <c r="V37" s="1157"/>
      <c r="W37" s="1157"/>
      <c r="X37" s="1157"/>
      <c r="Y37" s="1157"/>
      <c r="Z37" s="1157"/>
      <c r="AA37" s="1157"/>
      <c r="AB37" s="1157"/>
      <c r="AC37" s="1157"/>
      <c r="AD37" s="1157"/>
      <c r="AE37" s="1157"/>
      <c r="AF37" s="1157"/>
      <c r="AG37" s="1157"/>
      <c r="AH37" s="1157"/>
      <c r="AI37" s="1157"/>
      <c r="AJ37" s="1157"/>
      <c r="AK37" s="1157"/>
      <c r="AL37" s="1157"/>
      <c r="AM37" s="1157"/>
      <c r="AN37" s="1157"/>
      <c r="AO37" s="1157"/>
      <c r="AP37" s="1157"/>
      <c r="AQ37" s="1157"/>
      <c r="AR37" s="1157"/>
      <c r="AS37" s="1157"/>
      <c r="AT37" s="1157"/>
      <c r="AU37" s="1157"/>
      <c r="AV37" s="1157"/>
      <c r="AW37" s="1157"/>
      <c r="AX37" s="1157"/>
      <c r="AY37" s="1157"/>
      <c r="AZ37" s="1157"/>
      <c r="BA37" s="1157"/>
      <c r="BB37" s="1157"/>
      <c r="BC37" s="1157"/>
      <c r="BD37" s="1157"/>
      <c r="BE37" s="1157"/>
      <c r="BF37" s="1157"/>
      <c r="BG37" s="1157"/>
      <c r="BH37" s="1157"/>
      <c r="BI37" s="1157"/>
      <c r="BJ37" s="1157"/>
      <c r="BK37" s="1157"/>
      <c r="BL37" s="1157"/>
      <c r="BM37" s="1157"/>
      <c r="BN37" s="1157"/>
      <c r="BO37" s="1157"/>
      <c r="BP37" s="1157"/>
      <c r="BQ37" s="1157"/>
      <c r="BR37" s="1157"/>
      <c r="BS37" s="1157"/>
      <c r="BT37" s="1157"/>
      <c r="BU37" s="1157"/>
      <c r="BV37" s="1157"/>
      <c r="BW37" s="1157"/>
      <c r="BX37" s="1157"/>
      <c r="BY37" s="1157"/>
      <c r="BZ37" s="1157"/>
      <c r="CA37" s="1157"/>
      <c r="CB37" s="1157"/>
      <c r="CC37" s="1157"/>
      <c r="CD37" s="1157"/>
      <c r="CE37" s="1157"/>
      <c r="CF37" s="1157"/>
      <c r="CG37" s="1157"/>
      <c r="CH37" s="1157"/>
      <c r="CI37" s="1158"/>
      <c r="CT37" s="129">
        <f>CT36+CT35</f>
        <v>3790060</v>
      </c>
    </row>
    <row r="38" spans="1:159" ht="31.5" customHeight="1">
      <c r="B38" s="48">
        <f>COUNTA(B8:C34)-COUNTIF(B8:C34,"GOVERNMENT SCIENCE")</f>
        <v>27</v>
      </c>
      <c r="C38" s="48">
        <f ca="1">COUNTIF(B26:D56,"GOVERNMENT SCIENCE")</f>
        <v>0</v>
      </c>
      <c r="BZ38" s="32">
        <f>COUNTIF(CD8:CF34, "&lt;1000")</f>
        <v>14</v>
      </c>
      <c r="CA38" s="32">
        <f>COUNTIF(CD8:CF34, "&gt;1000")</f>
        <v>13</v>
      </c>
    </row>
  </sheetData>
  <mergeCells count="1167">
    <mergeCell ref="C36:CE36"/>
    <mergeCell ref="A37:CI37"/>
    <mergeCell ref="BF5:BH5"/>
    <mergeCell ref="R5:T5"/>
    <mergeCell ref="U5:V5"/>
    <mergeCell ref="W5:X5"/>
    <mergeCell ref="Y5:Z5"/>
    <mergeCell ref="AA5:AJ5"/>
    <mergeCell ref="AK5:AL5"/>
    <mergeCell ref="BD6:BL6"/>
    <mergeCell ref="BM6:BU6"/>
    <mergeCell ref="BV6:CF6"/>
    <mergeCell ref="CG6:CN6"/>
    <mergeCell ref="CO6:CS7"/>
    <mergeCell ref="BK7:BL7"/>
    <mergeCell ref="BM7:BO7"/>
    <mergeCell ref="BP7:BQ7"/>
    <mergeCell ref="BR7:BS7"/>
    <mergeCell ref="AM5:AO5"/>
    <mergeCell ref="AP5:AQ5"/>
    <mergeCell ref="AR5:AS5"/>
    <mergeCell ref="AT5:BE5"/>
    <mergeCell ref="AX6:BC6"/>
    <mergeCell ref="AR8:AS8"/>
    <mergeCell ref="AT8:AU8"/>
    <mergeCell ref="W8:X8"/>
    <mergeCell ref="Y8:Z8"/>
    <mergeCell ref="AA8:AB8"/>
    <mergeCell ref="AC8:AD8"/>
    <mergeCell ref="AE8:AF8"/>
    <mergeCell ref="AG8:AH8"/>
    <mergeCell ref="CJ7:CL7"/>
    <mergeCell ref="A6:A7"/>
    <mergeCell ref="B6:C7"/>
    <mergeCell ref="D6:G7"/>
    <mergeCell ref="H6:H7"/>
    <mergeCell ref="I6:P6"/>
    <mergeCell ref="Q6:X6"/>
    <mergeCell ref="Y6:AF6"/>
    <mergeCell ref="AG6:AO6"/>
    <mergeCell ref="AP6:AW6"/>
    <mergeCell ref="A5:C5"/>
    <mergeCell ref="AM7:AO7"/>
    <mergeCell ref="AP7:AQ7"/>
    <mergeCell ref="AR7:AS7"/>
    <mergeCell ref="AT7:AU7"/>
    <mergeCell ref="W7:X7"/>
    <mergeCell ref="Y7:Z7"/>
    <mergeCell ref="AA7:AB7"/>
    <mergeCell ref="AC7:AD7"/>
    <mergeCell ref="AE7:AF7"/>
    <mergeCell ref="AG7:AH7"/>
    <mergeCell ref="I7:J7"/>
    <mergeCell ref="K7:L7"/>
    <mergeCell ref="M7:N7"/>
    <mergeCell ref="O7:P7"/>
    <mergeCell ref="R7:T7"/>
    <mergeCell ref="U7:V7"/>
    <mergeCell ref="AK7:AL7"/>
    <mergeCell ref="D5:H5"/>
    <mergeCell ref="I5:J5"/>
    <mergeCell ref="K5:L5"/>
    <mergeCell ref="M5:N5"/>
    <mergeCell ref="O5:P5"/>
    <mergeCell ref="B8:C8"/>
    <mergeCell ref="D8:G8"/>
    <mergeCell ref="I8:J8"/>
    <mergeCell ref="K8:L8"/>
    <mergeCell ref="M8:N8"/>
    <mergeCell ref="O8:P8"/>
    <mergeCell ref="R8:T8"/>
    <mergeCell ref="U8:V8"/>
    <mergeCell ref="BT7:BU7"/>
    <mergeCell ref="BV7:BX7"/>
    <mergeCell ref="BY7:BZ7"/>
    <mergeCell ref="CA7:CC7"/>
    <mergeCell ref="CD7:CF7"/>
    <mergeCell ref="CG7:CI7"/>
    <mergeCell ref="AV7:AW7"/>
    <mergeCell ref="AX7:AY7"/>
    <mergeCell ref="BB7:BC7"/>
    <mergeCell ref="BD7:BE7"/>
    <mergeCell ref="BF7:BH7"/>
    <mergeCell ref="BI7:BJ7"/>
    <mergeCell ref="AI7:AJ7"/>
    <mergeCell ref="AM8:AO8"/>
    <mergeCell ref="AP8:AQ8"/>
    <mergeCell ref="BI5:CT5"/>
    <mergeCell ref="CM7:CN7"/>
    <mergeCell ref="CO8:CS8"/>
    <mergeCell ref="B9:C9"/>
    <mergeCell ref="D9:G9"/>
    <mergeCell ref="I9:J9"/>
    <mergeCell ref="K9:L9"/>
    <mergeCell ref="M9:N9"/>
    <mergeCell ref="O9:P9"/>
    <mergeCell ref="R9:T9"/>
    <mergeCell ref="U9:V9"/>
    <mergeCell ref="W9:X9"/>
    <mergeCell ref="BY8:BZ8"/>
    <mergeCell ref="CA8:CC8"/>
    <mergeCell ref="CD8:CF8"/>
    <mergeCell ref="CG8:CI8"/>
    <mergeCell ref="CJ8:CL8"/>
    <mergeCell ref="CM8:CN8"/>
    <mergeCell ref="BK8:BL8"/>
    <mergeCell ref="BM8:BO8"/>
    <mergeCell ref="BP8:BQ8"/>
    <mergeCell ref="BR8:BS8"/>
    <mergeCell ref="BT8:BU8"/>
    <mergeCell ref="BV8:BX8"/>
    <mergeCell ref="AV8:AW8"/>
    <mergeCell ref="AX8:AY8"/>
    <mergeCell ref="BB8:BC8"/>
    <mergeCell ref="BD8:BE8"/>
    <mergeCell ref="BF8:BH8"/>
    <mergeCell ref="BI8:BJ8"/>
    <mergeCell ref="AI8:AJ8"/>
    <mergeCell ref="AK8:AL8"/>
    <mergeCell ref="CO9:CS9"/>
    <mergeCell ref="BM9:BO9"/>
    <mergeCell ref="BP9:BQ9"/>
    <mergeCell ref="BR9:BS9"/>
    <mergeCell ref="BT9:BU9"/>
    <mergeCell ref="BV9:BX9"/>
    <mergeCell ref="BY9:BZ9"/>
    <mergeCell ref="AX9:AY9"/>
    <mergeCell ref="BB9:BC9"/>
    <mergeCell ref="BD9:BE9"/>
    <mergeCell ref="BF9:BH9"/>
    <mergeCell ref="BI9:BJ9"/>
    <mergeCell ref="BK9:BL9"/>
    <mergeCell ref="AK9:AL9"/>
    <mergeCell ref="AM9:AO9"/>
    <mergeCell ref="AP9:AQ9"/>
    <mergeCell ref="AR9:AS9"/>
    <mergeCell ref="AT9:AU9"/>
    <mergeCell ref="AV9:AW9"/>
    <mergeCell ref="R10:T10"/>
    <mergeCell ref="U10:V10"/>
    <mergeCell ref="W10:X10"/>
    <mergeCell ref="Y10:Z10"/>
    <mergeCell ref="AA10:AB10"/>
    <mergeCell ref="AC10:AD10"/>
    <mergeCell ref="B10:C10"/>
    <mergeCell ref="D10:G10"/>
    <mergeCell ref="I10:J10"/>
    <mergeCell ref="K10:L10"/>
    <mergeCell ref="M10:N10"/>
    <mergeCell ref="O10:P10"/>
    <mergeCell ref="CA9:CC9"/>
    <mergeCell ref="CD9:CF9"/>
    <mergeCell ref="CG9:CI9"/>
    <mergeCell ref="CJ9:CL9"/>
    <mergeCell ref="CM9:CN9"/>
    <mergeCell ref="Y9:Z9"/>
    <mergeCell ref="AA9:AB9"/>
    <mergeCell ref="AC9:AD9"/>
    <mergeCell ref="AE9:AF9"/>
    <mergeCell ref="AG9:AH9"/>
    <mergeCell ref="AI9:AJ9"/>
    <mergeCell ref="CM10:CN10"/>
    <mergeCell ref="CO10:CS10"/>
    <mergeCell ref="B11:C11"/>
    <mergeCell ref="D11:G11"/>
    <mergeCell ref="I11:J11"/>
    <mergeCell ref="K11:L11"/>
    <mergeCell ref="M11:N11"/>
    <mergeCell ref="O11:P11"/>
    <mergeCell ref="R11:T11"/>
    <mergeCell ref="BT10:BU10"/>
    <mergeCell ref="BV10:BX10"/>
    <mergeCell ref="BY10:BZ10"/>
    <mergeCell ref="CA10:CC10"/>
    <mergeCell ref="CD10:CF10"/>
    <mergeCell ref="CG10:CI10"/>
    <mergeCell ref="BF10:BH10"/>
    <mergeCell ref="BI10:BJ10"/>
    <mergeCell ref="BK10:BL10"/>
    <mergeCell ref="BM10:BO10"/>
    <mergeCell ref="BP10:BQ10"/>
    <mergeCell ref="BR10:BS10"/>
    <mergeCell ref="AR10:AS10"/>
    <mergeCell ref="AT10:AU10"/>
    <mergeCell ref="AV10:AW10"/>
    <mergeCell ref="AX10:AY10"/>
    <mergeCell ref="BB10:BC10"/>
    <mergeCell ref="BD10:BE10"/>
    <mergeCell ref="AE10:AF10"/>
    <mergeCell ref="AG10:AH10"/>
    <mergeCell ref="AI10:AJ10"/>
    <mergeCell ref="AK10:AL10"/>
    <mergeCell ref="AM10:AO10"/>
    <mergeCell ref="AX11:AY11"/>
    <mergeCell ref="BB11:BC11"/>
    <mergeCell ref="BD11:BE11"/>
    <mergeCell ref="BF11:BH11"/>
    <mergeCell ref="AG11:AH11"/>
    <mergeCell ref="AI11:AJ11"/>
    <mergeCell ref="AK11:AL11"/>
    <mergeCell ref="AM11:AO11"/>
    <mergeCell ref="AP11:AQ11"/>
    <mergeCell ref="AR11:AS11"/>
    <mergeCell ref="U11:V11"/>
    <mergeCell ref="W11:X11"/>
    <mergeCell ref="Y11:Z11"/>
    <mergeCell ref="AA11:AB11"/>
    <mergeCell ref="AC11:AD11"/>
    <mergeCell ref="AE11:AF11"/>
    <mergeCell ref="CJ10:CL10"/>
    <mergeCell ref="AP10:AQ10"/>
    <mergeCell ref="AR12:AS12"/>
    <mergeCell ref="AT12:AU12"/>
    <mergeCell ref="W12:X12"/>
    <mergeCell ref="Y12:Z12"/>
    <mergeCell ref="AA12:AB12"/>
    <mergeCell ref="AC12:AD12"/>
    <mergeCell ref="AE12:AF12"/>
    <mergeCell ref="AG12:AH12"/>
    <mergeCell ref="CM11:CN11"/>
    <mergeCell ref="CO11:CS11"/>
    <mergeCell ref="B12:C12"/>
    <mergeCell ref="D12:G12"/>
    <mergeCell ref="I12:J12"/>
    <mergeCell ref="K12:L12"/>
    <mergeCell ref="M12:N12"/>
    <mergeCell ref="O12:P12"/>
    <mergeCell ref="R12:T12"/>
    <mergeCell ref="U12:V12"/>
    <mergeCell ref="BV11:BX11"/>
    <mergeCell ref="BY11:BZ11"/>
    <mergeCell ref="CA11:CC11"/>
    <mergeCell ref="CD11:CF11"/>
    <mergeCell ref="CG11:CI11"/>
    <mergeCell ref="CJ11:CL11"/>
    <mergeCell ref="BI11:BJ11"/>
    <mergeCell ref="BK11:BL11"/>
    <mergeCell ref="BM11:BO11"/>
    <mergeCell ref="BP11:BQ11"/>
    <mergeCell ref="BR11:BS11"/>
    <mergeCell ref="BT11:BU11"/>
    <mergeCell ref="AT11:AU11"/>
    <mergeCell ref="AV11:AW11"/>
    <mergeCell ref="CO12:CS12"/>
    <mergeCell ref="B13:C13"/>
    <mergeCell ref="D13:G13"/>
    <mergeCell ref="I13:J13"/>
    <mergeCell ref="K13:L13"/>
    <mergeCell ref="M13:N13"/>
    <mergeCell ref="O13:P13"/>
    <mergeCell ref="R13:T13"/>
    <mergeCell ref="U13:V13"/>
    <mergeCell ref="W13:X13"/>
    <mergeCell ref="BY12:BZ12"/>
    <mergeCell ref="CA12:CC12"/>
    <mergeCell ref="CD12:CF12"/>
    <mergeCell ref="CG12:CI12"/>
    <mergeCell ref="CJ12:CL12"/>
    <mergeCell ref="CM12:CN12"/>
    <mergeCell ref="BK12:BL12"/>
    <mergeCell ref="BM12:BO12"/>
    <mergeCell ref="BP12:BQ12"/>
    <mergeCell ref="BR12:BS12"/>
    <mergeCell ref="BT12:BU12"/>
    <mergeCell ref="BV12:BX12"/>
    <mergeCell ref="AV12:AW12"/>
    <mergeCell ref="AX12:AY12"/>
    <mergeCell ref="BB12:BC12"/>
    <mergeCell ref="BD12:BE12"/>
    <mergeCell ref="BF12:BH12"/>
    <mergeCell ref="BI12:BJ12"/>
    <mergeCell ref="AI12:AJ12"/>
    <mergeCell ref="AK12:AL12"/>
    <mergeCell ref="AM12:AO12"/>
    <mergeCell ref="AP12:AQ12"/>
    <mergeCell ref="CO13:CS13"/>
    <mergeCell ref="BM13:BO13"/>
    <mergeCell ref="BP13:BQ13"/>
    <mergeCell ref="BR13:BS13"/>
    <mergeCell ref="BT13:BU13"/>
    <mergeCell ref="BV13:BX13"/>
    <mergeCell ref="BY13:BZ13"/>
    <mergeCell ref="AX13:AY13"/>
    <mergeCell ref="BB13:BC13"/>
    <mergeCell ref="BD13:BE13"/>
    <mergeCell ref="BF13:BH13"/>
    <mergeCell ref="BI13:BJ13"/>
    <mergeCell ref="BK13:BL13"/>
    <mergeCell ref="AK13:AL13"/>
    <mergeCell ref="AM13:AO13"/>
    <mergeCell ref="AP13:AQ13"/>
    <mergeCell ref="AR13:AS13"/>
    <mergeCell ref="AT13:AU13"/>
    <mergeCell ref="AV13:AW13"/>
    <mergeCell ref="R14:T14"/>
    <mergeCell ref="U14:V14"/>
    <mergeCell ref="W14:X14"/>
    <mergeCell ref="Y14:Z14"/>
    <mergeCell ref="AA14:AB14"/>
    <mergeCell ref="AC14:AD14"/>
    <mergeCell ref="B14:C14"/>
    <mergeCell ref="D14:G14"/>
    <mergeCell ref="I14:J14"/>
    <mergeCell ref="K14:L14"/>
    <mergeCell ref="M14:N14"/>
    <mergeCell ref="O14:P14"/>
    <mergeCell ref="CA13:CC13"/>
    <mergeCell ref="CD13:CF13"/>
    <mergeCell ref="CG13:CI13"/>
    <mergeCell ref="CJ13:CL13"/>
    <mergeCell ref="CM13:CN13"/>
    <mergeCell ref="Y13:Z13"/>
    <mergeCell ref="AA13:AB13"/>
    <mergeCell ref="AC13:AD13"/>
    <mergeCell ref="AE13:AF13"/>
    <mergeCell ref="AG13:AH13"/>
    <mergeCell ref="AI13:AJ13"/>
    <mergeCell ref="CM14:CN14"/>
    <mergeCell ref="CO14:CS14"/>
    <mergeCell ref="B15:C15"/>
    <mergeCell ref="D15:G15"/>
    <mergeCell ref="I15:J15"/>
    <mergeCell ref="K15:L15"/>
    <mergeCell ref="M15:N15"/>
    <mergeCell ref="O15:P15"/>
    <mergeCell ref="R15:T15"/>
    <mergeCell ref="BT14:BU14"/>
    <mergeCell ref="BV14:BX14"/>
    <mergeCell ref="BY14:BZ14"/>
    <mergeCell ref="CA14:CC14"/>
    <mergeCell ref="CD14:CF14"/>
    <mergeCell ref="CG14:CI14"/>
    <mergeCell ref="BF14:BH14"/>
    <mergeCell ref="BI14:BJ14"/>
    <mergeCell ref="BK14:BL14"/>
    <mergeCell ref="BM14:BO14"/>
    <mergeCell ref="BP14:BQ14"/>
    <mergeCell ref="BR14:BS14"/>
    <mergeCell ref="AR14:AS14"/>
    <mergeCell ref="AT14:AU14"/>
    <mergeCell ref="AV14:AW14"/>
    <mergeCell ref="AX14:AY14"/>
    <mergeCell ref="BB14:BC14"/>
    <mergeCell ref="BD14:BE14"/>
    <mergeCell ref="AE14:AF14"/>
    <mergeCell ref="AG14:AH14"/>
    <mergeCell ref="AI14:AJ14"/>
    <mergeCell ref="AK14:AL14"/>
    <mergeCell ref="AM14:AO14"/>
    <mergeCell ref="AX15:AY15"/>
    <mergeCell ref="BB15:BC15"/>
    <mergeCell ref="BD15:BE15"/>
    <mergeCell ref="BF15:BH15"/>
    <mergeCell ref="AG15:AH15"/>
    <mergeCell ref="AI15:AJ15"/>
    <mergeCell ref="AK15:AL15"/>
    <mergeCell ref="AM15:AO15"/>
    <mergeCell ref="AP15:AQ15"/>
    <mergeCell ref="AR15:AS15"/>
    <mergeCell ref="U15:V15"/>
    <mergeCell ref="W15:X15"/>
    <mergeCell ref="Y15:Z15"/>
    <mergeCell ref="AA15:AB15"/>
    <mergeCell ref="AC15:AD15"/>
    <mergeCell ref="AE15:AF15"/>
    <mergeCell ref="CJ14:CL14"/>
    <mergeCell ref="AP14:AQ14"/>
    <mergeCell ref="AR16:AS16"/>
    <mergeCell ref="AT16:AU16"/>
    <mergeCell ref="W16:X16"/>
    <mergeCell ref="Y16:Z16"/>
    <mergeCell ref="AA16:AB16"/>
    <mergeCell ref="AC16:AD16"/>
    <mergeCell ref="AE16:AF16"/>
    <mergeCell ref="AG16:AH16"/>
    <mergeCell ref="CM15:CN15"/>
    <mergeCell ref="CO15:CS15"/>
    <mergeCell ref="B16:C16"/>
    <mergeCell ref="D16:G16"/>
    <mergeCell ref="I16:J16"/>
    <mergeCell ref="K16:L16"/>
    <mergeCell ref="M16:N16"/>
    <mergeCell ref="O16:P16"/>
    <mergeCell ref="R16:T16"/>
    <mergeCell ref="U16:V16"/>
    <mergeCell ref="BV15:BX15"/>
    <mergeCell ref="BY15:BZ15"/>
    <mergeCell ref="CA15:CC15"/>
    <mergeCell ref="CD15:CF15"/>
    <mergeCell ref="CG15:CI15"/>
    <mergeCell ref="CJ15:CL15"/>
    <mergeCell ref="BI15:BJ15"/>
    <mergeCell ref="BK15:BL15"/>
    <mergeCell ref="BM15:BO15"/>
    <mergeCell ref="BP15:BQ15"/>
    <mergeCell ref="BR15:BS15"/>
    <mergeCell ref="BT15:BU15"/>
    <mergeCell ref="AT15:AU15"/>
    <mergeCell ref="AV15:AW15"/>
    <mergeCell ref="CO16:CS16"/>
    <mergeCell ref="B17:C17"/>
    <mergeCell ref="D17:G17"/>
    <mergeCell ref="I17:J17"/>
    <mergeCell ref="K17:L17"/>
    <mergeCell ref="M17:N17"/>
    <mergeCell ref="O17:P17"/>
    <mergeCell ref="R17:T17"/>
    <mergeCell ref="U17:V17"/>
    <mergeCell ref="W17:X17"/>
    <mergeCell ref="BY16:BZ16"/>
    <mergeCell ref="CA16:CC16"/>
    <mergeCell ref="CD16:CF16"/>
    <mergeCell ref="CG16:CI16"/>
    <mergeCell ref="CJ16:CL16"/>
    <mergeCell ref="CM16:CN16"/>
    <mergeCell ref="BK16:BL16"/>
    <mergeCell ref="BM16:BO16"/>
    <mergeCell ref="BP16:BQ16"/>
    <mergeCell ref="BR16:BS16"/>
    <mergeCell ref="BT16:BU16"/>
    <mergeCell ref="BV16:BX16"/>
    <mergeCell ref="AV16:AW16"/>
    <mergeCell ref="AX16:AY16"/>
    <mergeCell ref="BB16:BC16"/>
    <mergeCell ref="BD16:BE16"/>
    <mergeCell ref="BF16:BH16"/>
    <mergeCell ref="BI16:BJ16"/>
    <mergeCell ref="AI16:AJ16"/>
    <mergeCell ref="AK16:AL16"/>
    <mergeCell ref="AM16:AO16"/>
    <mergeCell ref="AP16:AQ16"/>
    <mergeCell ref="CO17:CS17"/>
    <mergeCell ref="BM17:BO17"/>
    <mergeCell ref="BP17:BQ17"/>
    <mergeCell ref="BR17:BS17"/>
    <mergeCell ref="BT17:BU17"/>
    <mergeCell ref="BV17:BX17"/>
    <mergeCell ref="BY17:BZ17"/>
    <mergeCell ref="AX17:AY17"/>
    <mergeCell ref="BB17:BC17"/>
    <mergeCell ref="BD17:BE17"/>
    <mergeCell ref="BF17:BH17"/>
    <mergeCell ref="BI17:BJ17"/>
    <mergeCell ref="BK17:BL17"/>
    <mergeCell ref="AK17:AL17"/>
    <mergeCell ref="AM17:AO17"/>
    <mergeCell ref="AP17:AQ17"/>
    <mergeCell ref="AR17:AS17"/>
    <mergeCell ref="AT17:AU17"/>
    <mergeCell ref="AV17:AW17"/>
    <mergeCell ref="R18:T18"/>
    <mergeCell ref="U18:V18"/>
    <mergeCell ref="W18:X18"/>
    <mergeCell ref="Y18:Z18"/>
    <mergeCell ref="AA18:AB18"/>
    <mergeCell ref="AC18:AD18"/>
    <mergeCell ref="B18:C18"/>
    <mergeCell ref="D18:G18"/>
    <mergeCell ref="I18:J18"/>
    <mergeCell ref="K18:L18"/>
    <mergeCell ref="M18:N18"/>
    <mergeCell ref="O18:P18"/>
    <mergeCell ref="CA17:CC17"/>
    <mergeCell ref="CD17:CF17"/>
    <mergeCell ref="CG17:CI17"/>
    <mergeCell ref="CJ17:CL17"/>
    <mergeCell ref="CM17:CN17"/>
    <mergeCell ref="Y17:Z17"/>
    <mergeCell ref="AA17:AB17"/>
    <mergeCell ref="AC17:AD17"/>
    <mergeCell ref="AE17:AF17"/>
    <mergeCell ref="AG17:AH17"/>
    <mergeCell ref="AI17:AJ17"/>
    <mergeCell ref="CM18:CN18"/>
    <mergeCell ref="CO18:CS18"/>
    <mergeCell ref="B19:C19"/>
    <mergeCell ref="D19:G19"/>
    <mergeCell ref="I19:J19"/>
    <mergeCell ref="K19:L19"/>
    <mergeCell ref="M19:N19"/>
    <mergeCell ref="O19:P19"/>
    <mergeCell ref="R19:T19"/>
    <mergeCell ref="BT18:BU18"/>
    <mergeCell ref="BV18:BX18"/>
    <mergeCell ref="BY18:BZ18"/>
    <mergeCell ref="CA18:CC18"/>
    <mergeCell ref="CD18:CF18"/>
    <mergeCell ref="CG18:CI18"/>
    <mergeCell ref="BF18:BH18"/>
    <mergeCell ref="BI18:BJ18"/>
    <mergeCell ref="BK18:BL18"/>
    <mergeCell ref="BM18:BO18"/>
    <mergeCell ref="BP18:BQ18"/>
    <mergeCell ref="BR18:BS18"/>
    <mergeCell ref="AR18:AS18"/>
    <mergeCell ref="AT18:AU18"/>
    <mergeCell ref="AV18:AW18"/>
    <mergeCell ref="AX18:AY18"/>
    <mergeCell ref="BB18:BC18"/>
    <mergeCell ref="BD18:BE18"/>
    <mergeCell ref="AE18:AF18"/>
    <mergeCell ref="AG18:AH18"/>
    <mergeCell ref="AI18:AJ18"/>
    <mergeCell ref="AK18:AL18"/>
    <mergeCell ref="AM18:AO18"/>
    <mergeCell ref="AX19:AY19"/>
    <mergeCell ref="BB19:BC19"/>
    <mergeCell ref="BD19:BE19"/>
    <mergeCell ref="BF19:BH19"/>
    <mergeCell ref="AG19:AH19"/>
    <mergeCell ref="AI19:AJ19"/>
    <mergeCell ref="AK19:AL19"/>
    <mergeCell ref="AM19:AO19"/>
    <mergeCell ref="AP19:AQ19"/>
    <mergeCell ref="AR19:AS19"/>
    <mergeCell ref="U19:V19"/>
    <mergeCell ref="W19:X19"/>
    <mergeCell ref="Y19:Z19"/>
    <mergeCell ref="AA19:AB19"/>
    <mergeCell ref="AC19:AD19"/>
    <mergeCell ref="AE19:AF19"/>
    <mergeCell ref="CJ18:CL18"/>
    <mergeCell ref="AP18:AQ18"/>
    <mergeCell ref="AR20:AS20"/>
    <mergeCell ref="AT20:AU20"/>
    <mergeCell ref="W20:X20"/>
    <mergeCell ref="Y20:Z20"/>
    <mergeCell ref="AA20:AB20"/>
    <mergeCell ref="AC20:AD20"/>
    <mergeCell ref="AE20:AF20"/>
    <mergeCell ref="AG20:AH20"/>
    <mergeCell ref="CM19:CN19"/>
    <mergeCell ref="CO19:CS19"/>
    <mergeCell ref="B20:C20"/>
    <mergeCell ref="D20:G20"/>
    <mergeCell ref="I20:J20"/>
    <mergeCell ref="K20:L20"/>
    <mergeCell ref="M20:N20"/>
    <mergeCell ref="O20:P20"/>
    <mergeCell ref="R20:T20"/>
    <mergeCell ref="U20:V20"/>
    <mergeCell ref="BV19:BX19"/>
    <mergeCell ref="BY19:BZ19"/>
    <mergeCell ref="CA19:CC19"/>
    <mergeCell ref="CD19:CF19"/>
    <mergeCell ref="CG19:CI19"/>
    <mergeCell ref="CJ19:CL19"/>
    <mergeCell ref="BI19:BJ19"/>
    <mergeCell ref="BK19:BL19"/>
    <mergeCell ref="BM19:BO19"/>
    <mergeCell ref="BP19:BQ19"/>
    <mergeCell ref="BR19:BS19"/>
    <mergeCell ref="BT19:BU19"/>
    <mergeCell ref="AT19:AU19"/>
    <mergeCell ref="AV19:AW19"/>
    <mergeCell ref="CO20:CS20"/>
    <mergeCell ref="B21:C21"/>
    <mergeCell ref="D21:G21"/>
    <mergeCell ref="I21:J21"/>
    <mergeCell ref="K21:L21"/>
    <mergeCell ref="M21:N21"/>
    <mergeCell ref="O21:P21"/>
    <mergeCell ref="R21:T21"/>
    <mergeCell ref="U21:V21"/>
    <mergeCell ref="W21:X21"/>
    <mergeCell ref="BY20:BZ20"/>
    <mergeCell ref="CA20:CC20"/>
    <mergeCell ref="CD20:CF20"/>
    <mergeCell ref="CG20:CI20"/>
    <mergeCell ref="CJ20:CL20"/>
    <mergeCell ref="CM20:CN20"/>
    <mergeCell ref="BK20:BL20"/>
    <mergeCell ref="BM20:BO20"/>
    <mergeCell ref="BP20:BQ20"/>
    <mergeCell ref="BR20:BS20"/>
    <mergeCell ref="BT20:BU20"/>
    <mergeCell ref="BV20:BX20"/>
    <mergeCell ref="AV20:AW20"/>
    <mergeCell ref="AX20:AY20"/>
    <mergeCell ref="BB20:BC20"/>
    <mergeCell ref="BD20:BE20"/>
    <mergeCell ref="BF20:BH20"/>
    <mergeCell ref="BI20:BJ20"/>
    <mergeCell ref="AI20:AJ20"/>
    <mergeCell ref="AK20:AL20"/>
    <mergeCell ref="AM20:AO20"/>
    <mergeCell ref="AP20:AQ20"/>
    <mergeCell ref="CO21:CS21"/>
    <mergeCell ref="BM21:BO21"/>
    <mergeCell ref="BP21:BQ21"/>
    <mergeCell ref="BR21:BS21"/>
    <mergeCell ref="BT21:BU21"/>
    <mergeCell ref="BV21:BX21"/>
    <mergeCell ref="BY21:BZ21"/>
    <mergeCell ref="AX21:AY21"/>
    <mergeCell ref="BB21:BC21"/>
    <mergeCell ref="BD21:BE21"/>
    <mergeCell ref="BF21:BH21"/>
    <mergeCell ref="BI21:BJ21"/>
    <mergeCell ref="BK21:BL21"/>
    <mergeCell ref="AK21:AL21"/>
    <mergeCell ref="AM21:AO21"/>
    <mergeCell ref="AP21:AQ21"/>
    <mergeCell ref="AR21:AS21"/>
    <mergeCell ref="AT21:AU21"/>
    <mergeCell ref="AV21:AW21"/>
    <mergeCell ref="R22:T22"/>
    <mergeCell ref="U22:V22"/>
    <mergeCell ref="W22:X22"/>
    <mergeCell ref="Y22:Z22"/>
    <mergeCell ref="AA22:AB22"/>
    <mergeCell ref="AC22:AD22"/>
    <mergeCell ref="B22:C22"/>
    <mergeCell ref="D22:G22"/>
    <mergeCell ref="I22:J22"/>
    <mergeCell ref="K22:L22"/>
    <mergeCell ref="M22:N22"/>
    <mergeCell ref="O22:P22"/>
    <mergeCell ref="CA21:CC21"/>
    <mergeCell ref="CD21:CF21"/>
    <mergeCell ref="CG21:CI21"/>
    <mergeCell ref="CJ21:CL21"/>
    <mergeCell ref="CM21:CN21"/>
    <mergeCell ref="Y21:Z21"/>
    <mergeCell ref="AA21:AB21"/>
    <mergeCell ref="AC21:AD21"/>
    <mergeCell ref="AE21:AF21"/>
    <mergeCell ref="AG21:AH21"/>
    <mergeCell ref="AI21:AJ21"/>
    <mergeCell ref="CM22:CN22"/>
    <mergeCell ref="CO22:CS22"/>
    <mergeCell ref="B23:C23"/>
    <mergeCell ref="D23:G23"/>
    <mergeCell ref="I23:J23"/>
    <mergeCell ref="K23:L23"/>
    <mergeCell ref="M23:N23"/>
    <mergeCell ref="O23:P23"/>
    <mergeCell ref="R23:T23"/>
    <mergeCell ref="BT22:BU22"/>
    <mergeCell ref="BV22:BX22"/>
    <mergeCell ref="BY22:BZ22"/>
    <mergeCell ref="CA22:CC22"/>
    <mergeCell ref="CD22:CF22"/>
    <mergeCell ref="CG22:CI22"/>
    <mergeCell ref="BF22:BH22"/>
    <mergeCell ref="BI22:BJ22"/>
    <mergeCell ref="BK22:BL22"/>
    <mergeCell ref="BM22:BO22"/>
    <mergeCell ref="BP22:BQ22"/>
    <mergeCell ref="BR22:BS22"/>
    <mergeCell ref="AR22:AS22"/>
    <mergeCell ref="AT22:AU22"/>
    <mergeCell ref="AV22:AW22"/>
    <mergeCell ref="AX22:AY22"/>
    <mergeCell ref="BB22:BC22"/>
    <mergeCell ref="BD22:BE22"/>
    <mergeCell ref="AE22:AF22"/>
    <mergeCell ref="AG22:AH22"/>
    <mergeCell ref="AI22:AJ22"/>
    <mergeCell ref="AK22:AL22"/>
    <mergeCell ref="AM22:AO22"/>
    <mergeCell ref="AX23:AY23"/>
    <mergeCell ref="BB23:BC23"/>
    <mergeCell ref="BD23:BE23"/>
    <mergeCell ref="BF23:BH23"/>
    <mergeCell ref="AG23:AH23"/>
    <mergeCell ref="AI23:AJ23"/>
    <mergeCell ref="AK23:AL23"/>
    <mergeCell ref="AM23:AO23"/>
    <mergeCell ref="AP23:AQ23"/>
    <mergeCell ref="AR23:AS23"/>
    <mergeCell ref="U23:V23"/>
    <mergeCell ref="W23:X23"/>
    <mergeCell ref="Y23:Z23"/>
    <mergeCell ref="AA23:AB23"/>
    <mergeCell ref="AC23:AD23"/>
    <mergeCell ref="AE23:AF23"/>
    <mergeCell ref="CJ22:CL22"/>
    <mergeCell ref="AP22:AQ22"/>
    <mergeCell ref="AR24:AS24"/>
    <mergeCell ref="AT24:AU24"/>
    <mergeCell ref="W24:X24"/>
    <mergeCell ref="Y24:Z24"/>
    <mergeCell ref="AA24:AB24"/>
    <mergeCell ref="AC24:AD24"/>
    <mergeCell ref="AE24:AF24"/>
    <mergeCell ref="AG24:AH24"/>
    <mergeCell ref="CM23:CN23"/>
    <mergeCell ref="CO23:CS23"/>
    <mergeCell ref="B24:C24"/>
    <mergeCell ref="D24:G24"/>
    <mergeCell ref="I24:J24"/>
    <mergeCell ref="K24:L24"/>
    <mergeCell ref="M24:N24"/>
    <mergeCell ref="O24:P24"/>
    <mergeCell ref="R24:T24"/>
    <mergeCell ref="U24:V24"/>
    <mergeCell ref="BV23:BX23"/>
    <mergeCell ref="BY23:BZ23"/>
    <mergeCell ref="CA23:CC23"/>
    <mergeCell ref="CD23:CF23"/>
    <mergeCell ref="CG23:CI23"/>
    <mergeCell ref="CJ23:CL23"/>
    <mergeCell ref="BI23:BJ23"/>
    <mergeCell ref="BK23:BL23"/>
    <mergeCell ref="BM23:BO23"/>
    <mergeCell ref="BP23:BQ23"/>
    <mergeCell ref="BR23:BS23"/>
    <mergeCell ref="BT23:BU23"/>
    <mergeCell ref="AT23:AU23"/>
    <mergeCell ref="AV23:AW23"/>
    <mergeCell ref="CO24:CS24"/>
    <mergeCell ref="B25:C25"/>
    <mergeCell ref="D25:G25"/>
    <mergeCell ref="I25:J25"/>
    <mergeCell ref="K25:L25"/>
    <mergeCell ref="M25:N25"/>
    <mergeCell ref="O25:P25"/>
    <mergeCell ref="R25:T25"/>
    <mergeCell ref="U25:V25"/>
    <mergeCell ref="W25:X25"/>
    <mergeCell ref="BY24:BZ24"/>
    <mergeCell ref="CA24:CC24"/>
    <mergeCell ref="CD24:CF24"/>
    <mergeCell ref="CG24:CI24"/>
    <mergeCell ref="CJ24:CL24"/>
    <mergeCell ref="CM24:CN24"/>
    <mergeCell ref="BK24:BL24"/>
    <mergeCell ref="BM24:BO24"/>
    <mergeCell ref="BP24:BQ24"/>
    <mergeCell ref="BR24:BS24"/>
    <mergeCell ref="BT24:BU24"/>
    <mergeCell ref="BV24:BX24"/>
    <mergeCell ref="AV24:AW24"/>
    <mergeCell ref="AX24:AY24"/>
    <mergeCell ref="BB24:BC24"/>
    <mergeCell ref="BD24:BE24"/>
    <mergeCell ref="BF24:BH24"/>
    <mergeCell ref="BI24:BJ24"/>
    <mergeCell ref="AI24:AJ24"/>
    <mergeCell ref="AK24:AL24"/>
    <mergeCell ref="AM24:AO24"/>
    <mergeCell ref="AP24:AQ24"/>
    <mergeCell ref="CO25:CS25"/>
    <mergeCell ref="BM25:BO25"/>
    <mergeCell ref="BP25:BQ25"/>
    <mergeCell ref="BR25:BS25"/>
    <mergeCell ref="BT25:BU25"/>
    <mergeCell ref="BV25:BX25"/>
    <mergeCell ref="BY25:BZ25"/>
    <mergeCell ref="AX25:AY25"/>
    <mergeCell ref="BB25:BC25"/>
    <mergeCell ref="BD25:BE25"/>
    <mergeCell ref="BF25:BH25"/>
    <mergeCell ref="BI25:BJ25"/>
    <mergeCell ref="BK25:BL25"/>
    <mergeCell ref="AK25:AL25"/>
    <mergeCell ref="AM25:AO25"/>
    <mergeCell ref="AP25:AQ25"/>
    <mergeCell ref="AR25:AS25"/>
    <mergeCell ref="AT25:AU25"/>
    <mergeCell ref="AV25:AW25"/>
    <mergeCell ref="R26:T26"/>
    <mergeCell ref="U26:V26"/>
    <mergeCell ref="W26:X26"/>
    <mergeCell ref="Y26:Z26"/>
    <mergeCell ref="AA26:AB26"/>
    <mergeCell ref="AC26:AD26"/>
    <mergeCell ref="B26:C26"/>
    <mergeCell ref="D26:G26"/>
    <mergeCell ref="I26:J26"/>
    <mergeCell ref="K26:L26"/>
    <mergeCell ref="M26:N26"/>
    <mergeCell ref="O26:P26"/>
    <mergeCell ref="CA25:CC25"/>
    <mergeCell ref="CD25:CF25"/>
    <mergeCell ref="CG25:CI25"/>
    <mergeCell ref="CJ25:CL25"/>
    <mergeCell ref="CM25:CN25"/>
    <mergeCell ref="Y25:Z25"/>
    <mergeCell ref="AA25:AB25"/>
    <mergeCell ref="AC25:AD25"/>
    <mergeCell ref="AE25:AF25"/>
    <mergeCell ref="AG25:AH25"/>
    <mergeCell ref="AI25:AJ25"/>
    <mergeCell ref="CM26:CN26"/>
    <mergeCell ref="CO26:CS26"/>
    <mergeCell ref="B27:C27"/>
    <mergeCell ref="D27:G27"/>
    <mergeCell ref="I27:J27"/>
    <mergeCell ref="K27:L27"/>
    <mergeCell ref="M27:N27"/>
    <mergeCell ref="O27:P27"/>
    <mergeCell ref="R27:T27"/>
    <mergeCell ref="BT26:BU26"/>
    <mergeCell ref="BV26:BX26"/>
    <mergeCell ref="BY26:BZ26"/>
    <mergeCell ref="CA26:CC26"/>
    <mergeCell ref="CD26:CF26"/>
    <mergeCell ref="CG26:CI26"/>
    <mergeCell ref="BF26:BH26"/>
    <mergeCell ref="BI26:BJ26"/>
    <mergeCell ref="BK26:BL26"/>
    <mergeCell ref="BM26:BO26"/>
    <mergeCell ref="BP26:BQ26"/>
    <mergeCell ref="BR26:BS26"/>
    <mergeCell ref="AR26:AS26"/>
    <mergeCell ref="AT26:AU26"/>
    <mergeCell ref="AV26:AW26"/>
    <mergeCell ref="AX26:AY26"/>
    <mergeCell ref="BB26:BC26"/>
    <mergeCell ref="BD26:BE26"/>
    <mergeCell ref="AE26:AF26"/>
    <mergeCell ref="AG26:AH26"/>
    <mergeCell ref="AI26:AJ26"/>
    <mergeCell ref="AK26:AL26"/>
    <mergeCell ref="AM26:AO26"/>
    <mergeCell ref="AX27:AY27"/>
    <mergeCell ref="BB27:BC27"/>
    <mergeCell ref="BD27:BE27"/>
    <mergeCell ref="BF27:BH27"/>
    <mergeCell ref="AG27:AH27"/>
    <mergeCell ref="AI27:AJ27"/>
    <mergeCell ref="AK27:AL27"/>
    <mergeCell ref="AM27:AO27"/>
    <mergeCell ref="AP27:AQ27"/>
    <mergeCell ref="AR27:AS27"/>
    <mergeCell ref="U27:V27"/>
    <mergeCell ref="W27:X27"/>
    <mergeCell ref="Y27:Z27"/>
    <mergeCell ref="AA27:AB27"/>
    <mergeCell ref="AC27:AD27"/>
    <mergeCell ref="AE27:AF27"/>
    <mergeCell ref="CJ26:CL26"/>
    <mergeCell ref="AP26:AQ26"/>
    <mergeCell ref="AR28:AS28"/>
    <mergeCell ref="AT28:AU28"/>
    <mergeCell ref="W28:X28"/>
    <mergeCell ref="Y28:Z28"/>
    <mergeCell ref="AA28:AB28"/>
    <mergeCell ref="AC28:AD28"/>
    <mergeCell ref="AE28:AF28"/>
    <mergeCell ref="AG28:AH28"/>
    <mergeCell ref="CM27:CN27"/>
    <mergeCell ref="CO27:CS27"/>
    <mergeCell ref="B28:C28"/>
    <mergeCell ref="D28:G28"/>
    <mergeCell ref="I28:J28"/>
    <mergeCell ref="K28:L28"/>
    <mergeCell ref="M28:N28"/>
    <mergeCell ref="O28:P28"/>
    <mergeCell ref="R28:T28"/>
    <mergeCell ref="U28:V28"/>
    <mergeCell ref="BV27:BX27"/>
    <mergeCell ref="BY27:BZ27"/>
    <mergeCell ref="CA27:CC27"/>
    <mergeCell ref="CD27:CF27"/>
    <mergeCell ref="CG27:CI27"/>
    <mergeCell ref="CJ27:CL27"/>
    <mergeCell ref="BI27:BJ27"/>
    <mergeCell ref="BK27:BL27"/>
    <mergeCell ref="BM27:BO27"/>
    <mergeCell ref="BP27:BQ27"/>
    <mergeCell ref="BR27:BS27"/>
    <mergeCell ref="BT27:BU27"/>
    <mergeCell ref="AT27:AU27"/>
    <mergeCell ref="AV27:AW27"/>
    <mergeCell ref="CO28:CS28"/>
    <mergeCell ref="B29:C29"/>
    <mergeCell ref="D29:G29"/>
    <mergeCell ref="I29:J29"/>
    <mergeCell ref="K29:L29"/>
    <mergeCell ref="M29:N29"/>
    <mergeCell ref="O29:P29"/>
    <mergeCell ref="R29:T29"/>
    <mergeCell ref="U29:V29"/>
    <mergeCell ref="W29:X29"/>
    <mergeCell ref="BY28:BZ28"/>
    <mergeCell ref="CA28:CC28"/>
    <mergeCell ref="CD28:CF28"/>
    <mergeCell ref="CG28:CI28"/>
    <mergeCell ref="CJ28:CL28"/>
    <mergeCell ref="CM28:CN28"/>
    <mergeCell ref="BK28:BL28"/>
    <mergeCell ref="BM28:BO28"/>
    <mergeCell ref="BP28:BQ28"/>
    <mergeCell ref="BR28:BS28"/>
    <mergeCell ref="BT28:BU28"/>
    <mergeCell ref="BV28:BX28"/>
    <mergeCell ref="AV28:AW28"/>
    <mergeCell ref="AX28:AY28"/>
    <mergeCell ref="BB28:BC28"/>
    <mergeCell ref="BD28:BE28"/>
    <mergeCell ref="BF28:BH28"/>
    <mergeCell ref="BI28:BJ28"/>
    <mergeCell ref="AI28:AJ28"/>
    <mergeCell ref="AK28:AL28"/>
    <mergeCell ref="AM28:AO28"/>
    <mergeCell ref="AP28:AQ28"/>
    <mergeCell ref="CA29:CC29"/>
    <mergeCell ref="CD29:CF29"/>
    <mergeCell ref="CG29:CI29"/>
    <mergeCell ref="Y29:Z29"/>
    <mergeCell ref="AA29:AB29"/>
    <mergeCell ref="AC29:AD29"/>
    <mergeCell ref="AE29:AF29"/>
    <mergeCell ref="AG29:AH29"/>
    <mergeCell ref="AI29:AJ29"/>
    <mergeCell ref="CJ29:CL29"/>
    <mergeCell ref="CM29:CN29"/>
    <mergeCell ref="CO29:CS29"/>
    <mergeCell ref="BM29:BO29"/>
    <mergeCell ref="BP29:BQ29"/>
    <mergeCell ref="BR29:BS29"/>
    <mergeCell ref="BT29:BU29"/>
    <mergeCell ref="BV29:BX29"/>
    <mergeCell ref="BY29:BZ29"/>
    <mergeCell ref="AX29:AY29"/>
    <mergeCell ref="BB29:BC29"/>
    <mergeCell ref="BD29:BE29"/>
    <mergeCell ref="BF29:BH29"/>
    <mergeCell ref="BI29:BJ29"/>
    <mergeCell ref="BK29:BL29"/>
    <mergeCell ref="AK29:AL29"/>
    <mergeCell ref="AM29:AO29"/>
    <mergeCell ref="AP29:AQ29"/>
    <mergeCell ref="AR29:AS29"/>
    <mergeCell ref="AT29:AU29"/>
    <mergeCell ref="AV29:AW29"/>
    <mergeCell ref="AV30:AW30"/>
    <mergeCell ref="AX30:AY30"/>
    <mergeCell ref="BB30:BC30"/>
    <mergeCell ref="BD30:BE30"/>
    <mergeCell ref="AE30:AF30"/>
    <mergeCell ref="AG30:AH30"/>
    <mergeCell ref="AI30:AJ30"/>
    <mergeCell ref="AK30:AL30"/>
    <mergeCell ref="AM30:AO30"/>
    <mergeCell ref="AP30:AQ30"/>
    <mergeCell ref="R30:T30"/>
    <mergeCell ref="U30:V30"/>
    <mergeCell ref="W30:X30"/>
    <mergeCell ref="Y30:Z30"/>
    <mergeCell ref="AA30:AB30"/>
    <mergeCell ref="AC30:AD30"/>
    <mergeCell ref="B30:C30"/>
    <mergeCell ref="D30:G30"/>
    <mergeCell ref="I30:J30"/>
    <mergeCell ref="K30:L30"/>
    <mergeCell ref="M30:N30"/>
    <mergeCell ref="O30:P30"/>
    <mergeCell ref="AP31:AQ31"/>
    <mergeCell ref="AR31:AS31"/>
    <mergeCell ref="U31:V31"/>
    <mergeCell ref="W31:X31"/>
    <mergeCell ref="Y31:Z31"/>
    <mergeCell ref="AA31:AB31"/>
    <mergeCell ref="AC31:AD31"/>
    <mergeCell ref="AE31:AF31"/>
    <mergeCell ref="CJ30:CL30"/>
    <mergeCell ref="CM30:CN30"/>
    <mergeCell ref="CO30:CS30"/>
    <mergeCell ref="B31:C31"/>
    <mergeCell ref="D31:G31"/>
    <mergeCell ref="I31:J31"/>
    <mergeCell ref="K31:L31"/>
    <mergeCell ref="M31:N31"/>
    <mergeCell ref="O31:P31"/>
    <mergeCell ref="R31:T31"/>
    <mergeCell ref="BT30:BU30"/>
    <mergeCell ref="BV30:BX30"/>
    <mergeCell ref="BY30:BZ30"/>
    <mergeCell ref="CA30:CC30"/>
    <mergeCell ref="CD30:CF30"/>
    <mergeCell ref="CG30:CI30"/>
    <mergeCell ref="BF30:BH30"/>
    <mergeCell ref="BI30:BJ30"/>
    <mergeCell ref="BK30:BL30"/>
    <mergeCell ref="BM30:BO30"/>
    <mergeCell ref="BP30:BQ30"/>
    <mergeCell ref="BR30:BS30"/>
    <mergeCell ref="AR30:AS30"/>
    <mergeCell ref="AT30:AU30"/>
    <mergeCell ref="CM31:CN31"/>
    <mergeCell ref="CO31:CS31"/>
    <mergeCell ref="B32:C32"/>
    <mergeCell ref="D32:G32"/>
    <mergeCell ref="I32:J32"/>
    <mergeCell ref="K32:L32"/>
    <mergeCell ref="M32:N32"/>
    <mergeCell ref="O32:P32"/>
    <mergeCell ref="R32:T32"/>
    <mergeCell ref="U32:V32"/>
    <mergeCell ref="BV31:BX31"/>
    <mergeCell ref="BY31:BZ31"/>
    <mergeCell ref="CA31:CC31"/>
    <mergeCell ref="CD31:CF31"/>
    <mergeCell ref="CG31:CI31"/>
    <mergeCell ref="CJ31:CL31"/>
    <mergeCell ref="BI31:BJ31"/>
    <mergeCell ref="BK31:BL31"/>
    <mergeCell ref="BM31:BO31"/>
    <mergeCell ref="BP31:BQ31"/>
    <mergeCell ref="BR31:BS31"/>
    <mergeCell ref="BT31:BU31"/>
    <mergeCell ref="AT31:AU31"/>
    <mergeCell ref="AV31:AW31"/>
    <mergeCell ref="AX31:AY31"/>
    <mergeCell ref="BB31:BC31"/>
    <mergeCell ref="BD31:BE31"/>
    <mergeCell ref="BF31:BH31"/>
    <mergeCell ref="AG31:AH31"/>
    <mergeCell ref="AI31:AJ31"/>
    <mergeCell ref="AK31:AL31"/>
    <mergeCell ref="AM31:AO31"/>
    <mergeCell ref="BT32:BU32"/>
    <mergeCell ref="BV32:BX32"/>
    <mergeCell ref="AV32:AW32"/>
    <mergeCell ref="AX32:AY32"/>
    <mergeCell ref="BB32:BC32"/>
    <mergeCell ref="BD32:BE32"/>
    <mergeCell ref="BF32:BH32"/>
    <mergeCell ref="BI32:BJ32"/>
    <mergeCell ref="AI32:AJ32"/>
    <mergeCell ref="AK32:AL32"/>
    <mergeCell ref="AM32:AO32"/>
    <mergeCell ref="AP32:AQ32"/>
    <mergeCell ref="AR32:AS32"/>
    <mergeCell ref="AT32:AU32"/>
    <mergeCell ref="W32:X32"/>
    <mergeCell ref="Y32:Z32"/>
    <mergeCell ref="AA32:AB32"/>
    <mergeCell ref="AC32:AD32"/>
    <mergeCell ref="AE32:AF32"/>
    <mergeCell ref="AG32:AH32"/>
    <mergeCell ref="AK33:AL33"/>
    <mergeCell ref="AM33:AO33"/>
    <mergeCell ref="AP33:AQ33"/>
    <mergeCell ref="AR33:AS33"/>
    <mergeCell ref="AT33:AU33"/>
    <mergeCell ref="AV33:AW33"/>
    <mergeCell ref="Y33:Z33"/>
    <mergeCell ref="AA33:AB33"/>
    <mergeCell ref="AC33:AD33"/>
    <mergeCell ref="AE33:AF33"/>
    <mergeCell ref="AG33:AH33"/>
    <mergeCell ref="AI33:AJ33"/>
    <mergeCell ref="CO32:CS32"/>
    <mergeCell ref="B33:C33"/>
    <mergeCell ref="D33:G33"/>
    <mergeCell ref="I33:J33"/>
    <mergeCell ref="K33:L33"/>
    <mergeCell ref="M33:N33"/>
    <mergeCell ref="O33:P33"/>
    <mergeCell ref="R33:T33"/>
    <mergeCell ref="U33:V33"/>
    <mergeCell ref="W33:X33"/>
    <mergeCell ref="BY32:BZ32"/>
    <mergeCell ref="CA32:CC32"/>
    <mergeCell ref="CD32:CF32"/>
    <mergeCell ref="CG32:CI32"/>
    <mergeCell ref="CJ32:CL32"/>
    <mergeCell ref="CM32:CN32"/>
    <mergeCell ref="BK32:BL32"/>
    <mergeCell ref="BM32:BO32"/>
    <mergeCell ref="BP32:BQ32"/>
    <mergeCell ref="BR32:BS32"/>
    <mergeCell ref="CA33:CC33"/>
    <mergeCell ref="CD33:CF33"/>
    <mergeCell ref="CG33:CI33"/>
    <mergeCell ref="CJ33:CL33"/>
    <mergeCell ref="CM33:CN33"/>
    <mergeCell ref="CO33:CS33"/>
    <mergeCell ref="BM33:BO33"/>
    <mergeCell ref="BP33:BQ33"/>
    <mergeCell ref="BR33:BS33"/>
    <mergeCell ref="BT33:BU33"/>
    <mergeCell ref="BV33:BX33"/>
    <mergeCell ref="BY33:BZ33"/>
    <mergeCell ref="AX33:AY33"/>
    <mergeCell ref="BB33:BC33"/>
    <mergeCell ref="BD33:BE33"/>
    <mergeCell ref="BF33:BH33"/>
    <mergeCell ref="BI33:BJ33"/>
    <mergeCell ref="BK33:BL33"/>
    <mergeCell ref="AE34:AF34"/>
    <mergeCell ref="AG34:AH34"/>
    <mergeCell ref="AI34:AJ34"/>
    <mergeCell ref="AK34:AL34"/>
    <mergeCell ref="AM34:AO34"/>
    <mergeCell ref="AP34:AQ34"/>
    <mergeCell ref="R34:T34"/>
    <mergeCell ref="U34:V34"/>
    <mergeCell ref="W34:X34"/>
    <mergeCell ref="Y34:Z34"/>
    <mergeCell ref="AA34:AB34"/>
    <mergeCell ref="AC34:AD34"/>
    <mergeCell ref="B34:C34"/>
    <mergeCell ref="D34:G34"/>
    <mergeCell ref="I34:J34"/>
    <mergeCell ref="K34:L34"/>
    <mergeCell ref="M34:N34"/>
    <mergeCell ref="O34:P34"/>
    <mergeCell ref="Y35:Z35"/>
    <mergeCell ref="AA35:AB35"/>
    <mergeCell ref="AC35:AD35"/>
    <mergeCell ref="AE35:AF35"/>
    <mergeCell ref="CJ34:CL34"/>
    <mergeCell ref="CM34:CN34"/>
    <mergeCell ref="CO34:CS34"/>
    <mergeCell ref="B35:C35"/>
    <mergeCell ref="D35:G35"/>
    <mergeCell ref="I35:J35"/>
    <mergeCell ref="K35:L35"/>
    <mergeCell ref="M35:N35"/>
    <mergeCell ref="O35:P35"/>
    <mergeCell ref="R35:T35"/>
    <mergeCell ref="BT34:BU34"/>
    <mergeCell ref="BV34:BX34"/>
    <mergeCell ref="BY34:BZ34"/>
    <mergeCell ref="CA34:CC34"/>
    <mergeCell ref="CD34:CF34"/>
    <mergeCell ref="CG34:CI34"/>
    <mergeCell ref="BF34:BH34"/>
    <mergeCell ref="BI34:BJ34"/>
    <mergeCell ref="BK34:BL34"/>
    <mergeCell ref="BM34:BO34"/>
    <mergeCell ref="BP34:BQ34"/>
    <mergeCell ref="BR34:BS34"/>
    <mergeCell ref="AR34:AS34"/>
    <mergeCell ref="AT34:AU34"/>
    <mergeCell ref="AV34:AW34"/>
    <mergeCell ref="AX34:AY34"/>
    <mergeCell ref="BB34:BC34"/>
    <mergeCell ref="BD34:BE34"/>
    <mergeCell ref="A1:CT1"/>
    <mergeCell ref="A2:CT2"/>
    <mergeCell ref="A3:CT3"/>
    <mergeCell ref="A4:CT4"/>
    <mergeCell ref="CM35:CN35"/>
    <mergeCell ref="CO35:CS35"/>
    <mergeCell ref="BV35:BX35"/>
    <mergeCell ref="BY35:BZ35"/>
    <mergeCell ref="CA35:CC35"/>
    <mergeCell ref="CD35:CF35"/>
    <mergeCell ref="CG35:CI35"/>
    <mergeCell ref="CJ35:CL35"/>
    <mergeCell ref="BI35:BJ35"/>
    <mergeCell ref="BK35:BL35"/>
    <mergeCell ref="BM35:BO35"/>
    <mergeCell ref="BP35:BQ35"/>
    <mergeCell ref="BR35:BS35"/>
    <mergeCell ref="BT35:BU35"/>
    <mergeCell ref="AT35:AU35"/>
    <mergeCell ref="AV35:AW35"/>
    <mergeCell ref="AX35:AY35"/>
    <mergeCell ref="BB35:BC35"/>
    <mergeCell ref="BD35:BE35"/>
    <mergeCell ref="BF35:BH35"/>
    <mergeCell ref="AG35:AH35"/>
    <mergeCell ref="AI35:AJ35"/>
    <mergeCell ref="AK35:AL35"/>
    <mergeCell ref="AM35:AO35"/>
    <mergeCell ref="AP35:AQ35"/>
    <mergeCell ref="AR35:AS35"/>
    <mergeCell ref="U35:V35"/>
    <mergeCell ref="W35:X35"/>
  </mergeCells>
  <pageMargins left="0.7" right="0.7" top="0.75" bottom="0.75" header="0.3" footer="0.3"/>
  <pageSetup paperSize="9" scale="4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7"/>
  <sheetViews>
    <sheetView view="pageBreakPreview" topLeftCell="A20" zoomScale="50" zoomScaleNormal="50" zoomScaleSheetLayoutView="50" workbookViewId="0">
      <selection activeCell="A4" sqref="A1:B4"/>
    </sheetView>
  </sheetViews>
  <sheetFormatPr defaultRowHeight="15"/>
  <cols>
    <col min="1" max="1" width="17" style="585" customWidth="1"/>
    <col min="2" max="2" width="94.6640625" style="585" bestFit="1" customWidth="1"/>
    <col min="3" max="53" width="9.33203125" style="585"/>
    <col min="54" max="54" width="18.5" style="585" bestFit="1" customWidth="1"/>
    <col min="55" max="16384" width="9.33203125" style="585"/>
  </cols>
  <sheetData>
    <row r="1" spans="1:54" ht="21">
      <c r="A1" s="1166" t="s">
        <v>724</v>
      </c>
      <c r="B1" s="1166"/>
    </row>
    <row r="2" spans="1:54" ht="21">
      <c r="A2" s="1166" t="s">
        <v>725</v>
      </c>
      <c r="B2" s="1166"/>
    </row>
    <row r="3" spans="1:54" ht="21">
      <c r="A3" s="1166" t="s">
        <v>726</v>
      </c>
      <c r="B3" s="1166"/>
    </row>
    <row r="4" spans="1:54" ht="17.25" customHeight="1">
      <c r="A4" s="1167"/>
      <c r="B4" s="1167"/>
    </row>
    <row r="5" spans="1:54" ht="17.25" customHeight="1">
      <c r="A5" s="1168"/>
      <c r="B5" s="1168"/>
    </row>
    <row r="6" spans="1:54" ht="142.5" customHeight="1">
      <c r="A6" s="574" t="s">
        <v>0</v>
      </c>
      <c r="B6" s="575" t="s">
        <v>727</v>
      </c>
      <c r="C6" s="603"/>
      <c r="D6" s="588"/>
      <c r="E6" s="588"/>
      <c r="F6" s="588"/>
      <c r="G6" s="588"/>
      <c r="H6" s="588"/>
      <c r="I6" s="588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8"/>
      <c r="AN6" s="588"/>
      <c r="AO6" s="588"/>
      <c r="AP6" s="588"/>
      <c r="AQ6" s="588"/>
      <c r="AR6" s="588"/>
      <c r="AS6" s="588"/>
      <c r="AT6" s="588"/>
      <c r="AU6" s="589"/>
      <c r="AV6" s="589"/>
    </row>
    <row r="7" spans="1:54" ht="29.25" thickBot="1">
      <c r="A7" s="586"/>
      <c r="B7" s="587"/>
      <c r="C7" s="590"/>
      <c r="D7" s="590"/>
      <c r="E7" s="590"/>
      <c r="F7" s="590"/>
      <c r="G7" s="590"/>
      <c r="H7" s="590"/>
      <c r="I7" s="590"/>
      <c r="J7" s="590"/>
      <c r="K7" s="590"/>
      <c r="L7" s="590"/>
      <c r="M7" s="590"/>
      <c r="N7" s="590"/>
      <c r="O7" s="590"/>
      <c r="P7" s="590"/>
      <c r="Q7" s="590"/>
      <c r="R7" s="590"/>
      <c r="S7" s="590"/>
      <c r="T7" s="590"/>
      <c r="U7" s="590"/>
      <c r="V7" s="590"/>
      <c r="W7" s="590"/>
      <c r="X7" s="590"/>
      <c r="Y7" s="590"/>
      <c r="Z7" s="590"/>
      <c r="AA7" s="590"/>
      <c r="AB7" s="590"/>
      <c r="AC7" s="590"/>
      <c r="AD7" s="590"/>
      <c r="AE7" s="590"/>
      <c r="AF7" s="590"/>
      <c r="AG7" s="590"/>
      <c r="AH7" s="590"/>
      <c r="AI7" s="590"/>
      <c r="AJ7" s="590"/>
      <c r="AK7" s="590"/>
      <c r="AL7" s="590"/>
      <c r="AM7" s="590"/>
      <c r="AN7" s="590"/>
      <c r="AO7" s="590"/>
      <c r="AP7" s="590"/>
      <c r="AQ7" s="590"/>
      <c r="AR7" s="590"/>
      <c r="AS7" s="590"/>
      <c r="AT7" s="590"/>
      <c r="AU7" s="590"/>
      <c r="AV7" s="590"/>
    </row>
    <row r="8" spans="1:54" ht="86.25" customHeight="1" thickBot="1">
      <c r="A8" s="586"/>
      <c r="B8" s="587"/>
      <c r="C8" s="590"/>
      <c r="D8" s="590"/>
      <c r="E8" s="590"/>
      <c r="F8" s="590"/>
      <c r="G8" s="590"/>
      <c r="H8" s="590"/>
      <c r="I8" s="590"/>
      <c r="J8" s="590"/>
      <c r="K8" s="590"/>
      <c r="L8" s="590"/>
      <c r="M8" s="590"/>
      <c r="N8" s="590"/>
      <c r="O8" s="590"/>
      <c r="P8" s="590"/>
      <c r="Q8" s="590"/>
      <c r="R8" s="590"/>
      <c r="S8" s="590"/>
      <c r="T8" s="590"/>
      <c r="U8" s="590"/>
      <c r="V8" s="590"/>
      <c r="W8" s="590"/>
      <c r="X8" s="590"/>
      <c r="Y8" s="590"/>
      <c r="Z8" s="590"/>
      <c r="AA8" s="590"/>
      <c r="AB8" s="590"/>
      <c r="AC8" s="590"/>
      <c r="AD8" s="590"/>
      <c r="AE8" s="590"/>
      <c r="AF8" s="590"/>
      <c r="AG8" s="590"/>
      <c r="AH8" s="590"/>
      <c r="AI8" s="590"/>
      <c r="AJ8" s="590"/>
      <c r="AK8" s="590"/>
      <c r="AL8" s="590"/>
      <c r="AM8" s="590"/>
      <c r="AN8" s="590"/>
      <c r="AO8" s="590"/>
      <c r="AP8" s="590"/>
      <c r="AQ8" s="590"/>
      <c r="AR8" s="590"/>
      <c r="AS8" s="590"/>
      <c r="AT8" s="590"/>
      <c r="AU8" s="590"/>
      <c r="AV8" s="590"/>
      <c r="BB8" s="591" t="s">
        <v>728</v>
      </c>
    </row>
    <row r="9" spans="1:54" ht="28.5">
      <c r="A9" s="586"/>
      <c r="B9" s="574" t="s">
        <v>599</v>
      </c>
      <c r="BB9" s="592"/>
    </row>
    <row r="10" spans="1:54" ht="57">
      <c r="A10" s="576">
        <v>1</v>
      </c>
      <c r="B10" s="577" t="s">
        <v>729</v>
      </c>
      <c r="BB10" s="593"/>
    </row>
    <row r="11" spans="1:54" ht="31.5">
      <c r="A11" s="576">
        <v>2</v>
      </c>
      <c r="B11" s="578" t="s">
        <v>730</v>
      </c>
      <c r="BB11" s="593" t="s">
        <v>731</v>
      </c>
    </row>
    <row r="12" spans="1:54" ht="47.25">
      <c r="A12" s="576">
        <v>3</v>
      </c>
      <c r="B12" s="577" t="s">
        <v>732</v>
      </c>
      <c r="BB12" s="593" t="s">
        <v>733</v>
      </c>
    </row>
    <row r="13" spans="1:54" ht="31.5">
      <c r="A13" s="576">
        <v>4</v>
      </c>
      <c r="B13" s="578" t="s">
        <v>734</v>
      </c>
      <c r="BB13" s="594" t="s">
        <v>735</v>
      </c>
    </row>
    <row r="14" spans="1:54" ht="31.5">
      <c r="A14" s="576">
        <v>5</v>
      </c>
      <c r="B14" s="579" t="s">
        <v>736</v>
      </c>
      <c r="BB14" s="594" t="s">
        <v>737</v>
      </c>
    </row>
    <row r="15" spans="1:54" ht="31.5">
      <c r="A15" s="576">
        <v>6</v>
      </c>
      <c r="B15" s="579" t="s">
        <v>738</v>
      </c>
      <c r="BB15" s="594" t="s">
        <v>739</v>
      </c>
    </row>
    <row r="16" spans="1:54" ht="28.5">
      <c r="A16" s="576"/>
      <c r="B16" s="582" t="s">
        <v>421</v>
      </c>
      <c r="BB16" s="594"/>
    </row>
    <row r="17" spans="1:54" ht="28.5">
      <c r="A17" s="576"/>
      <c r="B17" s="582" t="s">
        <v>579</v>
      </c>
      <c r="BB17" s="594"/>
    </row>
    <row r="18" spans="1:54" ht="47.25">
      <c r="A18" s="576">
        <v>7</v>
      </c>
      <c r="B18" s="579" t="s">
        <v>740</v>
      </c>
      <c r="BB18" s="594" t="s">
        <v>741</v>
      </c>
    </row>
    <row r="19" spans="1:54" ht="28.5">
      <c r="A19" s="576">
        <v>8</v>
      </c>
      <c r="B19" s="580" t="s">
        <v>742</v>
      </c>
      <c r="BB19" s="594" t="s">
        <v>743</v>
      </c>
    </row>
    <row r="20" spans="1:54" ht="31.5">
      <c r="A20" s="576">
        <v>9</v>
      </c>
      <c r="B20" s="581" t="s">
        <v>744</v>
      </c>
      <c r="BB20" s="594" t="s">
        <v>745</v>
      </c>
    </row>
    <row r="21" spans="1:54" ht="31.5">
      <c r="A21" s="576">
        <v>10</v>
      </c>
      <c r="B21" s="580" t="s">
        <v>746</v>
      </c>
      <c r="BB21" s="594" t="s">
        <v>747</v>
      </c>
    </row>
    <row r="22" spans="1:54" ht="57">
      <c r="A22" s="576">
        <v>11</v>
      </c>
      <c r="B22" s="581" t="s">
        <v>748</v>
      </c>
      <c r="BB22" s="594" t="s">
        <v>749</v>
      </c>
    </row>
    <row r="23" spans="1:54" ht="28.5">
      <c r="A23" s="576">
        <v>12</v>
      </c>
      <c r="B23" s="583" t="s">
        <v>278</v>
      </c>
      <c r="BB23" s="594" t="s">
        <v>750</v>
      </c>
    </row>
    <row r="24" spans="1:54" ht="57">
      <c r="A24" s="576">
        <v>13</v>
      </c>
      <c r="B24" s="581" t="s">
        <v>751</v>
      </c>
      <c r="BB24" s="594" t="s">
        <v>752</v>
      </c>
    </row>
    <row r="25" spans="1:54" ht="57">
      <c r="A25" s="576">
        <v>14</v>
      </c>
      <c r="B25" s="584" t="s">
        <v>753</v>
      </c>
      <c r="BB25" s="594" t="s">
        <v>754</v>
      </c>
    </row>
    <row r="26" spans="1:54" ht="28.5">
      <c r="A26" s="576"/>
      <c r="B26" s="595" t="s">
        <v>421</v>
      </c>
      <c r="BB26" s="594"/>
    </row>
    <row r="27" spans="1:54" ht="28.5">
      <c r="A27" s="576"/>
      <c r="B27" s="596" t="s">
        <v>589</v>
      </c>
      <c r="BB27" s="594"/>
    </row>
    <row r="28" spans="1:54" ht="63">
      <c r="A28" s="576">
        <v>15</v>
      </c>
      <c r="B28" s="577" t="s">
        <v>729</v>
      </c>
      <c r="BB28" s="594" t="s">
        <v>755</v>
      </c>
    </row>
    <row r="29" spans="1:54" ht="28.5">
      <c r="A29" s="576">
        <v>16</v>
      </c>
      <c r="B29" s="578" t="s">
        <v>730</v>
      </c>
      <c r="BB29" s="594" t="s">
        <v>756</v>
      </c>
    </row>
    <row r="30" spans="1:54" ht="28.5">
      <c r="A30" s="576">
        <v>17</v>
      </c>
      <c r="B30" s="577" t="s">
        <v>732</v>
      </c>
      <c r="BB30" s="594" t="s">
        <v>757</v>
      </c>
    </row>
    <row r="31" spans="1:54" ht="28.5">
      <c r="A31" s="576">
        <v>18</v>
      </c>
      <c r="B31" s="578" t="s">
        <v>734</v>
      </c>
      <c r="BB31" s="594" t="s">
        <v>758</v>
      </c>
    </row>
    <row r="32" spans="1:54" ht="47.25">
      <c r="A32" s="576">
        <v>19</v>
      </c>
      <c r="B32" s="579" t="s">
        <v>736</v>
      </c>
      <c r="BB32" s="594" t="s">
        <v>759</v>
      </c>
    </row>
    <row r="33" spans="1:54" ht="47.25">
      <c r="A33" s="576">
        <v>20</v>
      </c>
      <c r="B33" s="579" t="s">
        <v>738</v>
      </c>
      <c r="BB33" s="594" t="s">
        <v>760</v>
      </c>
    </row>
    <row r="34" spans="1:54" ht="31.5">
      <c r="A34" s="576"/>
      <c r="B34" s="579" t="s">
        <v>421</v>
      </c>
      <c r="BB34" s="594" t="s">
        <v>761</v>
      </c>
    </row>
    <row r="35" spans="1:54" ht="28.5">
      <c r="A35" s="576"/>
      <c r="B35" s="579" t="s">
        <v>25</v>
      </c>
      <c r="BB35" s="594" t="s">
        <v>762</v>
      </c>
    </row>
    <row r="36" spans="1:54" ht="81.75" customHeight="1">
      <c r="A36" s="597">
        <f>COUNTA(A10:A33)</f>
        <v>20</v>
      </c>
      <c r="B36" s="598"/>
      <c r="BB36" s="594" t="s">
        <v>763</v>
      </c>
    </row>
    <row r="37" spans="1:54" ht="31.5">
      <c r="A37" s="597"/>
      <c r="B37" s="599"/>
      <c r="BB37" s="594" t="s">
        <v>764</v>
      </c>
    </row>
    <row r="38" spans="1:54" ht="15.75">
      <c r="A38" s="597"/>
      <c r="B38" s="598"/>
      <c r="BB38" s="594" t="s">
        <v>765</v>
      </c>
    </row>
    <row r="39" spans="1:54" ht="31.5">
      <c r="A39" s="597"/>
      <c r="B39" s="599"/>
      <c r="BB39" s="594" t="s">
        <v>766</v>
      </c>
    </row>
    <row r="40" spans="1:54" ht="31.5">
      <c r="A40" s="597"/>
      <c r="B40" s="600"/>
      <c r="BB40" s="594" t="s">
        <v>767</v>
      </c>
    </row>
    <row r="41" spans="1:54" ht="47.25">
      <c r="A41" s="597"/>
      <c r="B41" s="599"/>
      <c r="BB41" s="594" t="s">
        <v>768</v>
      </c>
    </row>
    <row r="42" spans="1:54" ht="15.75">
      <c r="A42" s="597"/>
      <c r="B42" s="601"/>
      <c r="BB42" s="594" t="s">
        <v>769</v>
      </c>
    </row>
    <row r="43" spans="1:54" ht="15.75">
      <c r="A43" s="602"/>
      <c r="B43" s="602"/>
      <c r="BB43" s="594" t="s">
        <v>770</v>
      </c>
    </row>
    <row r="44" spans="1:54" ht="15.75">
      <c r="A44" s="602"/>
      <c r="B44" s="602"/>
      <c r="BB44" s="594" t="s">
        <v>771</v>
      </c>
    </row>
    <row r="45" spans="1:54" ht="15.75">
      <c r="A45" s="602"/>
      <c r="B45" s="602"/>
      <c r="BB45" s="594" t="s">
        <v>772</v>
      </c>
    </row>
    <row r="46" spans="1:54" ht="15.75">
      <c r="A46" s="602"/>
      <c r="B46" s="602"/>
      <c r="BB46" s="594" t="s">
        <v>773</v>
      </c>
    </row>
    <row r="47" spans="1:54" ht="63">
      <c r="BB47" s="594" t="s">
        <v>774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scale="30" orientation="landscape" r:id="rId1"/>
  <rowBreaks count="1" manualBreakCount="1">
    <brk id="35" max="1" man="1"/>
  </rowBreaks>
  <colBreaks count="1" manualBreakCount="1">
    <brk id="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60"/>
  <sheetViews>
    <sheetView view="pageBreakPreview" topLeftCell="A19" zoomScale="60" workbookViewId="0">
      <selection activeCell="DD57" sqref="A1:DD57"/>
    </sheetView>
  </sheetViews>
  <sheetFormatPr defaultRowHeight="12.75"/>
  <cols>
    <col min="2" max="4" width="9.33203125" style="41"/>
    <col min="5" max="5" width="81.6640625" style="41" customWidth="1"/>
    <col min="6" max="84" width="0" hidden="1" customWidth="1"/>
    <col min="85" max="85" width="8.5" hidden="1" customWidth="1"/>
    <col min="91" max="91" width="21.5" customWidth="1"/>
    <col min="92" max="92" width="22.6640625" customWidth="1"/>
    <col min="93" max="93" width="0.5" hidden="1" customWidth="1"/>
    <col min="94" max="102" width="0" hidden="1" customWidth="1"/>
    <col min="103" max="103" width="4" hidden="1" customWidth="1"/>
    <col min="104" max="104" width="5.6640625" hidden="1" customWidth="1"/>
    <col min="105" max="106" width="0" hidden="1" customWidth="1"/>
    <col min="107" max="107" width="0" style="3" hidden="1" customWidth="1"/>
    <col min="108" max="108" width="53.6640625" customWidth="1"/>
  </cols>
  <sheetData>
    <row r="1" spans="1:108" s="51" customFormat="1" ht="33">
      <c r="A1" s="1037" t="s">
        <v>409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  <c r="N1" s="1038"/>
      <c r="O1" s="1038"/>
      <c r="P1" s="1038"/>
      <c r="Q1" s="1038"/>
      <c r="R1" s="1038"/>
      <c r="S1" s="1038"/>
      <c r="T1" s="1038"/>
      <c r="U1" s="1038"/>
      <c r="V1" s="1038"/>
      <c r="W1" s="1038"/>
      <c r="X1" s="1038"/>
      <c r="Y1" s="1038"/>
      <c r="Z1" s="1038"/>
      <c r="AA1" s="1038"/>
      <c r="AB1" s="1038"/>
      <c r="AC1" s="1038"/>
      <c r="AD1" s="1038"/>
      <c r="AE1" s="1038"/>
      <c r="AF1" s="1038"/>
      <c r="AG1" s="1038"/>
      <c r="AH1" s="1038"/>
      <c r="AI1" s="1038"/>
      <c r="AJ1" s="1038"/>
      <c r="AK1" s="1038"/>
      <c r="AL1" s="1038"/>
      <c r="AM1" s="1038"/>
      <c r="AN1" s="1038"/>
      <c r="AO1" s="1038"/>
      <c r="AP1" s="1038"/>
      <c r="AQ1" s="1038"/>
      <c r="AR1" s="1038"/>
      <c r="AS1" s="1038"/>
      <c r="AT1" s="1038"/>
      <c r="AU1" s="1038"/>
      <c r="AV1" s="1038"/>
      <c r="AW1" s="1038"/>
      <c r="AX1" s="1038"/>
      <c r="AY1" s="1038"/>
      <c r="AZ1" s="1038"/>
      <c r="BA1" s="1038"/>
      <c r="BB1" s="1038"/>
      <c r="BC1" s="1038"/>
      <c r="BD1" s="1038"/>
      <c r="BE1" s="1038"/>
      <c r="BF1" s="1038"/>
      <c r="BG1" s="1038"/>
      <c r="BH1" s="1038"/>
      <c r="BI1" s="1038"/>
      <c r="BJ1" s="1038"/>
      <c r="BK1" s="1038"/>
      <c r="BL1" s="1038"/>
      <c r="BM1" s="1038"/>
      <c r="BN1" s="1038"/>
      <c r="BO1" s="1038"/>
      <c r="BP1" s="1038"/>
      <c r="BQ1" s="1038"/>
      <c r="BR1" s="1038"/>
      <c r="BS1" s="1038"/>
      <c r="BT1" s="1038"/>
      <c r="BU1" s="1038"/>
      <c r="BV1" s="1038"/>
      <c r="BW1" s="1038"/>
      <c r="BX1" s="1038"/>
      <c r="BY1" s="1038"/>
      <c r="BZ1" s="1038"/>
      <c r="CA1" s="1038"/>
      <c r="CB1" s="1038"/>
      <c r="CC1" s="1038"/>
      <c r="CD1" s="1038"/>
      <c r="CE1" s="1038"/>
      <c r="CF1" s="1038"/>
      <c r="CG1" s="1038"/>
      <c r="CH1" s="1038"/>
      <c r="CI1" s="1038"/>
      <c r="CJ1" s="1038"/>
      <c r="CK1" s="1038"/>
      <c r="CL1" s="1038"/>
      <c r="CM1" s="1038"/>
      <c r="CN1" s="1038"/>
      <c r="CO1" s="1038"/>
      <c r="CP1" s="1038"/>
      <c r="CQ1" s="1038"/>
      <c r="CR1" s="1038"/>
      <c r="CS1" s="1038"/>
      <c r="CT1" s="1038"/>
      <c r="CU1" s="1038"/>
      <c r="CV1" s="1038"/>
      <c r="CW1" s="1038"/>
      <c r="CX1" s="1038"/>
      <c r="CY1" s="1038"/>
      <c r="CZ1" s="1038"/>
      <c r="DA1" s="1038"/>
      <c r="DB1" s="1038"/>
      <c r="DC1" s="1038"/>
      <c r="DD1" s="1039"/>
    </row>
    <row r="2" spans="1:108" s="51" customFormat="1" ht="33" customHeight="1">
      <c r="A2" s="1040" t="s">
        <v>522</v>
      </c>
      <c r="B2" s="803"/>
      <c r="C2" s="803"/>
      <c r="D2" s="803"/>
      <c r="E2" s="803"/>
      <c r="F2" s="803"/>
      <c r="G2" s="803"/>
      <c r="H2" s="803"/>
      <c r="I2" s="803"/>
      <c r="J2" s="803"/>
      <c r="K2" s="803"/>
      <c r="L2" s="803"/>
      <c r="M2" s="803"/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803"/>
      <c r="AC2" s="803"/>
      <c r="AD2" s="803"/>
      <c r="AE2" s="803"/>
      <c r="AF2" s="803"/>
      <c r="AG2" s="803"/>
      <c r="AH2" s="803"/>
      <c r="AI2" s="803"/>
      <c r="AJ2" s="803"/>
      <c r="AK2" s="803"/>
      <c r="AL2" s="803"/>
      <c r="AM2" s="803"/>
      <c r="AN2" s="803"/>
      <c r="AO2" s="803"/>
      <c r="AP2" s="803"/>
      <c r="AQ2" s="803"/>
      <c r="AR2" s="803"/>
      <c r="AS2" s="803"/>
      <c r="AT2" s="803"/>
      <c r="AU2" s="803"/>
      <c r="AV2" s="803"/>
      <c r="AW2" s="803"/>
      <c r="AX2" s="803"/>
      <c r="AY2" s="803"/>
      <c r="AZ2" s="803"/>
      <c r="BA2" s="803"/>
      <c r="BB2" s="803"/>
      <c r="BC2" s="803"/>
      <c r="BD2" s="803"/>
      <c r="BE2" s="803"/>
      <c r="BF2" s="803"/>
      <c r="BG2" s="803"/>
      <c r="BH2" s="803"/>
      <c r="BI2" s="803"/>
      <c r="BJ2" s="803"/>
      <c r="BK2" s="803"/>
      <c r="BL2" s="803"/>
      <c r="BM2" s="803"/>
      <c r="BN2" s="803"/>
      <c r="BO2" s="803"/>
      <c r="BP2" s="803"/>
      <c r="BQ2" s="803"/>
      <c r="BR2" s="803"/>
      <c r="BS2" s="803"/>
      <c r="BT2" s="803"/>
      <c r="BU2" s="803"/>
      <c r="BV2" s="803"/>
      <c r="BW2" s="803"/>
      <c r="BX2" s="803"/>
      <c r="BY2" s="803"/>
      <c r="BZ2" s="803"/>
      <c r="CA2" s="803"/>
      <c r="CB2" s="803"/>
      <c r="CC2" s="803"/>
      <c r="CD2" s="803"/>
      <c r="CE2" s="803"/>
      <c r="CF2" s="803"/>
      <c r="CG2" s="803"/>
      <c r="CH2" s="803"/>
      <c r="CI2" s="803"/>
      <c r="CJ2" s="803"/>
      <c r="CK2" s="803"/>
      <c r="CL2" s="803"/>
      <c r="CM2" s="803"/>
      <c r="CN2" s="803"/>
      <c r="CO2" s="803"/>
      <c r="CP2" s="803"/>
      <c r="CQ2" s="803"/>
      <c r="CR2" s="803"/>
      <c r="CS2" s="803"/>
      <c r="CT2" s="803"/>
      <c r="CU2" s="803"/>
      <c r="CV2" s="803"/>
      <c r="CW2" s="803"/>
      <c r="CX2" s="803"/>
      <c r="CY2" s="803"/>
      <c r="CZ2" s="803"/>
      <c r="DA2" s="803"/>
      <c r="DB2" s="803"/>
      <c r="DC2" s="803"/>
      <c r="DD2" s="1173"/>
    </row>
    <row r="3" spans="1:108" s="51" customFormat="1" ht="33" customHeight="1">
      <c r="A3" s="1040" t="s">
        <v>523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803"/>
      <c r="O3" s="803"/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03"/>
      <c r="AB3" s="803"/>
      <c r="AC3" s="803"/>
      <c r="AD3" s="803"/>
      <c r="AE3" s="803"/>
      <c r="AF3" s="803"/>
      <c r="AG3" s="803"/>
      <c r="AH3" s="803"/>
      <c r="AI3" s="803"/>
      <c r="AJ3" s="803"/>
      <c r="AK3" s="803"/>
      <c r="AL3" s="803"/>
      <c r="AM3" s="803"/>
      <c r="AN3" s="803"/>
      <c r="AO3" s="803"/>
      <c r="AP3" s="803"/>
      <c r="AQ3" s="803"/>
      <c r="AR3" s="803"/>
      <c r="AS3" s="803"/>
      <c r="AT3" s="803"/>
      <c r="AU3" s="803"/>
      <c r="AV3" s="803"/>
      <c r="AW3" s="803"/>
      <c r="AX3" s="803"/>
      <c r="AY3" s="803"/>
      <c r="AZ3" s="803"/>
      <c r="BA3" s="803"/>
      <c r="BB3" s="803"/>
      <c r="BC3" s="803"/>
      <c r="BD3" s="803"/>
      <c r="BE3" s="803"/>
      <c r="BF3" s="803"/>
      <c r="BG3" s="803"/>
      <c r="BH3" s="803"/>
      <c r="BI3" s="803"/>
      <c r="BJ3" s="803"/>
      <c r="BK3" s="803"/>
      <c r="BL3" s="803"/>
      <c r="BM3" s="803"/>
      <c r="BN3" s="803"/>
      <c r="BO3" s="803"/>
      <c r="BP3" s="803"/>
      <c r="BQ3" s="803"/>
      <c r="BR3" s="803"/>
      <c r="BS3" s="803"/>
      <c r="BT3" s="803"/>
      <c r="BU3" s="803"/>
      <c r="BV3" s="803"/>
      <c r="BW3" s="803"/>
      <c r="BX3" s="803"/>
      <c r="BY3" s="803"/>
      <c r="BZ3" s="803"/>
      <c r="CA3" s="803"/>
      <c r="CB3" s="803"/>
      <c r="CC3" s="803"/>
      <c r="CD3" s="803"/>
      <c r="CE3" s="803"/>
      <c r="CF3" s="803"/>
      <c r="CG3" s="803"/>
      <c r="CH3" s="803"/>
      <c r="CI3" s="803"/>
      <c r="CJ3" s="803"/>
      <c r="CK3" s="803"/>
      <c r="CL3" s="803"/>
      <c r="CM3" s="803"/>
      <c r="CN3" s="803"/>
      <c r="CO3" s="803"/>
      <c r="CP3" s="803"/>
      <c r="CQ3" s="803"/>
      <c r="CR3" s="803"/>
      <c r="CS3" s="803"/>
      <c r="CT3" s="803"/>
      <c r="CU3" s="803"/>
      <c r="CV3" s="803"/>
      <c r="CW3" s="803"/>
      <c r="CX3" s="803"/>
      <c r="CY3" s="803"/>
      <c r="CZ3" s="803"/>
      <c r="DA3" s="803"/>
      <c r="DB3" s="803"/>
      <c r="DC3" s="803"/>
      <c r="DD3" s="1173"/>
    </row>
    <row r="4" spans="1:108" s="51" customFormat="1" ht="33.75" thickBot="1">
      <c r="A4" s="1174" t="s">
        <v>20</v>
      </c>
      <c r="B4" s="1175"/>
      <c r="C4" s="1175"/>
      <c r="D4" s="1175"/>
      <c r="E4" s="1175"/>
      <c r="F4" s="1175"/>
      <c r="G4" s="1175"/>
      <c r="H4" s="1175"/>
      <c r="I4" s="1175"/>
      <c r="J4" s="1175"/>
      <c r="K4" s="1175"/>
      <c r="L4" s="1175"/>
      <c r="M4" s="1175"/>
      <c r="N4" s="1175"/>
      <c r="O4" s="1175"/>
      <c r="P4" s="1175"/>
      <c r="Q4" s="1175"/>
      <c r="R4" s="1175"/>
      <c r="S4" s="1175"/>
      <c r="T4" s="1175"/>
      <c r="U4" s="1175"/>
      <c r="V4" s="1175"/>
      <c r="W4" s="1175"/>
      <c r="X4" s="1175"/>
      <c r="Y4" s="1175"/>
      <c r="Z4" s="1175"/>
      <c r="AA4" s="1175"/>
      <c r="AB4" s="1175"/>
      <c r="AC4" s="1175"/>
      <c r="AD4" s="1175"/>
      <c r="AE4" s="1175"/>
      <c r="AF4" s="1175"/>
      <c r="AG4" s="1175"/>
      <c r="AH4" s="1175"/>
      <c r="AI4" s="1175"/>
      <c r="AJ4" s="1175"/>
      <c r="AK4" s="1175"/>
      <c r="AL4" s="1175"/>
      <c r="AM4" s="1175"/>
      <c r="AN4" s="1175"/>
      <c r="AO4" s="1175"/>
      <c r="AP4" s="1175"/>
      <c r="AQ4" s="1175"/>
      <c r="AR4" s="1175"/>
      <c r="AS4" s="1175"/>
      <c r="AT4" s="1175"/>
      <c r="AU4" s="1175"/>
      <c r="AV4" s="1175"/>
      <c r="AW4" s="1175"/>
      <c r="AX4" s="1175"/>
      <c r="AY4" s="1175"/>
      <c r="AZ4" s="1175"/>
      <c r="BA4" s="1175"/>
      <c r="BB4" s="1175"/>
      <c r="BC4" s="1175"/>
      <c r="BD4" s="1175"/>
      <c r="BE4" s="1175"/>
      <c r="BF4" s="1175"/>
      <c r="BG4" s="1175"/>
      <c r="BH4" s="1175"/>
      <c r="BI4" s="1175"/>
      <c r="BJ4" s="1175"/>
      <c r="BK4" s="1175"/>
      <c r="BL4" s="1175"/>
      <c r="BM4" s="1175"/>
      <c r="BN4" s="1175"/>
      <c r="BO4" s="1175"/>
      <c r="BP4" s="1175"/>
      <c r="BQ4" s="1175"/>
      <c r="BR4" s="1175"/>
      <c r="BS4" s="1175"/>
      <c r="BT4" s="1175"/>
      <c r="BU4" s="1175"/>
      <c r="BV4" s="1175"/>
      <c r="BW4" s="1175"/>
      <c r="BX4" s="1175"/>
      <c r="BY4" s="1175"/>
      <c r="BZ4" s="1175"/>
      <c r="CA4" s="1175"/>
      <c r="CB4" s="1175"/>
      <c r="CC4" s="1175"/>
      <c r="CD4" s="1175"/>
      <c r="CE4" s="1175"/>
      <c r="CF4" s="1175"/>
      <c r="CG4" s="1175"/>
      <c r="CH4" s="1175"/>
      <c r="CI4" s="1175"/>
      <c r="CJ4" s="1175"/>
      <c r="CK4" s="1175"/>
      <c r="CL4" s="1175"/>
      <c r="CM4" s="1175"/>
      <c r="CN4" s="1175"/>
      <c r="CO4" s="1175"/>
      <c r="CP4" s="1175"/>
      <c r="CQ4" s="1175"/>
      <c r="CR4" s="1175"/>
      <c r="CS4" s="1175"/>
      <c r="CT4" s="1175"/>
      <c r="CU4" s="1175"/>
      <c r="CV4" s="1175"/>
      <c r="CW4" s="1175"/>
      <c r="CX4" s="1175"/>
      <c r="CY4" s="1175"/>
      <c r="CZ4" s="1175"/>
      <c r="DA4" s="1175"/>
      <c r="DB4" s="1175"/>
      <c r="DC4" s="1175"/>
      <c r="DD4" s="1176"/>
    </row>
    <row r="5" spans="1:108" s="1" customFormat="1" ht="15.75" customHeight="1">
      <c r="A5" s="1232" t="s">
        <v>0</v>
      </c>
      <c r="B5" s="1234" t="s">
        <v>517</v>
      </c>
      <c r="C5" s="1235"/>
      <c r="D5" s="1235"/>
      <c r="E5" s="1236"/>
      <c r="F5" s="1240" t="s">
        <v>29</v>
      </c>
      <c r="G5" s="1241"/>
      <c r="H5" s="1242"/>
      <c r="I5" s="1240" t="s">
        <v>30</v>
      </c>
      <c r="J5" s="1242"/>
      <c r="K5" s="1246" t="s">
        <v>1</v>
      </c>
      <c r="L5" s="1247"/>
      <c r="M5" s="1247"/>
      <c r="N5" s="1247"/>
      <c r="O5" s="1247"/>
      <c r="P5" s="1247"/>
      <c r="Q5" s="1247"/>
      <c r="R5" s="1248"/>
      <c r="S5" s="1246" t="s">
        <v>2</v>
      </c>
      <c r="T5" s="1247"/>
      <c r="U5" s="1247"/>
      <c r="V5" s="1247"/>
      <c r="W5" s="1247"/>
      <c r="X5" s="1247"/>
      <c r="Y5" s="1247"/>
      <c r="Z5" s="1247"/>
      <c r="AA5" s="1247"/>
      <c r="AB5" s="1248"/>
      <c r="AC5" s="1246" t="s">
        <v>3</v>
      </c>
      <c r="AD5" s="1247"/>
      <c r="AE5" s="1247"/>
      <c r="AF5" s="1247"/>
      <c r="AG5" s="1247"/>
      <c r="AH5" s="1247"/>
      <c r="AI5" s="1247"/>
      <c r="AJ5" s="1248"/>
      <c r="AK5" s="1249" t="s">
        <v>31</v>
      </c>
      <c r="AL5" s="1250"/>
      <c r="AM5" s="1250"/>
      <c r="AN5" s="1250"/>
      <c r="AO5" s="1250"/>
      <c r="AP5" s="1250"/>
      <c r="AQ5" s="1250"/>
      <c r="AR5" s="1250"/>
      <c r="AS5" s="1250"/>
      <c r="AT5" s="1250"/>
      <c r="AU5" s="1251"/>
      <c r="AV5" s="1246" t="s">
        <v>4</v>
      </c>
      <c r="AW5" s="1247"/>
      <c r="AX5" s="1247"/>
      <c r="AY5" s="1247"/>
      <c r="AZ5" s="1247"/>
      <c r="BA5" s="1247"/>
      <c r="BB5" s="1248"/>
      <c r="BC5" s="1246" t="s">
        <v>5</v>
      </c>
      <c r="BD5" s="1247"/>
      <c r="BE5" s="1247"/>
      <c r="BF5" s="1247"/>
      <c r="BG5" s="1247"/>
      <c r="BH5" s="1247"/>
      <c r="BI5" s="1247"/>
      <c r="BJ5" s="1247"/>
      <c r="BK5" s="1247"/>
      <c r="BL5" s="1248"/>
      <c r="BM5" s="1246" t="s">
        <v>6</v>
      </c>
      <c r="BN5" s="1247"/>
      <c r="BO5" s="1247"/>
      <c r="BP5" s="1247"/>
      <c r="BQ5" s="1247"/>
      <c r="BR5" s="1247"/>
      <c r="BS5" s="1247"/>
      <c r="BT5" s="1248"/>
      <c r="BU5" s="1257" t="s">
        <v>32</v>
      </c>
      <c r="BV5" s="1258"/>
      <c r="BW5" s="1258"/>
      <c r="BX5" s="1258"/>
      <c r="BY5" s="1258"/>
      <c r="BZ5" s="1258"/>
      <c r="CA5" s="1258"/>
      <c r="CB5" s="1258"/>
      <c r="CC5" s="1258"/>
      <c r="CD5" s="1259"/>
      <c r="CE5" s="1260" t="s">
        <v>418</v>
      </c>
      <c r="CF5" s="1261"/>
      <c r="CG5" s="1261"/>
      <c r="CH5" s="1261"/>
      <c r="CI5" s="1261"/>
      <c r="CJ5" s="1261"/>
      <c r="CK5" s="1261"/>
      <c r="CL5" s="1261"/>
      <c r="CM5" s="1261"/>
      <c r="CN5" s="1261"/>
      <c r="CO5" s="1262"/>
      <c r="CP5" s="1249" t="s">
        <v>7</v>
      </c>
      <c r="CQ5" s="1250"/>
      <c r="CR5" s="1250"/>
      <c r="CS5" s="1250"/>
      <c r="CT5" s="1250"/>
      <c r="CU5" s="1250"/>
      <c r="CV5" s="1251"/>
      <c r="CW5" s="1252" t="s">
        <v>33</v>
      </c>
      <c r="CX5" s="1253"/>
      <c r="CY5" s="1253"/>
      <c r="CZ5" s="1253"/>
      <c r="DA5" s="159"/>
      <c r="DB5" s="159"/>
      <c r="DC5" s="160"/>
      <c r="DD5" s="1230" t="s">
        <v>537</v>
      </c>
    </row>
    <row r="6" spans="1:108" s="1" customFormat="1" ht="93" customHeight="1">
      <c r="A6" s="1233"/>
      <c r="B6" s="1237"/>
      <c r="C6" s="1238"/>
      <c r="D6" s="1238"/>
      <c r="E6" s="1239"/>
      <c r="F6" s="1243"/>
      <c r="G6" s="1244"/>
      <c r="H6" s="1245"/>
      <c r="I6" s="1243"/>
      <c r="J6" s="1245"/>
      <c r="K6" s="1221" t="s">
        <v>8</v>
      </c>
      <c r="L6" s="1223"/>
      <c r="M6" s="1224" t="s">
        <v>9</v>
      </c>
      <c r="N6" s="1225"/>
      <c r="O6" s="1254" t="s">
        <v>10</v>
      </c>
      <c r="P6" s="1255"/>
      <c r="Q6" s="1226" t="s">
        <v>11</v>
      </c>
      <c r="R6" s="1227"/>
      <c r="S6" s="1221" t="s">
        <v>8</v>
      </c>
      <c r="T6" s="1223"/>
      <c r="U6" s="1254" t="s">
        <v>9</v>
      </c>
      <c r="V6" s="1256"/>
      <c r="W6" s="1255"/>
      <c r="X6" s="1254" t="s">
        <v>10</v>
      </c>
      <c r="Y6" s="1256"/>
      <c r="Z6" s="1255"/>
      <c r="AA6" s="1254" t="s">
        <v>11</v>
      </c>
      <c r="AB6" s="1255"/>
      <c r="AC6" s="1224" t="s">
        <v>8</v>
      </c>
      <c r="AD6" s="1225"/>
      <c r="AE6" s="1224" t="s">
        <v>9</v>
      </c>
      <c r="AF6" s="1225"/>
      <c r="AG6" s="1226" t="s">
        <v>10</v>
      </c>
      <c r="AH6" s="1227"/>
      <c r="AI6" s="1221" t="s">
        <v>11</v>
      </c>
      <c r="AJ6" s="1223"/>
      <c r="AK6" s="1224" t="s">
        <v>8</v>
      </c>
      <c r="AL6" s="1225"/>
      <c r="AM6" s="1221" t="s">
        <v>9</v>
      </c>
      <c r="AN6" s="1223"/>
      <c r="AO6" s="1221" t="s">
        <v>10</v>
      </c>
      <c r="AP6" s="1222"/>
      <c r="AQ6" s="1222"/>
      <c r="AR6" s="1223"/>
      <c r="AS6" s="1221" t="s">
        <v>11</v>
      </c>
      <c r="AT6" s="1222"/>
      <c r="AU6" s="1223"/>
      <c r="AV6" s="1221" t="s">
        <v>8</v>
      </c>
      <c r="AW6" s="1223"/>
      <c r="AX6" s="1221" t="s">
        <v>9</v>
      </c>
      <c r="AY6" s="1223"/>
      <c r="AZ6" s="113" t="s">
        <v>10</v>
      </c>
      <c r="BA6" s="1221" t="s">
        <v>11</v>
      </c>
      <c r="BB6" s="1223"/>
      <c r="BC6" s="1221" t="s">
        <v>8</v>
      </c>
      <c r="BD6" s="1223"/>
      <c r="BE6" s="1224" t="s">
        <v>9</v>
      </c>
      <c r="BF6" s="1225"/>
      <c r="BG6" s="1224" t="s">
        <v>10</v>
      </c>
      <c r="BH6" s="1225"/>
      <c r="BI6" s="1221" t="s">
        <v>11</v>
      </c>
      <c r="BJ6" s="1222"/>
      <c r="BK6" s="1222"/>
      <c r="BL6" s="1223"/>
      <c r="BM6" s="1224" t="s">
        <v>8</v>
      </c>
      <c r="BN6" s="1229"/>
      <c r="BO6" s="1225"/>
      <c r="BP6" s="1221" t="s">
        <v>9</v>
      </c>
      <c r="BQ6" s="1223"/>
      <c r="BR6" s="1221" t="s">
        <v>10</v>
      </c>
      <c r="BS6" s="1223"/>
      <c r="BT6" s="113" t="s">
        <v>11</v>
      </c>
      <c r="BU6" s="1221" t="s">
        <v>8</v>
      </c>
      <c r="BV6" s="1222"/>
      <c r="BW6" s="1223"/>
      <c r="BX6" s="1221" t="s">
        <v>9</v>
      </c>
      <c r="BY6" s="1223"/>
      <c r="BZ6" s="1221" t="s">
        <v>10</v>
      </c>
      <c r="CA6" s="1223"/>
      <c r="CB6" s="1226" t="s">
        <v>11</v>
      </c>
      <c r="CC6" s="1228"/>
      <c r="CD6" s="1227"/>
      <c r="CE6" s="1221" t="s">
        <v>8</v>
      </c>
      <c r="CF6" s="1222"/>
      <c r="CG6" s="1223"/>
      <c r="CH6" s="1226" t="s">
        <v>9</v>
      </c>
      <c r="CI6" s="1228"/>
      <c r="CJ6" s="1227"/>
      <c r="CK6" s="1221" t="s">
        <v>10</v>
      </c>
      <c r="CL6" s="1222"/>
      <c r="CM6" s="1223"/>
      <c r="CN6" s="1221" t="s">
        <v>421</v>
      </c>
      <c r="CO6" s="1223"/>
      <c r="CP6" s="1226" t="s">
        <v>9</v>
      </c>
      <c r="CQ6" s="1228"/>
      <c r="CR6" s="1227"/>
      <c r="CS6" s="1224" t="s">
        <v>10</v>
      </c>
      <c r="CT6" s="1229"/>
      <c r="CU6" s="1225"/>
      <c r="CV6" s="114" t="s">
        <v>11</v>
      </c>
      <c r="CW6" s="1249"/>
      <c r="CX6" s="1250"/>
      <c r="CY6" s="1250"/>
      <c r="CZ6" s="1250"/>
      <c r="DA6" s="159"/>
      <c r="DB6" s="159"/>
      <c r="DC6" s="161"/>
      <c r="DD6" s="1231"/>
    </row>
    <row r="7" spans="1:108" ht="47.25" customHeight="1">
      <c r="A7" s="314">
        <v>1</v>
      </c>
      <c r="B7" s="1212" t="s">
        <v>264</v>
      </c>
      <c r="C7" s="1213"/>
      <c r="D7" s="1213"/>
      <c r="E7" s="1214"/>
      <c r="F7" s="1215" t="s">
        <v>265</v>
      </c>
      <c r="G7" s="1216"/>
      <c r="H7" s="1217"/>
      <c r="I7" s="1205">
        <v>1</v>
      </c>
      <c r="J7" s="1207"/>
      <c r="K7" s="1188">
        <v>4</v>
      </c>
      <c r="L7" s="1211"/>
      <c r="M7" s="1205">
        <v>142</v>
      </c>
      <c r="N7" s="1207"/>
      <c r="O7" s="1205">
        <v>137</v>
      </c>
      <c r="P7" s="1207"/>
      <c r="Q7" s="1202">
        <v>279</v>
      </c>
      <c r="R7" s="1204"/>
      <c r="S7" s="1188">
        <v>4</v>
      </c>
      <c r="T7" s="1211"/>
      <c r="U7" s="1205">
        <v>131</v>
      </c>
      <c r="V7" s="1206"/>
      <c r="W7" s="1207"/>
      <c r="X7" s="1205">
        <v>119</v>
      </c>
      <c r="Y7" s="1206"/>
      <c r="Z7" s="1207"/>
      <c r="AA7" s="1205">
        <v>250</v>
      </c>
      <c r="AB7" s="1207"/>
      <c r="AC7" s="1205">
        <v>4</v>
      </c>
      <c r="AD7" s="1207"/>
      <c r="AE7" s="1205">
        <v>120</v>
      </c>
      <c r="AF7" s="1207"/>
      <c r="AG7" s="1202">
        <v>101</v>
      </c>
      <c r="AH7" s="1204"/>
      <c r="AI7" s="1188">
        <v>221</v>
      </c>
      <c r="AJ7" s="1211"/>
      <c r="AK7" s="1205">
        <v>12</v>
      </c>
      <c r="AL7" s="1207"/>
      <c r="AM7" s="1188">
        <v>393</v>
      </c>
      <c r="AN7" s="1211"/>
      <c r="AO7" s="1188">
        <v>357</v>
      </c>
      <c r="AP7" s="1189"/>
      <c r="AQ7" s="1189"/>
      <c r="AR7" s="1211"/>
      <c r="AS7" s="1188">
        <v>750</v>
      </c>
      <c r="AT7" s="1189"/>
      <c r="AU7" s="1211"/>
      <c r="AV7" s="1188">
        <v>0</v>
      </c>
      <c r="AW7" s="1211"/>
      <c r="AX7" s="1188">
        <v>0</v>
      </c>
      <c r="AY7" s="1211"/>
      <c r="AZ7" s="115">
        <v>0</v>
      </c>
      <c r="BA7" s="1188">
        <v>0</v>
      </c>
      <c r="BB7" s="1211"/>
      <c r="BC7" s="1188">
        <v>0</v>
      </c>
      <c r="BD7" s="1211"/>
      <c r="BE7" s="1205">
        <v>0</v>
      </c>
      <c r="BF7" s="1207"/>
      <c r="BG7" s="1205">
        <v>0</v>
      </c>
      <c r="BH7" s="1207"/>
      <c r="BI7" s="1188">
        <v>0</v>
      </c>
      <c r="BJ7" s="1189"/>
      <c r="BK7" s="1189"/>
      <c r="BL7" s="1211"/>
      <c r="BM7" s="1205">
        <v>0</v>
      </c>
      <c r="BN7" s="1206"/>
      <c r="BO7" s="1207"/>
      <c r="BP7" s="1188">
        <v>0</v>
      </c>
      <c r="BQ7" s="1211"/>
      <c r="BR7" s="1188">
        <v>0</v>
      </c>
      <c r="BS7" s="1211"/>
      <c r="BT7" s="115">
        <v>0</v>
      </c>
      <c r="BU7" s="1188">
        <v>0</v>
      </c>
      <c r="BV7" s="1189"/>
      <c r="BW7" s="1211"/>
      <c r="BX7" s="1188">
        <v>0</v>
      </c>
      <c r="BY7" s="1211"/>
      <c r="BZ7" s="1188">
        <v>0</v>
      </c>
      <c r="CA7" s="1211"/>
      <c r="CB7" s="1202">
        <v>0</v>
      </c>
      <c r="CC7" s="1203"/>
      <c r="CD7" s="1204"/>
      <c r="CE7" s="1188">
        <v>12</v>
      </c>
      <c r="CF7" s="1189"/>
      <c r="CG7" s="1211"/>
      <c r="CH7" s="1202">
        <v>393</v>
      </c>
      <c r="CI7" s="1203"/>
      <c r="CJ7" s="1204"/>
      <c r="CK7" s="1188">
        <v>357</v>
      </c>
      <c r="CL7" s="1189"/>
      <c r="CM7" s="1211"/>
      <c r="CN7" s="1188">
        <v>750</v>
      </c>
      <c r="CO7" s="1189"/>
      <c r="CP7" s="1202">
        <v>4</v>
      </c>
      <c r="CQ7" s="1203"/>
      <c r="CR7" s="1204"/>
      <c r="CS7" s="1205">
        <v>5</v>
      </c>
      <c r="CT7" s="1206"/>
      <c r="CU7" s="1207"/>
      <c r="CV7" s="116">
        <v>9</v>
      </c>
      <c r="CW7" s="1208" t="s">
        <v>35</v>
      </c>
      <c r="CX7" s="1209"/>
      <c r="CY7" s="1209"/>
      <c r="CZ7" s="1210"/>
      <c r="DA7" s="159"/>
      <c r="DB7" s="159"/>
      <c r="DC7" s="161"/>
      <c r="DD7" s="315">
        <f>IF(CN7&lt;1001,30000 * 3,50000*3)</f>
        <v>90000</v>
      </c>
    </row>
    <row r="8" spans="1:108" ht="27.75">
      <c r="A8" s="314">
        <v>2</v>
      </c>
      <c r="B8" s="1212" t="s">
        <v>266</v>
      </c>
      <c r="C8" s="1213"/>
      <c r="D8" s="1213"/>
      <c r="E8" s="1214"/>
      <c r="F8" s="1215" t="s">
        <v>265</v>
      </c>
      <c r="G8" s="1216"/>
      <c r="H8" s="1217"/>
      <c r="I8" s="1205">
        <v>2</v>
      </c>
      <c r="J8" s="1207"/>
      <c r="K8" s="1188">
        <v>2</v>
      </c>
      <c r="L8" s="1211"/>
      <c r="M8" s="1205">
        <v>30</v>
      </c>
      <c r="N8" s="1207"/>
      <c r="O8" s="1205">
        <v>33</v>
      </c>
      <c r="P8" s="1207"/>
      <c r="Q8" s="1202">
        <v>63</v>
      </c>
      <c r="R8" s="1204"/>
      <c r="S8" s="1188">
        <v>2</v>
      </c>
      <c r="T8" s="1211"/>
      <c r="U8" s="1205">
        <v>28</v>
      </c>
      <c r="V8" s="1206"/>
      <c r="W8" s="1207"/>
      <c r="X8" s="1205">
        <v>33</v>
      </c>
      <c r="Y8" s="1206"/>
      <c r="Z8" s="1207"/>
      <c r="AA8" s="1205">
        <v>61</v>
      </c>
      <c r="AB8" s="1207"/>
      <c r="AC8" s="1205">
        <v>2</v>
      </c>
      <c r="AD8" s="1207"/>
      <c r="AE8" s="1205">
        <v>34</v>
      </c>
      <c r="AF8" s="1207"/>
      <c r="AG8" s="1202">
        <v>25</v>
      </c>
      <c r="AH8" s="1204"/>
      <c r="AI8" s="1188">
        <v>59</v>
      </c>
      <c r="AJ8" s="1211"/>
      <c r="AK8" s="1205">
        <v>6</v>
      </c>
      <c r="AL8" s="1207"/>
      <c r="AM8" s="1188">
        <v>92</v>
      </c>
      <c r="AN8" s="1211"/>
      <c r="AO8" s="1188">
        <v>91</v>
      </c>
      <c r="AP8" s="1189"/>
      <c r="AQ8" s="1189"/>
      <c r="AR8" s="1211"/>
      <c r="AS8" s="1188">
        <v>183</v>
      </c>
      <c r="AT8" s="1189"/>
      <c r="AU8" s="1211"/>
      <c r="AV8" s="1188">
        <v>0</v>
      </c>
      <c r="AW8" s="1211"/>
      <c r="AX8" s="1188">
        <v>0</v>
      </c>
      <c r="AY8" s="1211"/>
      <c r="AZ8" s="115">
        <v>0</v>
      </c>
      <c r="BA8" s="1188">
        <v>0</v>
      </c>
      <c r="BB8" s="1211"/>
      <c r="BC8" s="1188">
        <v>0</v>
      </c>
      <c r="BD8" s="1211"/>
      <c r="BE8" s="1205">
        <v>0</v>
      </c>
      <c r="BF8" s="1207"/>
      <c r="BG8" s="1205">
        <v>0</v>
      </c>
      <c r="BH8" s="1207"/>
      <c r="BI8" s="1188">
        <v>0</v>
      </c>
      <c r="BJ8" s="1189"/>
      <c r="BK8" s="1189"/>
      <c r="BL8" s="1211"/>
      <c r="BM8" s="1205">
        <v>0</v>
      </c>
      <c r="BN8" s="1206"/>
      <c r="BO8" s="1207"/>
      <c r="BP8" s="1188">
        <v>0</v>
      </c>
      <c r="BQ8" s="1211"/>
      <c r="BR8" s="1188">
        <v>0</v>
      </c>
      <c r="BS8" s="1211"/>
      <c r="BT8" s="115">
        <v>0</v>
      </c>
      <c r="BU8" s="1188">
        <v>0</v>
      </c>
      <c r="BV8" s="1189"/>
      <c r="BW8" s="1211"/>
      <c r="BX8" s="1188">
        <v>0</v>
      </c>
      <c r="BY8" s="1211"/>
      <c r="BZ8" s="1188">
        <v>0</v>
      </c>
      <c r="CA8" s="1211"/>
      <c r="CB8" s="1202">
        <v>0</v>
      </c>
      <c r="CC8" s="1203"/>
      <c r="CD8" s="1204"/>
      <c r="CE8" s="1188">
        <v>6</v>
      </c>
      <c r="CF8" s="1189"/>
      <c r="CG8" s="1211"/>
      <c r="CH8" s="1202">
        <v>92</v>
      </c>
      <c r="CI8" s="1203"/>
      <c r="CJ8" s="1204"/>
      <c r="CK8" s="1188">
        <v>91</v>
      </c>
      <c r="CL8" s="1189"/>
      <c r="CM8" s="1211"/>
      <c r="CN8" s="1188">
        <v>183</v>
      </c>
      <c r="CO8" s="1189"/>
      <c r="CP8" s="1202">
        <v>7</v>
      </c>
      <c r="CQ8" s="1203"/>
      <c r="CR8" s="1204"/>
      <c r="CS8" s="1205">
        <v>3</v>
      </c>
      <c r="CT8" s="1206"/>
      <c r="CU8" s="1207"/>
      <c r="CV8" s="116">
        <v>10</v>
      </c>
      <c r="CW8" s="1208" t="s">
        <v>35</v>
      </c>
      <c r="CX8" s="1209"/>
      <c r="CY8" s="1209"/>
      <c r="CZ8" s="1210"/>
      <c r="DA8" s="159"/>
      <c r="DB8" s="159"/>
      <c r="DC8" s="161"/>
      <c r="DD8" s="315">
        <f t="shared" ref="DD8:DD54" si="0">IF(CN8&lt;1001,30000 * 3,50000*3)</f>
        <v>90000</v>
      </c>
    </row>
    <row r="9" spans="1:108" ht="27.75">
      <c r="A9" s="314">
        <v>3</v>
      </c>
      <c r="B9" s="1212" t="s">
        <v>267</v>
      </c>
      <c r="C9" s="1213"/>
      <c r="D9" s="1213"/>
      <c r="E9" s="1214"/>
      <c r="F9" s="1215" t="s">
        <v>265</v>
      </c>
      <c r="G9" s="1216"/>
      <c r="H9" s="1217"/>
      <c r="I9" s="1205">
        <v>3</v>
      </c>
      <c r="J9" s="1207"/>
      <c r="K9" s="1188">
        <v>3</v>
      </c>
      <c r="L9" s="1211"/>
      <c r="M9" s="1205">
        <v>87</v>
      </c>
      <c r="N9" s="1207"/>
      <c r="O9" s="1205">
        <v>106</v>
      </c>
      <c r="P9" s="1207"/>
      <c r="Q9" s="1202">
        <v>193</v>
      </c>
      <c r="R9" s="1204"/>
      <c r="S9" s="1188">
        <v>3</v>
      </c>
      <c r="T9" s="1211"/>
      <c r="U9" s="1205">
        <v>129</v>
      </c>
      <c r="V9" s="1206"/>
      <c r="W9" s="1207"/>
      <c r="X9" s="1205">
        <v>117</v>
      </c>
      <c r="Y9" s="1206"/>
      <c r="Z9" s="1207"/>
      <c r="AA9" s="1205">
        <v>246</v>
      </c>
      <c r="AB9" s="1207"/>
      <c r="AC9" s="1205">
        <v>3</v>
      </c>
      <c r="AD9" s="1207"/>
      <c r="AE9" s="1205">
        <v>100</v>
      </c>
      <c r="AF9" s="1207"/>
      <c r="AG9" s="1202">
        <v>98</v>
      </c>
      <c r="AH9" s="1204"/>
      <c r="AI9" s="1188">
        <v>198</v>
      </c>
      <c r="AJ9" s="1211"/>
      <c r="AK9" s="1205">
        <v>9</v>
      </c>
      <c r="AL9" s="1207"/>
      <c r="AM9" s="1188">
        <v>316</v>
      </c>
      <c r="AN9" s="1211"/>
      <c r="AO9" s="1188">
        <v>321</v>
      </c>
      <c r="AP9" s="1189"/>
      <c r="AQ9" s="1189"/>
      <c r="AR9" s="1211"/>
      <c r="AS9" s="1188">
        <v>637</v>
      </c>
      <c r="AT9" s="1189"/>
      <c r="AU9" s="1211"/>
      <c r="AV9" s="1188">
        <v>0</v>
      </c>
      <c r="AW9" s="1211"/>
      <c r="AX9" s="1188">
        <v>0</v>
      </c>
      <c r="AY9" s="1211"/>
      <c r="AZ9" s="115">
        <v>0</v>
      </c>
      <c r="BA9" s="1188">
        <v>0</v>
      </c>
      <c r="BB9" s="1211"/>
      <c r="BC9" s="1188">
        <v>0</v>
      </c>
      <c r="BD9" s="1211"/>
      <c r="BE9" s="1205">
        <v>0</v>
      </c>
      <c r="BF9" s="1207"/>
      <c r="BG9" s="1205">
        <v>0</v>
      </c>
      <c r="BH9" s="1207"/>
      <c r="BI9" s="1188">
        <v>0</v>
      </c>
      <c r="BJ9" s="1189"/>
      <c r="BK9" s="1189"/>
      <c r="BL9" s="1211"/>
      <c r="BM9" s="1205">
        <v>0</v>
      </c>
      <c r="BN9" s="1206"/>
      <c r="BO9" s="1207"/>
      <c r="BP9" s="1188">
        <v>0</v>
      </c>
      <c r="BQ9" s="1211"/>
      <c r="BR9" s="1188">
        <v>0</v>
      </c>
      <c r="BS9" s="1211"/>
      <c r="BT9" s="115">
        <v>0</v>
      </c>
      <c r="BU9" s="1188">
        <v>0</v>
      </c>
      <c r="BV9" s="1189"/>
      <c r="BW9" s="1211"/>
      <c r="BX9" s="1188">
        <v>0</v>
      </c>
      <c r="BY9" s="1211"/>
      <c r="BZ9" s="1188">
        <v>0</v>
      </c>
      <c r="CA9" s="1211"/>
      <c r="CB9" s="1202">
        <v>0</v>
      </c>
      <c r="CC9" s="1203"/>
      <c r="CD9" s="1204"/>
      <c r="CE9" s="1188">
        <v>9</v>
      </c>
      <c r="CF9" s="1189"/>
      <c r="CG9" s="1211"/>
      <c r="CH9" s="1202">
        <v>316</v>
      </c>
      <c r="CI9" s="1203"/>
      <c r="CJ9" s="1204"/>
      <c r="CK9" s="1188">
        <v>321</v>
      </c>
      <c r="CL9" s="1189"/>
      <c r="CM9" s="1211"/>
      <c r="CN9" s="1188">
        <v>637</v>
      </c>
      <c r="CO9" s="1189"/>
      <c r="CP9" s="1202">
        <v>10</v>
      </c>
      <c r="CQ9" s="1203"/>
      <c r="CR9" s="1204"/>
      <c r="CS9" s="1205">
        <v>1</v>
      </c>
      <c r="CT9" s="1206"/>
      <c r="CU9" s="1207"/>
      <c r="CV9" s="116">
        <v>11</v>
      </c>
      <c r="CW9" s="1208" t="s">
        <v>35</v>
      </c>
      <c r="CX9" s="1209"/>
      <c r="CY9" s="1209"/>
      <c r="CZ9" s="1210"/>
      <c r="DA9" s="159"/>
      <c r="DB9" s="159"/>
      <c r="DC9" s="161"/>
      <c r="DD9" s="315">
        <f t="shared" si="0"/>
        <v>90000</v>
      </c>
    </row>
    <row r="10" spans="1:108" ht="27.75">
      <c r="A10" s="314">
        <v>4</v>
      </c>
      <c r="B10" s="1212" t="s">
        <v>268</v>
      </c>
      <c r="C10" s="1213"/>
      <c r="D10" s="1213"/>
      <c r="E10" s="1214"/>
      <c r="F10" s="1215" t="s">
        <v>265</v>
      </c>
      <c r="G10" s="1216"/>
      <c r="H10" s="1217"/>
      <c r="I10" s="1205">
        <v>3</v>
      </c>
      <c r="J10" s="1207"/>
      <c r="K10" s="1188">
        <v>2</v>
      </c>
      <c r="L10" s="1211"/>
      <c r="M10" s="1205">
        <v>47</v>
      </c>
      <c r="N10" s="1207"/>
      <c r="O10" s="1205">
        <v>70</v>
      </c>
      <c r="P10" s="1207"/>
      <c r="Q10" s="1202">
        <v>117</v>
      </c>
      <c r="R10" s="1204"/>
      <c r="S10" s="1188">
        <v>2</v>
      </c>
      <c r="T10" s="1211"/>
      <c r="U10" s="1205">
        <v>51</v>
      </c>
      <c r="V10" s="1206"/>
      <c r="W10" s="1207"/>
      <c r="X10" s="1205">
        <v>52</v>
      </c>
      <c r="Y10" s="1206"/>
      <c r="Z10" s="1207"/>
      <c r="AA10" s="1205">
        <v>103</v>
      </c>
      <c r="AB10" s="1207"/>
      <c r="AC10" s="1205">
        <v>2</v>
      </c>
      <c r="AD10" s="1207"/>
      <c r="AE10" s="1205">
        <v>44</v>
      </c>
      <c r="AF10" s="1207"/>
      <c r="AG10" s="1202">
        <v>42</v>
      </c>
      <c r="AH10" s="1204"/>
      <c r="AI10" s="1188">
        <v>86</v>
      </c>
      <c r="AJ10" s="1211"/>
      <c r="AK10" s="1205">
        <v>6</v>
      </c>
      <c r="AL10" s="1207"/>
      <c r="AM10" s="1188">
        <v>142</v>
      </c>
      <c r="AN10" s="1211"/>
      <c r="AO10" s="1188">
        <v>164</v>
      </c>
      <c r="AP10" s="1189"/>
      <c r="AQ10" s="1189"/>
      <c r="AR10" s="1211"/>
      <c r="AS10" s="1188">
        <v>306</v>
      </c>
      <c r="AT10" s="1189"/>
      <c r="AU10" s="1211"/>
      <c r="AV10" s="1188">
        <v>0</v>
      </c>
      <c r="AW10" s="1211"/>
      <c r="AX10" s="1188">
        <v>0</v>
      </c>
      <c r="AY10" s="1211"/>
      <c r="AZ10" s="115">
        <v>0</v>
      </c>
      <c r="BA10" s="1188">
        <v>0</v>
      </c>
      <c r="BB10" s="1211"/>
      <c r="BC10" s="1188">
        <v>0</v>
      </c>
      <c r="BD10" s="1211"/>
      <c r="BE10" s="1205">
        <v>0</v>
      </c>
      <c r="BF10" s="1207"/>
      <c r="BG10" s="1205">
        <v>0</v>
      </c>
      <c r="BH10" s="1207"/>
      <c r="BI10" s="1188">
        <v>0</v>
      </c>
      <c r="BJ10" s="1189"/>
      <c r="BK10" s="1189"/>
      <c r="BL10" s="1211"/>
      <c r="BM10" s="1205">
        <v>0</v>
      </c>
      <c r="BN10" s="1206"/>
      <c r="BO10" s="1207"/>
      <c r="BP10" s="1188">
        <v>0</v>
      </c>
      <c r="BQ10" s="1211"/>
      <c r="BR10" s="1188">
        <v>0</v>
      </c>
      <c r="BS10" s="1211"/>
      <c r="BT10" s="115">
        <v>0</v>
      </c>
      <c r="BU10" s="1188">
        <v>0</v>
      </c>
      <c r="BV10" s="1189"/>
      <c r="BW10" s="1211"/>
      <c r="BX10" s="1188">
        <v>0</v>
      </c>
      <c r="BY10" s="1211"/>
      <c r="BZ10" s="1188">
        <v>0</v>
      </c>
      <c r="CA10" s="1211"/>
      <c r="CB10" s="1202">
        <v>0</v>
      </c>
      <c r="CC10" s="1203"/>
      <c r="CD10" s="1204"/>
      <c r="CE10" s="1188">
        <v>6</v>
      </c>
      <c r="CF10" s="1189"/>
      <c r="CG10" s="1211"/>
      <c r="CH10" s="1202">
        <v>142</v>
      </c>
      <c r="CI10" s="1203"/>
      <c r="CJ10" s="1204"/>
      <c r="CK10" s="1188">
        <v>164</v>
      </c>
      <c r="CL10" s="1189"/>
      <c r="CM10" s="1211"/>
      <c r="CN10" s="1188">
        <v>306</v>
      </c>
      <c r="CO10" s="1189"/>
      <c r="CP10" s="1202">
        <v>6</v>
      </c>
      <c r="CQ10" s="1203"/>
      <c r="CR10" s="1204"/>
      <c r="CS10" s="1205">
        <v>2</v>
      </c>
      <c r="CT10" s="1206"/>
      <c r="CU10" s="1207"/>
      <c r="CV10" s="116">
        <v>8</v>
      </c>
      <c r="CW10" s="1208" t="s">
        <v>35</v>
      </c>
      <c r="CX10" s="1209"/>
      <c r="CY10" s="1209"/>
      <c r="CZ10" s="1210"/>
      <c r="DA10" s="159"/>
      <c r="DB10" s="159"/>
      <c r="DC10" s="161"/>
      <c r="DD10" s="315">
        <f t="shared" si="0"/>
        <v>90000</v>
      </c>
    </row>
    <row r="11" spans="1:108" ht="27.75">
      <c r="A11" s="314">
        <v>5</v>
      </c>
      <c r="B11" s="1212" t="s">
        <v>269</v>
      </c>
      <c r="C11" s="1213"/>
      <c r="D11" s="1213"/>
      <c r="E11" s="1214"/>
      <c r="F11" s="1215" t="s">
        <v>265</v>
      </c>
      <c r="G11" s="1216"/>
      <c r="H11" s="1217"/>
      <c r="I11" s="1205">
        <v>4</v>
      </c>
      <c r="J11" s="1207"/>
      <c r="K11" s="1188">
        <v>3</v>
      </c>
      <c r="L11" s="1211"/>
      <c r="M11" s="1205">
        <v>84</v>
      </c>
      <c r="N11" s="1207"/>
      <c r="O11" s="1205">
        <v>86</v>
      </c>
      <c r="P11" s="1207"/>
      <c r="Q11" s="1202">
        <v>170</v>
      </c>
      <c r="R11" s="1204"/>
      <c r="S11" s="1188">
        <v>3</v>
      </c>
      <c r="T11" s="1211"/>
      <c r="U11" s="1205">
        <v>64</v>
      </c>
      <c r="V11" s="1206"/>
      <c r="W11" s="1207"/>
      <c r="X11" s="1205">
        <v>61</v>
      </c>
      <c r="Y11" s="1206"/>
      <c r="Z11" s="1207"/>
      <c r="AA11" s="1205">
        <v>125</v>
      </c>
      <c r="AB11" s="1207"/>
      <c r="AC11" s="1205">
        <v>3</v>
      </c>
      <c r="AD11" s="1207"/>
      <c r="AE11" s="1205">
        <v>42</v>
      </c>
      <c r="AF11" s="1207"/>
      <c r="AG11" s="1202">
        <v>56</v>
      </c>
      <c r="AH11" s="1204"/>
      <c r="AI11" s="1188">
        <v>98</v>
      </c>
      <c r="AJ11" s="1211"/>
      <c r="AK11" s="1205">
        <v>9</v>
      </c>
      <c r="AL11" s="1207"/>
      <c r="AM11" s="1188">
        <v>190</v>
      </c>
      <c r="AN11" s="1211"/>
      <c r="AO11" s="1188">
        <v>203</v>
      </c>
      <c r="AP11" s="1189"/>
      <c r="AQ11" s="1189"/>
      <c r="AR11" s="1211"/>
      <c r="AS11" s="1188">
        <v>393</v>
      </c>
      <c r="AT11" s="1189"/>
      <c r="AU11" s="1211"/>
      <c r="AV11" s="1188">
        <v>0</v>
      </c>
      <c r="AW11" s="1211"/>
      <c r="AX11" s="1188">
        <v>0</v>
      </c>
      <c r="AY11" s="1211"/>
      <c r="AZ11" s="115">
        <v>0</v>
      </c>
      <c r="BA11" s="1188">
        <v>0</v>
      </c>
      <c r="BB11" s="1211"/>
      <c r="BC11" s="1188">
        <v>0</v>
      </c>
      <c r="BD11" s="1211"/>
      <c r="BE11" s="1205">
        <v>0</v>
      </c>
      <c r="BF11" s="1207"/>
      <c r="BG11" s="1205">
        <v>0</v>
      </c>
      <c r="BH11" s="1207"/>
      <c r="BI11" s="1188">
        <v>0</v>
      </c>
      <c r="BJ11" s="1189"/>
      <c r="BK11" s="1189"/>
      <c r="BL11" s="1211"/>
      <c r="BM11" s="1205">
        <v>0</v>
      </c>
      <c r="BN11" s="1206"/>
      <c r="BO11" s="1207"/>
      <c r="BP11" s="1188">
        <v>0</v>
      </c>
      <c r="BQ11" s="1211"/>
      <c r="BR11" s="1188">
        <v>0</v>
      </c>
      <c r="BS11" s="1211"/>
      <c r="BT11" s="115">
        <v>0</v>
      </c>
      <c r="BU11" s="1188">
        <v>0</v>
      </c>
      <c r="BV11" s="1189"/>
      <c r="BW11" s="1211"/>
      <c r="BX11" s="1188">
        <v>0</v>
      </c>
      <c r="BY11" s="1211"/>
      <c r="BZ11" s="1188">
        <v>0</v>
      </c>
      <c r="CA11" s="1211"/>
      <c r="CB11" s="1202">
        <v>0</v>
      </c>
      <c r="CC11" s="1203"/>
      <c r="CD11" s="1204"/>
      <c r="CE11" s="1188">
        <v>9</v>
      </c>
      <c r="CF11" s="1189"/>
      <c r="CG11" s="1211"/>
      <c r="CH11" s="1202">
        <v>190</v>
      </c>
      <c r="CI11" s="1203"/>
      <c r="CJ11" s="1204"/>
      <c r="CK11" s="1188">
        <v>203</v>
      </c>
      <c r="CL11" s="1189"/>
      <c r="CM11" s="1211"/>
      <c r="CN11" s="1188">
        <v>393</v>
      </c>
      <c r="CO11" s="1189"/>
      <c r="CP11" s="1202">
        <v>8</v>
      </c>
      <c r="CQ11" s="1203"/>
      <c r="CR11" s="1204"/>
      <c r="CS11" s="1205">
        <v>1</v>
      </c>
      <c r="CT11" s="1206"/>
      <c r="CU11" s="1207"/>
      <c r="CV11" s="116">
        <v>9</v>
      </c>
      <c r="CW11" s="1208" t="s">
        <v>35</v>
      </c>
      <c r="CX11" s="1209"/>
      <c r="CY11" s="1209"/>
      <c r="CZ11" s="1210"/>
      <c r="DA11" s="159"/>
      <c r="DB11" s="159"/>
      <c r="DC11" s="161"/>
      <c r="DD11" s="315">
        <f t="shared" si="0"/>
        <v>90000</v>
      </c>
    </row>
    <row r="12" spans="1:108" ht="27.75">
      <c r="A12" s="314">
        <v>6</v>
      </c>
      <c r="B12" s="1212" t="s">
        <v>270</v>
      </c>
      <c r="C12" s="1213"/>
      <c r="D12" s="1213"/>
      <c r="E12" s="1214"/>
      <c r="F12" s="1215" t="s">
        <v>265</v>
      </c>
      <c r="G12" s="1216"/>
      <c r="H12" s="1217"/>
      <c r="I12" s="1205">
        <v>8</v>
      </c>
      <c r="J12" s="1207"/>
      <c r="K12" s="1188">
        <v>3</v>
      </c>
      <c r="L12" s="1211"/>
      <c r="M12" s="1205">
        <v>74</v>
      </c>
      <c r="N12" s="1207"/>
      <c r="O12" s="1205">
        <v>51</v>
      </c>
      <c r="P12" s="1207"/>
      <c r="Q12" s="1202">
        <v>125</v>
      </c>
      <c r="R12" s="1204"/>
      <c r="S12" s="1188">
        <v>2</v>
      </c>
      <c r="T12" s="1211"/>
      <c r="U12" s="1205">
        <v>41</v>
      </c>
      <c r="V12" s="1206"/>
      <c r="W12" s="1207"/>
      <c r="X12" s="1205">
        <v>44</v>
      </c>
      <c r="Y12" s="1206"/>
      <c r="Z12" s="1207"/>
      <c r="AA12" s="1205">
        <v>85</v>
      </c>
      <c r="AB12" s="1207"/>
      <c r="AC12" s="1205">
        <v>2</v>
      </c>
      <c r="AD12" s="1207"/>
      <c r="AE12" s="1205">
        <v>26</v>
      </c>
      <c r="AF12" s="1207"/>
      <c r="AG12" s="1202">
        <v>44</v>
      </c>
      <c r="AH12" s="1204"/>
      <c r="AI12" s="1188">
        <v>70</v>
      </c>
      <c r="AJ12" s="1211"/>
      <c r="AK12" s="1205">
        <v>7</v>
      </c>
      <c r="AL12" s="1207"/>
      <c r="AM12" s="1188">
        <v>141</v>
      </c>
      <c r="AN12" s="1211"/>
      <c r="AO12" s="1188">
        <v>139</v>
      </c>
      <c r="AP12" s="1189"/>
      <c r="AQ12" s="1189"/>
      <c r="AR12" s="1211"/>
      <c r="AS12" s="1188">
        <v>280</v>
      </c>
      <c r="AT12" s="1189"/>
      <c r="AU12" s="1211"/>
      <c r="AV12" s="1188">
        <v>0</v>
      </c>
      <c r="AW12" s="1211"/>
      <c r="AX12" s="1188">
        <v>0</v>
      </c>
      <c r="AY12" s="1211"/>
      <c r="AZ12" s="115">
        <v>0</v>
      </c>
      <c r="BA12" s="1188">
        <v>0</v>
      </c>
      <c r="BB12" s="1211"/>
      <c r="BC12" s="1188">
        <v>0</v>
      </c>
      <c r="BD12" s="1211"/>
      <c r="BE12" s="1205">
        <v>0</v>
      </c>
      <c r="BF12" s="1207"/>
      <c r="BG12" s="1205">
        <v>0</v>
      </c>
      <c r="BH12" s="1207"/>
      <c r="BI12" s="1188">
        <v>0</v>
      </c>
      <c r="BJ12" s="1189"/>
      <c r="BK12" s="1189"/>
      <c r="BL12" s="1211"/>
      <c r="BM12" s="1205">
        <v>0</v>
      </c>
      <c r="BN12" s="1206"/>
      <c r="BO12" s="1207"/>
      <c r="BP12" s="1188">
        <v>0</v>
      </c>
      <c r="BQ12" s="1211"/>
      <c r="BR12" s="1188">
        <v>0</v>
      </c>
      <c r="BS12" s="1211"/>
      <c r="BT12" s="115">
        <v>0</v>
      </c>
      <c r="BU12" s="1188">
        <v>0</v>
      </c>
      <c r="BV12" s="1189"/>
      <c r="BW12" s="1211"/>
      <c r="BX12" s="1188">
        <v>0</v>
      </c>
      <c r="BY12" s="1211"/>
      <c r="BZ12" s="1188">
        <v>0</v>
      </c>
      <c r="CA12" s="1211"/>
      <c r="CB12" s="1202">
        <v>0</v>
      </c>
      <c r="CC12" s="1203"/>
      <c r="CD12" s="1204"/>
      <c r="CE12" s="1188">
        <v>7</v>
      </c>
      <c r="CF12" s="1189"/>
      <c r="CG12" s="1211"/>
      <c r="CH12" s="1202">
        <v>141</v>
      </c>
      <c r="CI12" s="1203"/>
      <c r="CJ12" s="1204"/>
      <c r="CK12" s="1188">
        <v>139</v>
      </c>
      <c r="CL12" s="1189"/>
      <c r="CM12" s="1211"/>
      <c r="CN12" s="1188">
        <v>280</v>
      </c>
      <c r="CO12" s="1189"/>
      <c r="CP12" s="1202">
        <v>4</v>
      </c>
      <c r="CQ12" s="1203"/>
      <c r="CR12" s="1204"/>
      <c r="CS12" s="1205">
        <v>4</v>
      </c>
      <c r="CT12" s="1206"/>
      <c r="CU12" s="1207"/>
      <c r="CV12" s="116">
        <v>8</v>
      </c>
      <c r="CW12" s="1208" t="s">
        <v>35</v>
      </c>
      <c r="CX12" s="1209"/>
      <c r="CY12" s="1209"/>
      <c r="CZ12" s="1210"/>
      <c r="DA12" s="159"/>
      <c r="DB12" s="159"/>
      <c r="DC12" s="161"/>
      <c r="DD12" s="315">
        <f t="shared" si="0"/>
        <v>90000</v>
      </c>
    </row>
    <row r="13" spans="1:108" ht="27.75">
      <c r="A13" s="314">
        <v>7</v>
      </c>
      <c r="B13" s="1212" t="s">
        <v>271</v>
      </c>
      <c r="C13" s="1213"/>
      <c r="D13" s="1213"/>
      <c r="E13" s="1214"/>
      <c r="F13" s="1215" t="s">
        <v>265</v>
      </c>
      <c r="G13" s="1216"/>
      <c r="H13" s="1217"/>
      <c r="I13" s="1205">
        <v>1</v>
      </c>
      <c r="J13" s="1207"/>
      <c r="K13" s="1188">
        <v>0</v>
      </c>
      <c r="L13" s="1211"/>
      <c r="M13" s="1205">
        <v>0</v>
      </c>
      <c r="N13" s="1207"/>
      <c r="O13" s="1218">
        <v>0</v>
      </c>
      <c r="P13" s="1220"/>
      <c r="Q13" s="1202">
        <v>0</v>
      </c>
      <c r="R13" s="1204"/>
      <c r="S13" s="1188">
        <v>0</v>
      </c>
      <c r="T13" s="1211"/>
      <c r="U13" s="1218">
        <v>0</v>
      </c>
      <c r="V13" s="1219"/>
      <c r="W13" s="1220"/>
      <c r="X13" s="1218">
        <v>0</v>
      </c>
      <c r="Y13" s="1219"/>
      <c r="Z13" s="1220"/>
      <c r="AA13" s="1205">
        <v>0</v>
      </c>
      <c r="AB13" s="1207"/>
      <c r="AC13" s="1205">
        <v>0</v>
      </c>
      <c r="AD13" s="1207"/>
      <c r="AE13" s="1205">
        <v>0</v>
      </c>
      <c r="AF13" s="1207"/>
      <c r="AG13" s="1202">
        <v>0</v>
      </c>
      <c r="AH13" s="1204"/>
      <c r="AI13" s="1188">
        <v>0</v>
      </c>
      <c r="AJ13" s="1211"/>
      <c r="AK13" s="1205">
        <v>0</v>
      </c>
      <c r="AL13" s="1207"/>
      <c r="AM13" s="1188">
        <v>0</v>
      </c>
      <c r="AN13" s="1211"/>
      <c r="AO13" s="1188">
        <v>0</v>
      </c>
      <c r="AP13" s="1189"/>
      <c r="AQ13" s="1189"/>
      <c r="AR13" s="1211"/>
      <c r="AS13" s="1188">
        <v>0</v>
      </c>
      <c r="AT13" s="1189"/>
      <c r="AU13" s="1211"/>
      <c r="AV13" s="1188">
        <v>4</v>
      </c>
      <c r="AW13" s="1211"/>
      <c r="AX13" s="1188">
        <v>121</v>
      </c>
      <c r="AY13" s="1211"/>
      <c r="AZ13" s="115">
        <v>120</v>
      </c>
      <c r="BA13" s="1188">
        <v>241</v>
      </c>
      <c r="BB13" s="1211"/>
      <c r="BC13" s="1188">
        <v>4</v>
      </c>
      <c r="BD13" s="1211"/>
      <c r="BE13" s="1205">
        <v>96</v>
      </c>
      <c r="BF13" s="1207"/>
      <c r="BG13" s="1205">
        <v>90</v>
      </c>
      <c r="BH13" s="1207"/>
      <c r="BI13" s="1188">
        <v>186</v>
      </c>
      <c r="BJ13" s="1189"/>
      <c r="BK13" s="1189"/>
      <c r="BL13" s="1211"/>
      <c r="BM13" s="1205">
        <v>3</v>
      </c>
      <c r="BN13" s="1206"/>
      <c r="BO13" s="1207"/>
      <c r="BP13" s="1188">
        <v>59</v>
      </c>
      <c r="BQ13" s="1211"/>
      <c r="BR13" s="1188">
        <v>85</v>
      </c>
      <c r="BS13" s="1211"/>
      <c r="BT13" s="115">
        <v>144</v>
      </c>
      <c r="BU13" s="1188">
        <v>11</v>
      </c>
      <c r="BV13" s="1189"/>
      <c r="BW13" s="1211"/>
      <c r="BX13" s="1188">
        <v>276</v>
      </c>
      <c r="BY13" s="1211"/>
      <c r="BZ13" s="1188">
        <v>295</v>
      </c>
      <c r="CA13" s="1211"/>
      <c r="CB13" s="1202">
        <v>571</v>
      </c>
      <c r="CC13" s="1203"/>
      <c r="CD13" s="1204"/>
      <c r="CE13" s="1188">
        <v>11</v>
      </c>
      <c r="CF13" s="1189"/>
      <c r="CG13" s="1211"/>
      <c r="CH13" s="1202">
        <v>276</v>
      </c>
      <c r="CI13" s="1203"/>
      <c r="CJ13" s="1204"/>
      <c r="CK13" s="1188">
        <v>295</v>
      </c>
      <c r="CL13" s="1189"/>
      <c r="CM13" s="1211"/>
      <c r="CN13" s="1188">
        <v>571</v>
      </c>
      <c r="CO13" s="1189"/>
      <c r="CP13" s="1202">
        <v>10</v>
      </c>
      <c r="CQ13" s="1203"/>
      <c r="CR13" s="1204"/>
      <c r="CS13" s="1205">
        <v>1</v>
      </c>
      <c r="CT13" s="1206"/>
      <c r="CU13" s="1207"/>
      <c r="CV13" s="116">
        <v>11</v>
      </c>
      <c r="CW13" s="1208" t="s">
        <v>35</v>
      </c>
      <c r="CX13" s="1209"/>
      <c r="CY13" s="1209"/>
      <c r="CZ13" s="1210"/>
      <c r="DA13" s="159"/>
      <c r="DB13" s="159"/>
      <c r="DC13" s="161"/>
      <c r="DD13" s="315">
        <f t="shared" si="0"/>
        <v>90000</v>
      </c>
    </row>
    <row r="14" spans="1:108" ht="27.75">
      <c r="A14" s="314">
        <v>8</v>
      </c>
      <c r="B14" s="1212" t="s">
        <v>266</v>
      </c>
      <c r="C14" s="1213"/>
      <c r="D14" s="1213"/>
      <c r="E14" s="1214"/>
      <c r="F14" s="1215" t="s">
        <v>265</v>
      </c>
      <c r="G14" s="1216"/>
      <c r="H14" s="1217"/>
      <c r="I14" s="1205">
        <v>2</v>
      </c>
      <c r="J14" s="1207"/>
      <c r="K14" s="1188">
        <v>0</v>
      </c>
      <c r="L14" s="1211"/>
      <c r="M14" s="1205">
        <v>0</v>
      </c>
      <c r="N14" s="1207"/>
      <c r="O14" s="1218">
        <v>0</v>
      </c>
      <c r="P14" s="1220"/>
      <c r="Q14" s="1202">
        <v>0</v>
      </c>
      <c r="R14" s="1204"/>
      <c r="S14" s="1188">
        <v>0</v>
      </c>
      <c r="T14" s="1211"/>
      <c r="U14" s="1218">
        <v>0</v>
      </c>
      <c r="V14" s="1219"/>
      <c r="W14" s="1220"/>
      <c r="X14" s="1218">
        <v>0</v>
      </c>
      <c r="Y14" s="1219"/>
      <c r="Z14" s="1220"/>
      <c r="AA14" s="1205">
        <v>0</v>
      </c>
      <c r="AB14" s="1207"/>
      <c r="AC14" s="1205">
        <v>0</v>
      </c>
      <c r="AD14" s="1207"/>
      <c r="AE14" s="1205">
        <v>0</v>
      </c>
      <c r="AF14" s="1207"/>
      <c r="AG14" s="1202">
        <v>0</v>
      </c>
      <c r="AH14" s="1204"/>
      <c r="AI14" s="1188">
        <v>0</v>
      </c>
      <c r="AJ14" s="1211"/>
      <c r="AK14" s="1205">
        <v>0</v>
      </c>
      <c r="AL14" s="1207"/>
      <c r="AM14" s="1188">
        <v>0</v>
      </c>
      <c r="AN14" s="1211"/>
      <c r="AO14" s="1188">
        <v>0</v>
      </c>
      <c r="AP14" s="1189"/>
      <c r="AQ14" s="1189"/>
      <c r="AR14" s="1211"/>
      <c r="AS14" s="1188">
        <v>0</v>
      </c>
      <c r="AT14" s="1189"/>
      <c r="AU14" s="1211"/>
      <c r="AV14" s="1188">
        <v>2</v>
      </c>
      <c r="AW14" s="1211"/>
      <c r="AX14" s="1188">
        <v>46</v>
      </c>
      <c r="AY14" s="1211"/>
      <c r="AZ14" s="115">
        <v>28</v>
      </c>
      <c r="BA14" s="1188">
        <v>74</v>
      </c>
      <c r="BB14" s="1211"/>
      <c r="BC14" s="1188">
        <v>1</v>
      </c>
      <c r="BD14" s="1211"/>
      <c r="BE14" s="1205">
        <v>21</v>
      </c>
      <c r="BF14" s="1207"/>
      <c r="BG14" s="1205">
        <v>19</v>
      </c>
      <c r="BH14" s="1207"/>
      <c r="BI14" s="1188">
        <v>40</v>
      </c>
      <c r="BJ14" s="1189"/>
      <c r="BK14" s="1189"/>
      <c r="BL14" s="1211"/>
      <c r="BM14" s="1205">
        <v>1</v>
      </c>
      <c r="BN14" s="1206"/>
      <c r="BO14" s="1207"/>
      <c r="BP14" s="1188">
        <v>28</v>
      </c>
      <c r="BQ14" s="1211"/>
      <c r="BR14" s="1188">
        <v>22</v>
      </c>
      <c r="BS14" s="1211"/>
      <c r="BT14" s="115">
        <v>50</v>
      </c>
      <c r="BU14" s="1188">
        <v>4</v>
      </c>
      <c r="BV14" s="1189"/>
      <c r="BW14" s="1211"/>
      <c r="BX14" s="1188">
        <v>95</v>
      </c>
      <c r="BY14" s="1211"/>
      <c r="BZ14" s="1188">
        <v>69</v>
      </c>
      <c r="CA14" s="1211"/>
      <c r="CB14" s="1202">
        <v>164</v>
      </c>
      <c r="CC14" s="1203"/>
      <c r="CD14" s="1204"/>
      <c r="CE14" s="1188">
        <v>4</v>
      </c>
      <c r="CF14" s="1189"/>
      <c r="CG14" s="1211"/>
      <c r="CH14" s="1202">
        <v>95</v>
      </c>
      <c r="CI14" s="1203"/>
      <c r="CJ14" s="1204"/>
      <c r="CK14" s="1188">
        <v>69</v>
      </c>
      <c r="CL14" s="1189"/>
      <c r="CM14" s="1211"/>
      <c r="CN14" s="1188">
        <v>164</v>
      </c>
      <c r="CO14" s="1189"/>
      <c r="CP14" s="1202">
        <v>8</v>
      </c>
      <c r="CQ14" s="1203"/>
      <c r="CR14" s="1204"/>
      <c r="CS14" s="1205">
        <v>3</v>
      </c>
      <c r="CT14" s="1206"/>
      <c r="CU14" s="1207"/>
      <c r="CV14" s="116">
        <v>11</v>
      </c>
      <c r="CW14" s="1208" t="s">
        <v>35</v>
      </c>
      <c r="CX14" s="1209"/>
      <c r="CY14" s="1209"/>
      <c r="CZ14" s="1210"/>
      <c r="DA14" s="159"/>
      <c r="DB14" s="159"/>
      <c r="DC14" s="161"/>
      <c r="DD14" s="315">
        <f t="shared" si="0"/>
        <v>90000</v>
      </c>
    </row>
    <row r="15" spans="1:108" ht="27.75">
      <c r="A15" s="314">
        <v>9</v>
      </c>
      <c r="B15" s="1212" t="s">
        <v>267</v>
      </c>
      <c r="C15" s="1213"/>
      <c r="D15" s="1213"/>
      <c r="E15" s="1214"/>
      <c r="F15" s="1215" t="s">
        <v>265</v>
      </c>
      <c r="G15" s="1216"/>
      <c r="H15" s="1217"/>
      <c r="I15" s="1205">
        <v>3</v>
      </c>
      <c r="J15" s="1207"/>
      <c r="K15" s="1188">
        <v>0</v>
      </c>
      <c r="L15" s="1211"/>
      <c r="M15" s="1205">
        <v>0</v>
      </c>
      <c r="N15" s="1207"/>
      <c r="O15" s="1218">
        <v>0</v>
      </c>
      <c r="P15" s="1220"/>
      <c r="Q15" s="1202">
        <v>0</v>
      </c>
      <c r="R15" s="1204"/>
      <c r="S15" s="1188">
        <v>0</v>
      </c>
      <c r="T15" s="1211"/>
      <c r="U15" s="1218">
        <v>0</v>
      </c>
      <c r="V15" s="1219"/>
      <c r="W15" s="1220"/>
      <c r="X15" s="1218">
        <v>0</v>
      </c>
      <c r="Y15" s="1219"/>
      <c r="Z15" s="1220"/>
      <c r="AA15" s="1205">
        <v>0</v>
      </c>
      <c r="AB15" s="1207"/>
      <c r="AC15" s="1205">
        <v>0</v>
      </c>
      <c r="AD15" s="1207"/>
      <c r="AE15" s="1205">
        <v>0</v>
      </c>
      <c r="AF15" s="1207"/>
      <c r="AG15" s="1202">
        <v>0</v>
      </c>
      <c r="AH15" s="1204"/>
      <c r="AI15" s="1188">
        <v>0</v>
      </c>
      <c r="AJ15" s="1211"/>
      <c r="AK15" s="1205">
        <v>0</v>
      </c>
      <c r="AL15" s="1207"/>
      <c r="AM15" s="1188">
        <v>0</v>
      </c>
      <c r="AN15" s="1211"/>
      <c r="AO15" s="1188">
        <v>0</v>
      </c>
      <c r="AP15" s="1189"/>
      <c r="AQ15" s="1189"/>
      <c r="AR15" s="1211"/>
      <c r="AS15" s="1188">
        <v>0</v>
      </c>
      <c r="AT15" s="1189"/>
      <c r="AU15" s="1211"/>
      <c r="AV15" s="1188">
        <v>3</v>
      </c>
      <c r="AW15" s="1211"/>
      <c r="AX15" s="1188">
        <v>116</v>
      </c>
      <c r="AY15" s="1211"/>
      <c r="AZ15" s="115">
        <v>110</v>
      </c>
      <c r="BA15" s="1188">
        <v>226</v>
      </c>
      <c r="BB15" s="1211"/>
      <c r="BC15" s="1188">
        <v>3</v>
      </c>
      <c r="BD15" s="1211"/>
      <c r="BE15" s="1205">
        <v>74</v>
      </c>
      <c r="BF15" s="1207"/>
      <c r="BG15" s="1205">
        <v>89</v>
      </c>
      <c r="BH15" s="1207"/>
      <c r="BI15" s="1188">
        <v>163</v>
      </c>
      <c r="BJ15" s="1189"/>
      <c r="BK15" s="1189"/>
      <c r="BL15" s="1211"/>
      <c r="BM15" s="1205">
        <v>3</v>
      </c>
      <c r="BN15" s="1206"/>
      <c r="BO15" s="1207"/>
      <c r="BP15" s="1188">
        <v>51</v>
      </c>
      <c r="BQ15" s="1211"/>
      <c r="BR15" s="1188">
        <v>64</v>
      </c>
      <c r="BS15" s="1211"/>
      <c r="BT15" s="115">
        <v>115</v>
      </c>
      <c r="BU15" s="1188">
        <v>9</v>
      </c>
      <c r="BV15" s="1189"/>
      <c r="BW15" s="1211"/>
      <c r="BX15" s="1188">
        <v>241</v>
      </c>
      <c r="BY15" s="1211"/>
      <c r="BZ15" s="1188">
        <v>263</v>
      </c>
      <c r="CA15" s="1211"/>
      <c r="CB15" s="1202">
        <v>504</v>
      </c>
      <c r="CC15" s="1203"/>
      <c r="CD15" s="1204"/>
      <c r="CE15" s="1188">
        <v>9</v>
      </c>
      <c r="CF15" s="1189"/>
      <c r="CG15" s="1211"/>
      <c r="CH15" s="1202">
        <v>241</v>
      </c>
      <c r="CI15" s="1203"/>
      <c r="CJ15" s="1204"/>
      <c r="CK15" s="1188">
        <v>263</v>
      </c>
      <c r="CL15" s="1189"/>
      <c r="CM15" s="1211"/>
      <c r="CN15" s="1188">
        <v>504</v>
      </c>
      <c r="CO15" s="1189"/>
      <c r="CP15" s="1202">
        <v>10</v>
      </c>
      <c r="CQ15" s="1203"/>
      <c r="CR15" s="1204"/>
      <c r="CS15" s="1205">
        <v>3</v>
      </c>
      <c r="CT15" s="1206"/>
      <c r="CU15" s="1207"/>
      <c r="CV15" s="116">
        <v>13</v>
      </c>
      <c r="CW15" s="1208" t="s">
        <v>35</v>
      </c>
      <c r="CX15" s="1209"/>
      <c r="CY15" s="1209"/>
      <c r="CZ15" s="1210"/>
      <c r="DA15" s="159"/>
      <c r="DB15" s="159"/>
      <c r="DC15" s="161"/>
      <c r="DD15" s="315">
        <f t="shared" si="0"/>
        <v>90000</v>
      </c>
    </row>
    <row r="16" spans="1:108" ht="27.75">
      <c r="A16" s="314">
        <v>10</v>
      </c>
      <c r="B16" s="1212" t="s">
        <v>272</v>
      </c>
      <c r="C16" s="1213"/>
      <c r="D16" s="1213"/>
      <c r="E16" s="1214"/>
      <c r="F16" s="1215" t="s">
        <v>265</v>
      </c>
      <c r="G16" s="1216"/>
      <c r="H16" s="1217"/>
      <c r="I16" s="1205">
        <v>3</v>
      </c>
      <c r="J16" s="1207"/>
      <c r="K16" s="1188">
        <v>0</v>
      </c>
      <c r="L16" s="1211"/>
      <c r="M16" s="1205">
        <v>0</v>
      </c>
      <c r="N16" s="1207"/>
      <c r="O16" s="1218">
        <v>0</v>
      </c>
      <c r="P16" s="1220"/>
      <c r="Q16" s="1202">
        <v>0</v>
      </c>
      <c r="R16" s="1204"/>
      <c r="S16" s="1188">
        <v>0</v>
      </c>
      <c r="T16" s="1211"/>
      <c r="U16" s="1218">
        <v>0</v>
      </c>
      <c r="V16" s="1219"/>
      <c r="W16" s="1220"/>
      <c r="X16" s="1218">
        <v>0</v>
      </c>
      <c r="Y16" s="1219"/>
      <c r="Z16" s="1220"/>
      <c r="AA16" s="1205">
        <v>0</v>
      </c>
      <c r="AB16" s="1207"/>
      <c r="AC16" s="1205">
        <v>0</v>
      </c>
      <c r="AD16" s="1207"/>
      <c r="AE16" s="1205">
        <v>0</v>
      </c>
      <c r="AF16" s="1207"/>
      <c r="AG16" s="1202">
        <v>0</v>
      </c>
      <c r="AH16" s="1204"/>
      <c r="AI16" s="1188">
        <v>0</v>
      </c>
      <c r="AJ16" s="1211"/>
      <c r="AK16" s="1205">
        <v>0</v>
      </c>
      <c r="AL16" s="1207"/>
      <c r="AM16" s="1188">
        <v>0</v>
      </c>
      <c r="AN16" s="1211"/>
      <c r="AO16" s="1188">
        <v>0</v>
      </c>
      <c r="AP16" s="1189"/>
      <c r="AQ16" s="1189"/>
      <c r="AR16" s="1211"/>
      <c r="AS16" s="1188">
        <v>0</v>
      </c>
      <c r="AT16" s="1189"/>
      <c r="AU16" s="1211"/>
      <c r="AV16" s="1188">
        <v>3</v>
      </c>
      <c r="AW16" s="1211"/>
      <c r="AX16" s="1188">
        <v>49</v>
      </c>
      <c r="AY16" s="1211"/>
      <c r="AZ16" s="115">
        <v>53</v>
      </c>
      <c r="BA16" s="1188">
        <v>102</v>
      </c>
      <c r="BB16" s="1211"/>
      <c r="BC16" s="1188">
        <v>3</v>
      </c>
      <c r="BD16" s="1211"/>
      <c r="BE16" s="1205">
        <v>49</v>
      </c>
      <c r="BF16" s="1207"/>
      <c r="BG16" s="1205">
        <v>44</v>
      </c>
      <c r="BH16" s="1207"/>
      <c r="BI16" s="1188">
        <v>93</v>
      </c>
      <c r="BJ16" s="1189"/>
      <c r="BK16" s="1189"/>
      <c r="BL16" s="1211"/>
      <c r="BM16" s="1205">
        <v>3</v>
      </c>
      <c r="BN16" s="1206"/>
      <c r="BO16" s="1207"/>
      <c r="BP16" s="1188">
        <v>33</v>
      </c>
      <c r="BQ16" s="1211"/>
      <c r="BR16" s="1188">
        <v>36</v>
      </c>
      <c r="BS16" s="1211"/>
      <c r="BT16" s="115">
        <v>69</v>
      </c>
      <c r="BU16" s="1188">
        <v>9</v>
      </c>
      <c r="BV16" s="1189"/>
      <c r="BW16" s="1211"/>
      <c r="BX16" s="1188">
        <v>131</v>
      </c>
      <c r="BY16" s="1211"/>
      <c r="BZ16" s="1188">
        <v>133</v>
      </c>
      <c r="CA16" s="1211"/>
      <c r="CB16" s="1202">
        <v>264</v>
      </c>
      <c r="CC16" s="1203"/>
      <c r="CD16" s="1204"/>
      <c r="CE16" s="1188">
        <v>9</v>
      </c>
      <c r="CF16" s="1189"/>
      <c r="CG16" s="1211"/>
      <c r="CH16" s="1202">
        <v>131</v>
      </c>
      <c r="CI16" s="1203"/>
      <c r="CJ16" s="1204"/>
      <c r="CK16" s="1188">
        <v>133</v>
      </c>
      <c r="CL16" s="1189"/>
      <c r="CM16" s="1211"/>
      <c r="CN16" s="1188">
        <v>264</v>
      </c>
      <c r="CO16" s="1189"/>
      <c r="CP16" s="1202">
        <v>8</v>
      </c>
      <c r="CQ16" s="1203"/>
      <c r="CR16" s="1204"/>
      <c r="CS16" s="1205">
        <v>4</v>
      </c>
      <c r="CT16" s="1206"/>
      <c r="CU16" s="1207"/>
      <c r="CV16" s="116">
        <v>12</v>
      </c>
      <c r="CW16" s="1208" t="s">
        <v>35</v>
      </c>
      <c r="CX16" s="1209"/>
      <c r="CY16" s="1209"/>
      <c r="CZ16" s="1210"/>
      <c r="DA16" s="159"/>
      <c r="DB16" s="159"/>
      <c r="DC16" s="161"/>
      <c r="DD16" s="315">
        <f t="shared" si="0"/>
        <v>90000</v>
      </c>
    </row>
    <row r="17" spans="1:108" ht="27.75">
      <c r="A17" s="314">
        <v>11</v>
      </c>
      <c r="B17" s="1212" t="s">
        <v>273</v>
      </c>
      <c r="C17" s="1213"/>
      <c r="D17" s="1213"/>
      <c r="E17" s="1214"/>
      <c r="F17" s="1215" t="s">
        <v>265</v>
      </c>
      <c r="G17" s="1216"/>
      <c r="H17" s="1217"/>
      <c r="I17" s="1205">
        <v>4</v>
      </c>
      <c r="J17" s="1207"/>
      <c r="K17" s="1188">
        <v>0</v>
      </c>
      <c r="L17" s="1211"/>
      <c r="M17" s="1205">
        <v>0</v>
      </c>
      <c r="N17" s="1207"/>
      <c r="O17" s="1218">
        <v>0</v>
      </c>
      <c r="P17" s="1220"/>
      <c r="Q17" s="1202">
        <v>0</v>
      </c>
      <c r="R17" s="1204"/>
      <c r="S17" s="1188">
        <v>0</v>
      </c>
      <c r="T17" s="1211"/>
      <c r="U17" s="1218">
        <v>0</v>
      </c>
      <c r="V17" s="1219"/>
      <c r="W17" s="1220"/>
      <c r="X17" s="1218">
        <v>0</v>
      </c>
      <c r="Y17" s="1219"/>
      <c r="Z17" s="1220"/>
      <c r="AA17" s="1205">
        <v>0</v>
      </c>
      <c r="AB17" s="1207"/>
      <c r="AC17" s="1205">
        <v>0</v>
      </c>
      <c r="AD17" s="1207"/>
      <c r="AE17" s="1205">
        <v>0</v>
      </c>
      <c r="AF17" s="1207"/>
      <c r="AG17" s="1202">
        <v>0</v>
      </c>
      <c r="AH17" s="1204"/>
      <c r="AI17" s="1188">
        <v>0</v>
      </c>
      <c r="AJ17" s="1211"/>
      <c r="AK17" s="1205">
        <v>0</v>
      </c>
      <c r="AL17" s="1207"/>
      <c r="AM17" s="1188">
        <v>0</v>
      </c>
      <c r="AN17" s="1211"/>
      <c r="AO17" s="1188">
        <v>0</v>
      </c>
      <c r="AP17" s="1189"/>
      <c r="AQ17" s="1189"/>
      <c r="AR17" s="1211"/>
      <c r="AS17" s="1188">
        <v>0</v>
      </c>
      <c r="AT17" s="1189"/>
      <c r="AU17" s="1211"/>
      <c r="AV17" s="1188">
        <v>3</v>
      </c>
      <c r="AW17" s="1211"/>
      <c r="AX17" s="1188">
        <v>60</v>
      </c>
      <c r="AY17" s="1211"/>
      <c r="AZ17" s="115">
        <v>60</v>
      </c>
      <c r="BA17" s="1188">
        <v>120</v>
      </c>
      <c r="BB17" s="1211"/>
      <c r="BC17" s="1188">
        <v>3</v>
      </c>
      <c r="BD17" s="1211"/>
      <c r="BE17" s="1205">
        <v>62</v>
      </c>
      <c r="BF17" s="1207"/>
      <c r="BG17" s="1205">
        <v>44</v>
      </c>
      <c r="BH17" s="1207"/>
      <c r="BI17" s="1188">
        <v>106</v>
      </c>
      <c r="BJ17" s="1189"/>
      <c r="BK17" s="1189"/>
      <c r="BL17" s="1211"/>
      <c r="BM17" s="1205">
        <v>3</v>
      </c>
      <c r="BN17" s="1206"/>
      <c r="BO17" s="1207"/>
      <c r="BP17" s="1188">
        <v>51</v>
      </c>
      <c r="BQ17" s="1211"/>
      <c r="BR17" s="1188">
        <v>52</v>
      </c>
      <c r="BS17" s="1211"/>
      <c r="BT17" s="115">
        <v>103</v>
      </c>
      <c r="BU17" s="1188">
        <v>9</v>
      </c>
      <c r="BV17" s="1189"/>
      <c r="BW17" s="1211"/>
      <c r="BX17" s="1188">
        <v>173</v>
      </c>
      <c r="BY17" s="1211"/>
      <c r="BZ17" s="1188">
        <v>156</v>
      </c>
      <c r="CA17" s="1211"/>
      <c r="CB17" s="1202">
        <v>329</v>
      </c>
      <c r="CC17" s="1203"/>
      <c r="CD17" s="1204"/>
      <c r="CE17" s="1188">
        <v>9</v>
      </c>
      <c r="CF17" s="1189"/>
      <c r="CG17" s="1211"/>
      <c r="CH17" s="1202">
        <v>173</v>
      </c>
      <c r="CI17" s="1203"/>
      <c r="CJ17" s="1204"/>
      <c r="CK17" s="1188">
        <v>156</v>
      </c>
      <c r="CL17" s="1189"/>
      <c r="CM17" s="1211"/>
      <c r="CN17" s="1188">
        <v>329</v>
      </c>
      <c r="CO17" s="1189"/>
      <c r="CP17" s="1202">
        <v>13</v>
      </c>
      <c r="CQ17" s="1203"/>
      <c r="CR17" s="1204"/>
      <c r="CS17" s="1205">
        <v>3</v>
      </c>
      <c r="CT17" s="1206"/>
      <c r="CU17" s="1207"/>
      <c r="CV17" s="116">
        <v>16</v>
      </c>
      <c r="CW17" s="1208" t="s">
        <v>35</v>
      </c>
      <c r="CX17" s="1209"/>
      <c r="CY17" s="1209"/>
      <c r="CZ17" s="1210"/>
      <c r="DA17" s="159"/>
      <c r="DB17" s="159"/>
      <c r="DC17" s="161"/>
      <c r="DD17" s="315">
        <f t="shared" si="0"/>
        <v>90000</v>
      </c>
    </row>
    <row r="18" spans="1:108" ht="27.75">
      <c r="A18" s="314">
        <v>12</v>
      </c>
      <c r="B18" s="1212" t="s">
        <v>274</v>
      </c>
      <c r="C18" s="1213"/>
      <c r="D18" s="1213"/>
      <c r="E18" s="1214"/>
      <c r="F18" s="1215" t="s">
        <v>265</v>
      </c>
      <c r="G18" s="1216"/>
      <c r="H18" s="1217"/>
      <c r="I18" s="1205">
        <v>8</v>
      </c>
      <c r="J18" s="1207"/>
      <c r="K18" s="1188">
        <v>0</v>
      </c>
      <c r="L18" s="1211"/>
      <c r="M18" s="1205">
        <v>0</v>
      </c>
      <c r="N18" s="1207"/>
      <c r="O18" s="1218">
        <v>0</v>
      </c>
      <c r="P18" s="1220"/>
      <c r="Q18" s="1202">
        <v>0</v>
      </c>
      <c r="R18" s="1204"/>
      <c r="S18" s="1188">
        <v>0</v>
      </c>
      <c r="T18" s="1211"/>
      <c r="U18" s="1218">
        <v>0</v>
      </c>
      <c r="V18" s="1219"/>
      <c r="W18" s="1220"/>
      <c r="X18" s="1218">
        <v>0</v>
      </c>
      <c r="Y18" s="1219"/>
      <c r="Z18" s="1220"/>
      <c r="AA18" s="1205">
        <v>0</v>
      </c>
      <c r="AB18" s="1207"/>
      <c r="AC18" s="1205">
        <v>0</v>
      </c>
      <c r="AD18" s="1207"/>
      <c r="AE18" s="1205">
        <v>0</v>
      </c>
      <c r="AF18" s="1207"/>
      <c r="AG18" s="1202">
        <v>0</v>
      </c>
      <c r="AH18" s="1204"/>
      <c r="AI18" s="1188">
        <v>0</v>
      </c>
      <c r="AJ18" s="1211"/>
      <c r="AK18" s="1205">
        <v>0</v>
      </c>
      <c r="AL18" s="1207"/>
      <c r="AM18" s="1188">
        <v>0</v>
      </c>
      <c r="AN18" s="1211"/>
      <c r="AO18" s="1188">
        <v>0</v>
      </c>
      <c r="AP18" s="1189"/>
      <c r="AQ18" s="1189"/>
      <c r="AR18" s="1211"/>
      <c r="AS18" s="1188">
        <v>0</v>
      </c>
      <c r="AT18" s="1189"/>
      <c r="AU18" s="1211"/>
      <c r="AV18" s="1188">
        <v>2</v>
      </c>
      <c r="AW18" s="1211"/>
      <c r="AX18" s="1188">
        <v>37</v>
      </c>
      <c r="AY18" s="1211"/>
      <c r="AZ18" s="115">
        <v>43</v>
      </c>
      <c r="BA18" s="1188">
        <v>80</v>
      </c>
      <c r="BB18" s="1211"/>
      <c r="BC18" s="1188">
        <v>2</v>
      </c>
      <c r="BD18" s="1211"/>
      <c r="BE18" s="1205">
        <v>31</v>
      </c>
      <c r="BF18" s="1207"/>
      <c r="BG18" s="1205">
        <v>34</v>
      </c>
      <c r="BH18" s="1207"/>
      <c r="BI18" s="1188">
        <v>65</v>
      </c>
      <c r="BJ18" s="1189"/>
      <c r="BK18" s="1189"/>
      <c r="BL18" s="1211"/>
      <c r="BM18" s="1205">
        <v>2</v>
      </c>
      <c r="BN18" s="1206"/>
      <c r="BO18" s="1207"/>
      <c r="BP18" s="1188">
        <v>32</v>
      </c>
      <c r="BQ18" s="1211"/>
      <c r="BR18" s="1188">
        <v>33</v>
      </c>
      <c r="BS18" s="1211"/>
      <c r="BT18" s="115">
        <v>65</v>
      </c>
      <c r="BU18" s="1188">
        <v>6</v>
      </c>
      <c r="BV18" s="1189"/>
      <c r="BW18" s="1211"/>
      <c r="BX18" s="1188">
        <v>100</v>
      </c>
      <c r="BY18" s="1211"/>
      <c r="BZ18" s="1188">
        <v>110</v>
      </c>
      <c r="CA18" s="1211"/>
      <c r="CB18" s="1202">
        <v>210</v>
      </c>
      <c r="CC18" s="1203"/>
      <c r="CD18" s="1204"/>
      <c r="CE18" s="1188">
        <v>6</v>
      </c>
      <c r="CF18" s="1189"/>
      <c r="CG18" s="1211"/>
      <c r="CH18" s="1202">
        <v>100</v>
      </c>
      <c r="CI18" s="1203"/>
      <c r="CJ18" s="1204"/>
      <c r="CK18" s="1188">
        <v>110</v>
      </c>
      <c r="CL18" s="1189"/>
      <c r="CM18" s="1211"/>
      <c r="CN18" s="1188">
        <v>210</v>
      </c>
      <c r="CO18" s="1189"/>
      <c r="CP18" s="1202">
        <v>8</v>
      </c>
      <c r="CQ18" s="1203"/>
      <c r="CR18" s="1204"/>
      <c r="CS18" s="1205">
        <v>2</v>
      </c>
      <c r="CT18" s="1206"/>
      <c r="CU18" s="1207"/>
      <c r="CV18" s="116">
        <v>10</v>
      </c>
      <c r="CW18" s="1208" t="s">
        <v>35</v>
      </c>
      <c r="CX18" s="1209"/>
      <c r="CY18" s="1209"/>
      <c r="CZ18" s="1210"/>
      <c r="DA18" s="159"/>
      <c r="DB18" s="159"/>
      <c r="DC18" s="161"/>
      <c r="DD18" s="315">
        <f t="shared" si="0"/>
        <v>90000</v>
      </c>
    </row>
    <row r="19" spans="1:108" ht="27.75">
      <c r="A19" s="314">
        <v>13</v>
      </c>
      <c r="B19" s="1212" t="s">
        <v>275</v>
      </c>
      <c r="C19" s="1213"/>
      <c r="D19" s="1213"/>
      <c r="E19" s="1214"/>
      <c r="F19" s="1215" t="s">
        <v>265</v>
      </c>
      <c r="G19" s="1216"/>
      <c r="H19" s="1217"/>
      <c r="I19" s="1205">
        <v>7</v>
      </c>
      <c r="J19" s="1207"/>
      <c r="K19" s="1188">
        <v>2</v>
      </c>
      <c r="L19" s="1211"/>
      <c r="M19" s="1205">
        <v>40</v>
      </c>
      <c r="N19" s="1207"/>
      <c r="O19" s="1205">
        <v>24</v>
      </c>
      <c r="P19" s="1207"/>
      <c r="Q19" s="1202">
        <v>64</v>
      </c>
      <c r="R19" s="1204"/>
      <c r="S19" s="1188">
        <v>2</v>
      </c>
      <c r="T19" s="1211"/>
      <c r="U19" s="1205">
        <v>34</v>
      </c>
      <c r="V19" s="1206"/>
      <c r="W19" s="1207"/>
      <c r="X19" s="1205">
        <v>31</v>
      </c>
      <c r="Y19" s="1206"/>
      <c r="Z19" s="1207"/>
      <c r="AA19" s="1205">
        <v>65</v>
      </c>
      <c r="AB19" s="1207"/>
      <c r="AC19" s="1205">
        <v>2</v>
      </c>
      <c r="AD19" s="1207"/>
      <c r="AE19" s="1205">
        <v>24</v>
      </c>
      <c r="AF19" s="1207"/>
      <c r="AG19" s="1202">
        <v>32</v>
      </c>
      <c r="AH19" s="1204"/>
      <c r="AI19" s="1188">
        <v>56</v>
      </c>
      <c r="AJ19" s="1211"/>
      <c r="AK19" s="1205">
        <v>6</v>
      </c>
      <c r="AL19" s="1207"/>
      <c r="AM19" s="1188">
        <v>98</v>
      </c>
      <c r="AN19" s="1211"/>
      <c r="AO19" s="1188">
        <v>87</v>
      </c>
      <c r="AP19" s="1189"/>
      <c r="AQ19" s="1189"/>
      <c r="AR19" s="1211"/>
      <c r="AS19" s="1188">
        <v>185</v>
      </c>
      <c r="AT19" s="1189"/>
      <c r="AU19" s="1211"/>
      <c r="AV19" s="1188">
        <v>2</v>
      </c>
      <c r="AW19" s="1211"/>
      <c r="AX19" s="1188">
        <v>29</v>
      </c>
      <c r="AY19" s="1211"/>
      <c r="AZ19" s="115">
        <v>30</v>
      </c>
      <c r="BA19" s="1188">
        <v>59</v>
      </c>
      <c r="BB19" s="1211"/>
      <c r="BC19" s="1188">
        <v>2</v>
      </c>
      <c r="BD19" s="1211"/>
      <c r="BE19" s="1205">
        <v>36</v>
      </c>
      <c r="BF19" s="1207"/>
      <c r="BG19" s="1205">
        <v>26</v>
      </c>
      <c r="BH19" s="1207"/>
      <c r="BI19" s="1188">
        <v>62</v>
      </c>
      <c r="BJ19" s="1189"/>
      <c r="BK19" s="1189"/>
      <c r="BL19" s="1211"/>
      <c r="BM19" s="1205">
        <v>2</v>
      </c>
      <c r="BN19" s="1206"/>
      <c r="BO19" s="1207"/>
      <c r="BP19" s="1188">
        <v>30</v>
      </c>
      <c r="BQ19" s="1211"/>
      <c r="BR19" s="1188">
        <v>27</v>
      </c>
      <c r="BS19" s="1211"/>
      <c r="BT19" s="115">
        <v>57</v>
      </c>
      <c r="BU19" s="1188">
        <v>6</v>
      </c>
      <c r="BV19" s="1189"/>
      <c r="BW19" s="1211"/>
      <c r="BX19" s="1188">
        <v>95</v>
      </c>
      <c r="BY19" s="1211"/>
      <c r="BZ19" s="1188">
        <v>83</v>
      </c>
      <c r="CA19" s="1211"/>
      <c r="CB19" s="1202">
        <v>178</v>
      </c>
      <c r="CC19" s="1203"/>
      <c r="CD19" s="1204"/>
      <c r="CE19" s="1188">
        <v>12</v>
      </c>
      <c r="CF19" s="1189"/>
      <c r="CG19" s="1211"/>
      <c r="CH19" s="1202">
        <v>193</v>
      </c>
      <c r="CI19" s="1203"/>
      <c r="CJ19" s="1204"/>
      <c r="CK19" s="1188">
        <v>170</v>
      </c>
      <c r="CL19" s="1189"/>
      <c r="CM19" s="1211"/>
      <c r="CN19" s="1188">
        <v>363</v>
      </c>
      <c r="CO19" s="1189"/>
      <c r="CP19" s="1202">
        <v>12</v>
      </c>
      <c r="CQ19" s="1203"/>
      <c r="CR19" s="1204"/>
      <c r="CS19" s="1205">
        <v>3</v>
      </c>
      <c r="CT19" s="1206"/>
      <c r="CU19" s="1207"/>
      <c r="CV19" s="116">
        <v>15</v>
      </c>
      <c r="CW19" s="1208" t="s">
        <v>35</v>
      </c>
      <c r="CX19" s="1209"/>
      <c r="CY19" s="1209"/>
      <c r="CZ19" s="1210"/>
      <c r="DA19" s="159"/>
      <c r="DB19" s="159"/>
      <c r="DC19" s="161"/>
      <c r="DD19" s="315">
        <f t="shared" si="0"/>
        <v>90000</v>
      </c>
    </row>
    <row r="20" spans="1:108" ht="27.75">
      <c r="A20" s="314">
        <v>14</v>
      </c>
      <c r="B20" s="1212" t="s">
        <v>276</v>
      </c>
      <c r="C20" s="1213"/>
      <c r="D20" s="1213"/>
      <c r="E20" s="1214"/>
      <c r="F20" s="1215" t="s">
        <v>265</v>
      </c>
      <c r="G20" s="1216"/>
      <c r="H20" s="1217"/>
      <c r="I20" s="1205">
        <v>6</v>
      </c>
      <c r="J20" s="1207"/>
      <c r="K20" s="1188">
        <v>1</v>
      </c>
      <c r="L20" s="1211"/>
      <c r="M20" s="1205">
        <v>27</v>
      </c>
      <c r="N20" s="1207"/>
      <c r="O20" s="1205">
        <v>26</v>
      </c>
      <c r="P20" s="1207"/>
      <c r="Q20" s="1202">
        <v>53</v>
      </c>
      <c r="R20" s="1204"/>
      <c r="S20" s="1188">
        <v>1</v>
      </c>
      <c r="T20" s="1211"/>
      <c r="U20" s="1205">
        <v>26</v>
      </c>
      <c r="V20" s="1206"/>
      <c r="W20" s="1207"/>
      <c r="X20" s="1205">
        <v>23</v>
      </c>
      <c r="Y20" s="1206"/>
      <c r="Z20" s="1207"/>
      <c r="AA20" s="1205">
        <v>49</v>
      </c>
      <c r="AB20" s="1207"/>
      <c r="AC20" s="1205">
        <v>1</v>
      </c>
      <c r="AD20" s="1207"/>
      <c r="AE20" s="1205">
        <v>27</v>
      </c>
      <c r="AF20" s="1207"/>
      <c r="AG20" s="1202">
        <v>20</v>
      </c>
      <c r="AH20" s="1204"/>
      <c r="AI20" s="1188">
        <v>47</v>
      </c>
      <c r="AJ20" s="1211"/>
      <c r="AK20" s="1205">
        <v>3</v>
      </c>
      <c r="AL20" s="1207"/>
      <c r="AM20" s="1188">
        <v>80</v>
      </c>
      <c r="AN20" s="1211"/>
      <c r="AO20" s="1188">
        <v>69</v>
      </c>
      <c r="AP20" s="1189"/>
      <c r="AQ20" s="1189"/>
      <c r="AR20" s="1211"/>
      <c r="AS20" s="1188">
        <v>149</v>
      </c>
      <c r="AT20" s="1189"/>
      <c r="AU20" s="1211"/>
      <c r="AV20" s="1188">
        <v>1</v>
      </c>
      <c r="AW20" s="1211"/>
      <c r="AX20" s="1188">
        <v>20</v>
      </c>
      <c r="AY20" s="1211"/>
      <c r="AZ20" s="115">
        <v>28</v>
      </c>
      <c r="BA20" s="1188">
        <v>48</v>
      </c>
      <c r="BB20" s="1211"/>
      <c r="BC20" s="1188">
        <v>1</v>
      </c>
      <c r="BD20" s="1211"/>
      <c r="BE20" s="1205">
        <v>24</v>
      </c>
      <c r="BF20" s="1207"/>
      <c r="BG20" s="1205">
        <v>21</v>
      </c>
      <c r="BH20" s="1207"/>
      <c r="BI20" s="1188">
        <v>45</v>
      </c>
      <c r="BJ20" s="1189"/>
      <c r="BK20" s="1189"/>
      <c r="BL20" s="1211"/>
      <c r="BM20" s="1205">
        <v>1</v>
      </c>
      <c r="BN20" s="1206"/>
      <c r="BO20" s="1207"/>
      <c r="BP20" s="1188">
        <v>17</v>
      </c>
      <c r="BQ20" s="1211"/>
      <c r="BR20" s="1188">
        <v>19</v>
      </c>
      <c r="BS20" s="1211"/>
      <c r="BT20" s="115">
        <v>36</v>
      </c>
      <c r="BU20" s="1188">
        <v>3</v>
      </c>
      <c r="BV20" s="1189"/>
      <c r="BW20" s="1211"/>
      <c r="BX20" s="1188">
        <v>61</v>
      </c>
      <c r="BY20" s="1211"/>
      <c r="BZ20" s="1188">
        <v>68</v>
      </c>
      <c r="CA20" s="1211"/>
      <c r="CB20" s="1202">
        <v>129</v>
      </c>
      <c r="CC20" s="1203"/>
      <c r="CD20" s="1204"/>
      <c r="CE20" s="1188">
        <v>6</v>
      </c>
      <c r="CF20" s="1189"/>
      <c r="CG20" s="1211"/>
      <c r="CH20" s="1202">
        <v>141</v>
      </c>
      <c r="CI20" s="1203"/>
      <c r="CJ20" s="1204"/>
      <c r="CK20" s="1188">
        <v>137</v>
      </c>
      <c r="CL20" s="1189"/>
      <c r="CM20" s="1211"/>
      <c r="CN20" s="1188">
        <v>278</v>
      </c>
      <c r="CO20" s="1189"/>
      <c r="CP20" s="1202">
        <v>9</v>
      </c>
      <c r="CQ20" s="1203"/>
      <c r="CR20" s="1204"/>
      <c r="CS20" s="1205">
        <v>1</v>
      </c>
      <c r="CT20" s="1206"/>
      <c r="CU20" s="1207"/>
      <c r="CV20" s="116">
        <v>10</v>
      </c>
      <c r="CW20" s="1208" t="s">
        <v>35</v>
      </c>
      <c r="CX20" s="1209"/>
      <c r="CY20" s="1209"/>
      <c r="CZ20" s="1210"/>
      <c r="DA20" s="159"/>
      <c r="DB20" s="159"/>
      <c r="DC20" s="161"/>
      <c r="DD20" s="315">
        <f t="shared" si="0"/>
        <v>90000</v>
      </c>
    </row>
    <row r="21" spans="1:108" ht="27.75">
      <c r="A21" s="314">
        <v>15</v>
      </c>
      <c r="B21" s="1212" t="s">
        <v>277</v>
      </c>
      <c r="C21" s="1213"/>
      <c r="D21" s="1213"/>
      <c r="E21" s="1214"/>
      <c r="F21" s="1215" t="s">
        <v>265</v>
      </c>
      <c r="G21" s="1216"/>
      <c r="H21" s="1217"/>
      <c r="I21" s="1205">
        <v>8</v>
      </c>
      <c r="J21" s="1207"/>
      <c r="K21" s="1188">
        <v>1</v>
      </c>
      <c r="L21" s="1211"/>
      <c r="M21" s="1205">
        <v>8</v>
      </c>
      <c r="N21" s="1207"/>
      <c r="O21" s="1205">
        <v>22</v>
      </c>
      <c r="P21" s="1207"/>
      <c r="Q21" s="1202">
        <v>30</v>
      </c>
      <c r="R21" s="1204"/>
      <c r="S21" s="1188">
        <v>1</v>
      </c>
      <c r="T21" s="1211"/>
      <c r="U21" s="1205">
        <v>14</v>
      </c>
      <c r="V21" s="1206"/>
      <c r="W21" s="1207"/>
      <c r="X21" s="1205">
        <v>26</v>
      </c>
      <c r="Y21" s="1206"/>
      <c r="Z21" s="1207"/>
      <c r="AA21" s="1205">
        <v>40</v>
      </c>
      <c r="AB21" s="1207"/>
      <c r="AC21" s="1205">
        <v>1</v>
      </c>
      <c r="AD21" s="1207"/>
      <c r="AE21" s="1205">
        <v>13</v>
      </c>
      <c r="AF21" s="1207"/>
      <c r="AG21" s="1202">
        <v>13</v>
      </c>
      <c r="AH21" s="1204"/>
      <c r="AI21" s="1188">
        <v>26</v>
      </c>
      <c r="AJ21" s="1211"/>
      <c r="AK21" s="1205">
        <v>3</v>
      </c>
      <c r="AL21" s="1207"/>
      <c r="AM21" s="1188">
        <v>35</v>
      </c>
      <c r="AN21" s="1211"/>
      <c r="AO21" s="1188">
        <v>61</v>
      </c>
      <c r="AP21" s="1189"/>
      <c r="AQ21" s="1189"/>
      <c r="AR21" s="1211"/>
      <c r="AS21" s="1188">
        <v>96</v>
      </c>
      <c r="AT21" s="1189"/>
      <c r="AU21" s="1211"/>
      <c r="AV21" s="1188">
        <v>1</v>
      </c>
      <c r="AW21" s="1211"/>
      <c r="AX21" s="1188">
        <v>18</v>
      </c>
      <c r="AY21" s="1211"/>
      <c r="AZ21" s="115">
        <v>14</v>
      </c>
      <c r="BA21" s="1188">
        <v>32</v>
      </c>
      <c r="BB21" s="1211"/>
      <c r="BC21" s="1188">
        <v>1</v>
      </c>
      <c r="BD21" s="1211"/>
      <c r="BE21" s="1205">
        <v>16</v>
      </c>
      <c r="BF21" s="1207"/>
      <c r="BG21" s="1205">
        <v>9</v>
      </c>
      <c r="BH21" s="1207"/>
      <c r="BI21" s="1188">
        <v>25</v>
      </c>
      <c r="BJ21" s="1189"/>
      <c r="BK21" s="1189"/>
      <c r="BL21" s="1211"/>
      <c r="BM21" s="1205">
        <v>1</v>
      </c>
      <c r="BN21" s="1206"/>
      <c r="BO21" s="1207"/>
      <c r="BP21" s="1188">
        <v>11</v>
      </c>
      <c r="BQ21" s="1211"/>
      <c r="BR21" s="1188">
        <v>8</v>
      </c>
      <c r="BS21" s="1211"/>
      <c r="BT21" s="115">
        <v>19</v>
      </c>
      <c r="BU21" s="1188">
        <v>3</v>
      </c>
      <c r="BV21" s="1189"/>
      <c r="BW21" s="1211"/>
      <c r="BX21" s="1188">
        <v>45</v>
      </c>
      <c r="BY21" s="1211"/>
      <c r="BZ21" s="1188">
        <v>31</v>
      </c>
      <c r="CA21" s="1211"/>
      <c r="CB21" s="1202">
        <v>76</v>
      </c>
      <c r="CC21" s="1203"/>
      <c r="CD21" s="1204"/>
      <c r="CE21" s="1188">
        <v>6</v>
      </c>
      <c r="CF21" s="1189"/>
      <c r="CG21" s="1211"/>
      <c r="CH21" s="1202">
        <v>80</v>
      </c>
      <c r="CI21" s="1203"/>
      <c r="CJ21" s="1204"/>
      <c r="CK21" s="1188">
        <v>92</v>
      </c>
      <c r="CL21" s="1189"/>
      <c r="CM21" s="1211"/>
      <c r="CN21" s="1188">
        <v>172</v>
      </c>
      <c r="CO21" s="1189"/>
      <c r="CP21" s="1202">
        <v>9</v>
      </c>
      <c r="CQ21" s="1203"/>
      <c r="CR21" s="1204"/>
      <c r="CS21" s="1205">
        <v>1</v>
      </c>
      <c r="CT21" s="1206"/>
      <c r="CU21" s="1207"/>
      <c r="CV21" s="116">
        <v>10</v>
      </c>
      <c r="CW21" s="1208" t="s">
        <v>35</v>
      </c>
      <c r="CX21" s="1209"/>
      <c r="CY21" s="1209"/>
      <c r="CZ21" s="1210"/>
      <c r="DA21" s="159"/>
      <c r="DB21" s="159"/>
      <c r="DC21" s="161"/>
      <c r="DD21" s="315">
        <f t="shared" si="0"/>
        <v>90000</v>
      </c>
    </row>
    <row r="22" spans="1:108" ht="27.75">
      <c r="A22" s="314">
        <v>16</v>
      </c>
      <c r="B22" s="1212" t="s">
        <v>278</v>
      </c>
      <c r="C22" s="1213"/>
      <c r="D22" s="1213"/>
      <c r="E22" s="1214"/>
      <c r="F22" s="1215" t="s">
        <v>265</v>
      </c>
      <c r="G22" s="1216"/>
      <c r="H22" s="1217"/>
      <c r="I22" s="1205">
        <v>7</v>
      </c>
      <c r="J22" s="1207"/>
      <c r="K22" s="1188">
        <v>1</v>
      </c>
      <c r="L22" s="1211"/>
      <c r="M22" s="1205">
        <v>28</v>
      </c>
      <c r="N22" s="1207"/>
      <c r="O22" s="1205">
        <v>22</v>
      </c>
      <c r="P22" s="1207"/>
      <c r="Q22" s="1202">
        <v>50</v>
      </c>
      <c r="R22" s="1204"/>
      <c r="S22" s="1188">
        <v>1</v>
      </c>
      <c r="T22" s="1211"/>
      <c r="U22" s="1205">
        <v>21</v>
      </c>
      <c r="V22" s="1206"/>
      <c r="W22" s="1207"/>
      <c r="X22" s="1205">
        <v>19</v>
      </c>
      <c r="Y22" s="1206"/>
      <c r="Z22" s="1207"/>
      <c r="AA22" s="1205">
        <v>40</v>
      </c>
      <c r="AB22" s="1207"/>
      <c r="AC22" s="1205">
        <v>1</v>
      </c>
      <c r="AD22" s="1207"/>
      <c r="AE22" s="1205">
        <v>23</v>
      </c>
      <c r="AF22" s="1207"/>
      <c r="AG22" s="1202">
        <v>15</v>
      </c>
      <c r="AH22" s="1204"/>
      <c r="AI22" s="1188">
        <v>38</v>
      </c>
      <c r="AJ22" s="1211"/>
      <c r="AK22" s="1205">
        <v>3</v>
      </c>
      <c r="AL22" s="1207"/>
      <c r="AM22" s="1188">
        <v>72</v>
      </c>
      <c r="AN22" s="1211"/>
      <c r="AO22" s="1188">
        <v>56</v>
      </c>
      <c r="AP22" s="1189"/>
      <c r="AQ22" s="1189"/>
      <c r="AR22" s="1211"/>
      <c r="AS22" s="1188">
        <v>128</v>
      </c>
      <c r="AT22" s="1189"/>
      <c r="AU22" s="1211"/>
      <c r="AV22" s="1188">
        <v>1</v>
      </c>
      <c r="AW22" s="1211"/>
      <c r="AX22" s="1188">
        <v>16</v>
      </c>
      <c r="AY22" s="1211"/>
      <c r="AZ22" s="115">
        <v>23</v>
      </c>
      <c r="BA22" s="1188">
        <v>39</v>
      </c>
      <c r="BB22" s="1211"/>
      <c r="BC22" s="1188">
        <v>1</v>
      </c>
      <c r="BD22" s="1211"/>
      <c r="BE22" s="1205">
        <v>24</v>
      </c>
      <c r="BF22" s="1207"/>
      <c r="BG22" s="1205">
        <v>13</v>
      </c>
      <c r="BH22" s="1207"/>
      <c r="BI22" s="1188">
        <v>37</v>
      </c>
      <c r="BJ22" s="1189"/>
      <c r="BK22" s="1189"/>
      <c r="BL22" s="1211"/>
      <c r="BM22" s="1205">
        <v>1</v>
      </c>
      <c r="BN22" s="1206"/>
      <c r="BO22" s="1207"/>
      <c r="BP22" s="1188">
        <v>15</v>
      </c>
      <c r="BQ22" s="1211"/>
      <c r="BR22" s="1188">
        <v>14</v>
      </c>
      <c r="BS22" s="1211"/>
      <c r="BT22" s="115">
        <v>29</v>
      </c>
      <c r="BU22" s="1188">
        <v>3</v>
      </c>
      <c r="BV22" s="1189"/>
      <c r="BW22" s="1211"/>
      <c r="BX22" s="1188">
        <v>55</v>
      </c>
      <c r="BY22" s="1211"/>
      <c r="BZ22" s="1188">
        <v>50</v>
      </c>
      <c r="CA22" s="1211"/>
      <c r="CB22" s="1202">
        <v>105</v>
      </c>
      <c r="CC22" s="1203"/>
      <c r="CD22" s="1204"/>
      <c r="CE22" s="1188">
        <v>6</v>
      </c>
      <c r="CF22" s="1189"/>
      <c r="CG22" s="1211"/>
      <c r="CH22" s="1202">
        <v>127</v>
      </c>
      <c r="CI22" s="1203"/>
      <c r="CJ22" s="1204"/>
      <c r="CK22" s="1188">
        <v>106</v>
      </c>
      <c r="CL22" s="1189"/>
      <c r="CM22" s="1211"/>
      <c r="CN22" s="1188">
        <v>233</v>
      </c>
      <c r="CO22" s="1189"/>
      <c r="CP22" s="1202">
        <v>10</v>
      </c>
      <c r="CQ22" s="1203"/>
      <c r="CR22" s="1204"/>
      <c r="CS22" s="1205">
        <v>4</v>
      </c>
      <c r="CT22" s="1206"/>
      <c r="CU22" s="1207"/>
      <c r="CV22" s="116">
        <v>14</v>
      </c>
      <c r="CW22" s="1208" t="s">
        <v>35</v>
      </c>
      <c r="CX22" s="1209"/>
      <c r="CY22" s="1209"/>
      <c r="CZ22" s="1210"/>
      <c r="DA22" s="159"/>
      <c r="DB22" s="159"/>
      <c r="DC22" s="161"/>
      <c r="DD22" s="315">
        <f t="shared" si="0"/>
        <v>90000</v>
      </c>
    </row>
    <row r="23" spans="1:108" ht="27.75">
      <c r="A23" s="314">
        <v>17</v>
      </c>
      <c r="B23" s="1212" t="s">
        <v>279</v>
      </c>
      <c r="C23" s="1213"/>
      <c r="D23" s="1213"/>
      <c r="E23" s="1214"/>
      <c r="F23" s="1215" t="s">
        <v>265</v>
      </c>
      <c r="G23" s="1216"/>
      <c r="H23" s="1217"/>
      <c r="I23" s="1205">
        <v>10</v>
      </c>
      <c r="J23" s="1207"/>
      <c r="K23" s="1188">
        <v>2</v>
      </c>
      <c r="L23" s="1211"/>
      <c r="M23" s="1205">
        <v>26</v>
      </c>
      <c r="N23" s="1207"/>
      <c r="O23" s="1205">
        <v>36</v>
      </c>
      <c r="P23" s="1207"/>
      <c r="Q23" s="1202">
        <v>62</v>
      </c>
      <c r="R23" s="1204"/>
      <c r="S23" s="1188">
        <v>2</v>
      </c>
      <c r="T23" s="1211"/>
      <c r="U23" s="1205">
        <v>31</v>
      </c>
      <c r="V23" s="1206"/>
      <c r="W23" s="1207"/>
      <c r="X23" s="1205">
        <v>42</v>
      </c>
      <c r="Y23" s="1206"/>
      <c r="Z23" s="1207"/>
      <c r="AA23" s="1205">
        <v>73</v>
      </c>
      <c r="AB23" s="1207"/>
      <c r="AC23" s="1205">
        <v>2</v>
      </c>
      <c r="AD23" s="1207"/>
      <c r="AE23" s="1205">
        <v>53</v>
      </c>
      <c r="AF23" s="1207"/>
      <c r="AG23" s="1202">
        <v>29</v>
      </c>
      <c r="AH23" s="1204"/>
      <c r="AI23" s="1188">
        <v>82</v>
      </c>
      <c r="AJ23" s="1211"/>
      <c r="AK23" s="1205">
        <v>6</v>
      </c>
      <c r="AL23" s="1207"/>
      <c r="AM23" s="1188">
        <v>110</v>
      </c>
      <c r="AN23" s="1211"/>
      <c r="AO23" s="1188">
        <v>107</v>
      </c>
      <c r="AP23" s="1189"/>
      <c r="AQ23" s="1189"/>
      <c r="AR23" s="1211"/>
      <c r="AS23" s="1188">
        <v>217</v>
      </c>
      <c r="AT23" s="1189"/>
      <c r="AU23" s="1211"/>
      <c r="AV23" s="1188">
        <v>2</v>
      </c>
      <c r="AW23" s="1211"/>
      <c r="AX23" s="1188">
        <v>49</v>
      </c>
      <c r="AY23" s="1211"/>
      <c r="AZ23" s="115">
        <v>24</v>
      </c>
      <c r="BA23" s="1188">
        <v>73</v>
      </c>
      <c r="BB23" s="1211"/>
      <c r="BC23" s="1188">
        <v>2</v>
      </c>
      <c r="BD23" s="1211"/>
      <c r="BE23" s="1205">
        <v>27</v>
      </c>
      <c r="BF23" s="1207"/>
      <c r="BG23" s="1205">
        <v>46</v>
      </c>
      <c r="BH23" s="1207"/>
      <c r="BI23" s="1188">
        <v>73</v>
      </c>
      <c r="BJ23" s="1189"/>
      <c r="BK23" s="1189"/>
      <c r="BL23" s="1211"/>
      <c r="BM23" s="1205">
        <v>2</v>
      </c>
      <c r="BN23" s="1206"/>
      <c r="BO23" s="1207"/>
      <c r="BP23" s="1188">
        <v>35</v>
      </c>
      <c r="BQ23" s="1211"/>
      <c r="BR23" s="1188">
        <v>32</v>
      </c>
      <c r="BS23" s="1211"/>
      <c r="BT23" s="115">
        <v>67</v>
      </c>
      <c r="BU23" s="1188">
        <v>6</v>
      </c>
      <c r="BV23" s="1189"/>
      <c r="BW23" s="1211"/>
      <c r="BX23" s="1188">
        <v>111</v>
      </c>
      <c r="BY23" s="1211"/>
      <c r="BZ23" s="1188">
        <v>102</v>
      </c>
      <c r="CA23" s="1211"/>
      <c r="CB23" s="1202">
        <v>213</v>
      </c>
      <c r="CC23" s="1203"/>
      <c r="CD23" s="1204"/>
      <c r="CE23" s="1188">
        <v>12</v>
      </c>
      <c r="CF23" s="1189"/>
      <c r="CG23" s="1211"/>
      <c r="CH23" s="1202">
        <v>221</v>
      </c>
      <c r="CI23" s="1203"/>
      <c r="CJ23" s="1204"/>
      <c r="CK23" s="1188">
        <v>209</v>
      </c>
      <c r="CL23" s="1189"/>
      <c r="CM23" s="1211"/>
      <c r="CN23" s="1188">
        <v>430</v>
      </c>
      <c r="CO23" s="1189"/>
      <c r="CP23" s="1202">
        <v>11</v>
      </c>
      <c r="CQ23" s="1203"/>
      <c r="CR23" s="1204"/>
      <c r="CS23" s="1205">
        <v>0</v>
      </c>
      <c r="CT23" s="1206"/>
      <c r="CU23" s="1207"/>
      <c r="CV23" s="116">
        <v>11</v>
      </c>
      <c r="CW23" s="1208" t="s">
        <v>35</v>
      </c>
      <c r="CX23" s="1209"/>
      <c r="CY23" s="1209"/>
      <c r="CZ23" s="1210"/>
      <c r="DA23" s="159"/>
      <c r="DB23" s="159"/>
      <c r="DC23" s="161"/>
      <c r="DD23" s="315">
        <f t="shared" si="0"/>
        <v>90000</v>
      </c>
    </row>
    <row r="24" spans="1:108" ht="27.75">
      <c r="A24" s="314">
        <v>18</v>
      </c>
      <c r="B24" s="1212" t="s">
        <v>280</v>
      </c>
      <c r="C24" s="1213"/>
      <c r="D24" s="1213"/>
      <c r="E24" s="1214"/>
      <c r="F24" s="1215" t="s">
        <v>265</v>
      </c>
      <c r="G24" s="1216"/>
      <c r="H24" s="1217"/>
      <c r="I24" s="1205">
        <v>9</v>
      </c>
      <c r="J24" s="1207"/>
      <c r="K24" s="1188">
        <v>1</v>
      </c>
      <c r="L24" s="1211"/>
      <c r="M24" s="1205">
        <v>30</v>
      </c>
      <c r="N24" s="1207"/>
      <c r="O24" s="1205">
        <v>21</v>
      </c>
      <c r="P24" s="1207"/>
      <c r="Q24" s="1202">
        <v>51</v>
      </c>
      <c r="R24" s="1204"/>
      <c r="S24" s="1188">
        <v>1</v>
      </c>
      <c r="T24" s="1211"/>
      <c r="U24" s="1205">
        <v>29</v>
      </c>
      <c r="V24" s="1206"/>
      <c r="W24" s="1207"/>
      <c r="X24" s="1205">
        <v>26</v>
      </c>
      <c r="Y24" s="1206"/>
      <c r="Z24" s="1207"/>
      <c r="AA24" s="1205">
        <v>55</v>
      </c>
      <c r="AB24" s="1207"/>
      <c r="AC24" s="1205">
        <v>1</v>
      </c>
      <c r="AD24" s="1207"/>
      <c r="AE24" s="1205">
        <v>21</v>
      </c>
      <c r="AF24" s="1207"/>
      <c r="AG24" s="1202">
        <v>14</v>
      </c>
      <c r="AH24" s="1204"/>
      <c r="AI24" s="1188">
        <v>35</v>
      </c>
      <c r="AJ24" s="1211"/>
      <c r="AK24" s="1205">
        <v>3</v>
      </c>
      <c r="AL24" s="1207"/>
      <c r="AM24" s="1188">
        <v>80</v>
      </c>
      <c r="AN24" s="1211"/>
      <c r="AO24" s="1188">
        <v>61</v>
      </c>
      <c r="AP24" s="1189"/>
      <c r="AQ24" s="1189"/>
      <c r="AR24" s="1211"/>
      <c r="AS24" s="1188">
        <v>141</v>
      </c>
      <c r="AT24" s="1189"/>
      <c r="AU24" s="1211"/>
      <c r="AV24" s="1188">
        <v>1</v>
      </c>
      <c r="AW24" s="1211"/>
      <c r="AX24" s="1188">
        <v>23</v>
      </c>
      <c r="AY24" s="1211"/>
      <c r="AZ24" s="115">
        <v>20</v>
      </c>
      <c r="BA24" s="1188">
        <v>43</v>
      </c>
      <c r="BB24" s="1211"/>
      <c r="BC24" s="1188">
        <v>1</v>
      </c>
      <c r="BD24" s="1211"/>
      <c r="BE24" s="1205">
        <v>17</v>
      </c>
      <c r="BF24" s="1207"/>
      <c r="BG24" s="1205">
        <v>23</v>
      </c>
      <c r="BH24" s="1207"/>
      <c r="BI24" s="1188">
        <v>40</v>
      </c>
      <c r="BJ24" s="1189"/>
      <c r="BK24" s="1189"/>
      <c r="BL24" s="1211"/>
      <c r="BM24" s="1205">
        <v>1</v>
      </c>
      <c r="BN24" s="1206"/>
      <c r="BO24" s="1207"/>
      <c r="BP24" s="1188">
        <v>28</v>
      </c>
      <c r="BQ24" s="1211"/>
      <c r="BR24" s="1188">
        <v>12</v>
      </c>
      <c r="BS24" s="1211"/>
      <c r="BT24" s="115">
        <v>40</v>
      </c>
      <c r="BU24" s="1188">
        <v>3</v>
      </c>
      <c r="BV24" s="1189"/>
      <c r="BW24" s="1211"/>
      <c r="BX24" s="1188">
        <v>68</v>
      </c>
      <c r="BY24" s="1211"/>
      <c r="BZ24" s="1188">
        <v>55</v>
      </c>
      <c r="CA24" s="1211"/>
      <c r="CB24" s="1202">
        <v>123</v>
      </c>
      <c r="CC24" s="1203"/>
      <c r="CD24" s="1204"/>
      <c r="CE24" s="1188">
        <v>6</v>
      </c>
      <c r="CF24" s="1189"/>
      <c r="CG24" s="1211"/>
      <c r="CH24" s="1202">
        <v>148</v>
      </c>
      <c r="CI24" s="1203"/>
      <c r="CJ24" s="1204"/>
      <c r="CK24" s="1188">
        <v>116</v>
      </c>
      <c r="CL24" s="1189"/>
      <c r="CM24" s="1211"/>
      <c r="CN24" s="1188">
        <v>264</v>
      </c>
      <c r="CO24" s="1189"/>
      <c r="CP24" s="1202">
        <v>7</v>
      </c>
      <c r="CQ24" s="1203"/>
      <c r="CR24" s="1204"/>
      <c r="CS24" s="1205">
        <v>1</v>
      </c>
      <c r="CT24" s="1206"/>
      <c r="CU24" s="1207"/>
      <c r="CV24" s="116">
        <v>8</v>
      </c>
      <c r="CW24" s="1208" t="s">
        <v>35</v>
      </c>
      <c r="CX24" s="1209"/>
      <c r="CY24" s="1209"/>
      <c r="CZ24" s="1210"/>
      <c r="DA24" s="159"/>
      <c r="DB24" s="159"/>
      <c r="DC24" s="161"/>
      <c r="DD24" s="315">
        <f t="shared" si="0"/>
        <v>90000</v>
      </c>
    </row>
    <row r="25" spans="1:108" ht="27.75">
      <c r="A25" s="314">
        <v>19</v>
      </c>
      <c r="B25" s="1212" t="s">
        <v>281</v>
      </c>
      <c r="C25" s="1213"/>
      <c r="D25" s="1213"/>
      <c r="E25" s="1214"/>
      <c r="F25" s="1215" t="s">
        <v>265</v>
      </c>
      <c r="G25" s="1216"/>
      <c r="H25" s="1217"/>
      <c r="I25" s="1205">
        <v>5</v>
      </c>
      <c r="J25" s="1207"/>
      <c r="K25" s="1188">
        <v>2</v>
      </c>
      <c r="L25" s="1211"/>
      <c r="M25" s="1205">
        <v>41</v>
      </c>
      <c r="N25" s="1207"/>
      <c r="O25" s="1205">
        <v>45</v>
      </c>
      <c r="P25" s="1207"/>
      <c r="Q25" s="1202">
        <v>86</v>
      </c>
      <c r="R25" s="1204"/>
      <c r="S25" s="1188">
        <v>2</v>
      </c>
      <c r="T25" s="1211"/>
      <c r="U25" s="1205">
        <v>48</v>
      </c>
      <c r="V25" s="1206"/>
      <c r="W25" s="1207"/>
      <c r="X25" s="1205">
        <v>41</v>
      </c>
      <c r="Y25" s="1206"/>
      <c r="Z25" s="1207"/>
      <c r="AA25" s="1205">
        <v>89</v>
      </c>
      <c r="AB25" s="1207"/>
      <c r="AC25" s="1205">
        <v>2</v>
      </c>
      <c r="AD25" s="1207"/>
      <c r="AE25" s="1205">
        <v>34</v>
      </c>
      <c r="AF25" s="1207"/>
      <c r="AG25" s="1202">
        <v>41</v>
      </c>
      <c r="AH25" s="1204"/>
      <c r="AI25" s="1188">
        <v>75</v>
      </c>
      <c r="AJ25" s="1211"/>
      <c r="AK25" s="1205">
        <v>6</v>
      </c>
      <c r="AL25" s="1207"/>
      <c r="AM25" s="1188">
        <v>123</v>
      </c>
      <c r="AN25" s="1211"/>
      <c r="AO25" s="1188">
        <v>127</v>
      </c>
      <c r="AP25" s="1189"/>
      <c r="AQ25" s="1189"/>
      <c r="AR25" s="1211"/>
      <c r="AS25" s="1188">
        <v>250</v>
      </c>
      <c r="AT25" s="1189"/>
      <c r="AU25" s="1211"/>
      <c r="AV25" s="1188">
        <v>2</v>
      </c>
      <c r="AW25" s="1211"/>
      <c r="AX25" s="1188">
        <v>34</v>
      </c>
      <c r="AY25" s="1211"/>
      <c r="AZ25" s="115">
        <v>46</v>
      </c>
      <c r="BA25" s="1188">
        <v>80</v>
      </c>
      <c r="BB25" s="1211"/>
      <c r="BC25" s="1188">
        <v>2</v>
      </c>
      <c r="BD25" s="1211"/>
      <c r="BE25" s="1205">
        <v>39</v>
      </c>
      <c r="BF25" s="1207"/>
      <c r="BG25" s="1205">
        <v>25</v>
      </c>
      <c r="BH25" s="1207"/>
      <c r="BI25" s="1188">
        <v>64</v>
      </c>
      <c r="BJ25" s="1189"/>
      <c r="BK25" s="1189"/>
      <c r="BL25" s="1211"/>
      <c r="BM25" s="1205">
        <v>2</v>
      </c>
      <c r="BN25" s="1206"/>
      <c r="BO25" s="1207"/>
      <c r="BP25" s="1188">
        <v>32</v>
      </c>
      <c r="BQ25" s="1211"/>
      <c r="BR25" s="1188">
        <v>32</v>
      </c>
      <c r="BS25" s="1211"/>
      <c r="BT25" s="115">
        <v>64</v>
      </c>
      <c r="BU25" s="1188">
        <v>6</v>
      </c>
      <c r="BV25" s="1189"/>
      <c r="BW25" s="1211"/>
      <c r="BX25" s="1188">
        <v>105</v>
      </c>
      <c r="BY25" s="1211"/>
      <c r="BZ25" s="1188">
        <v>103</v>
      </c>
      <c r="CA25" s="1211"/>
      <c r="CB25" s="1202">
        <v>208</v>
      </c>
      <c r="CC25" s="1203"/>
      <c r="CD25" s="1204"/>
      <c r="CE25" s="1188">
        <v>12</v>
      </c>
      <c r="CF25" s="1189"/>
      <c r="CG25" s="1211"/>
      <c r="CH25" s="1202">
        <v>228</v>
      </c>
      <c r="CI25" s="1203"/>
      <c r="CJ25" s="1204"/>
      <c r="CK25" s="1188">
        <v>230</v>
      </c>
      <c r="CL25" s="1189"/>
      <c r="CM25" s="1211"/>
      <c r="CN25" s="1188">
        <v>458</v>
      </c>
      <c r="CO25" s="1189"/>
      <c r="CP25" s="1202">
        <v>14</v>
      </c>
      <c r="CQ25" s="1203"/>
      <c r="CR25" s="1204"/>
      <c r="CS25" s="1205">
        <v>1</v>
      </c>
      <c r="CT25" s="1206"/>
      <c r="CU25" s="1207"/>
      <c r="CV25" s="116">
        <v>15</v>
      </c>
      <c r="CW25" s="1208" t="s">
        <v>35</v>
      </c>
      <c r="CX25" s="1209"/>
      <c r="CY25" s="1209"/>
      <c r="CZ25" s="1210"/>
      <c r="DA25" s="159"/>
      <c r="DB25" s="159"/>
      <c r="DC25" s="161"/>
      <c r="DD25" s="315">
        <f t="shared" si="0"/>
        <v>90000</v>
      </c>
    </row>
    <row r="26" spans="1:108" ht="18.75" hidden="1" customHeight="1">
      <c r="A26" s="314">
        <v>20</v>
      </c>
      <c r="B26" s="1190"/>
      <c r="C26" s="1191"/>
      <c r="D26" s="1191"/>
      <c r="E26" s="1192"/>
      <c r="F26" s="1190"/>
      <c r="G26" s="1191"/>
      <c r="H26" s="1192"/>
      <c r="I26" s="1190"/>
      <c r="J26" s="1192"/>
      <c r="K26" s="1190"/>
      <c r="L26" s="1192"/>
      <c r="M26" s="1190"/>
      <c r="N26" s="1192"/>
      <c r="O26" s="1190"/>
      <c r="P26" s="1192"/>
      <c r="Q26" s="1190"/>
      <c r="R26" s="1192"/>
      <c r="S26" s="1190"/>
      <c r="T26" s="1192"/>
      <c r="U26" s="1190"/>
      <c r="V26" s="1191"/>
      <c r="W26" s="1192"/>
      <c r="X26" s="1190"/>
      <c r="Y26" s="1191"/>
      <c r="Z26" s="1192"/>
      <c r="AA26" s="1190"/>
      <c r="AB26" s="1192"/>
      <c r="AC26" s="1190"/>
      <c r="AD26" s="1192"/>
      <c r="AE26" s="1190"/>
      <c r="AF26" s="1192"/>
      <c r="AG26" s="1190"/>
      <c r="AH26" s="1192"/>
      <c r="AI26" s="1190"/>
      <c r="AJ26" s="1192"/>
      <c r="AK26" s="1190"/>
      <c r="AL26" s="1192"/>
      <c r="AM26" s="1190"/>
      <c r="AN26" s="1192"/>
      <c r="AO26" s="1190"/>
      <c r="AP26" s="1191"/>
      <c r="AQ26" s="1191"/>
      <c r="AR26" s="1192"/>
      <c r="AS26" s="1190"/>
      <c r="AT26" s="1191"/>
      <c r="AU26" s="1192"/>
      <c r="AV26" s="1190"/>
      <c r="AW26" s="1192"/>
      <c r="AX26" s="1190"/>
      <c r="AY26" s="1192"/>
      <c r="AZ26" s="162"/>
      <c r="BA26" s="1190"/>
      <c r="BB26" s="1192"/>
      <c r="BC26" s="1190"/>
      <c r="BD26" s="1192"/>
      <c r="BE26" s="1190"/>
      <c r="BF26" s="1192"/>
      <c r="BG26" s="1190"/>
      <c r="BH26" s="1192"/>
      <c r="BI26" s="1190"/>
      <c r="BJ26" s="1191"/>
      <c r="BK26" s="1191"/>
      <c r="BL26" s="1192"/>
      <c r="BM26" s="1190"/>
      <c r="BN26" s="1191"/>
      <c r="BO26" s="1192"/>
      <c r="BP26" s="1190"/>
      <c r="BQ26" s="1192"/>
      <c r="BR26" s="1190"/>
      <c r="BS26" s="1192"/>
      <c r="BT26" s="162"/>
      <c r="BU26" s="1190"/>
      <c r="BV26" s="1191"/>
      <c r="BW26" s="1192"/>
      <c r="BX26" s="1190"/>
      <c r="BY26" s="1192"/>
      <c r="BZ26" s="1190"/>
      <c r="CA26" s="1192"/>
      <c r="CB26" s="1190"/>
      <c r="CC26" s="1191"/>
      <c r="CD26" s="1192"/>
      <c r="CE26" s="1190"/>
      <c r="CF26" s="1191"/>
      <c r="CG26" s="1192"/>
      <c r="CH26" s="1190"/>
      <c r="CI26" s="1191"/>
      <c r="CJ26" s="1192"/>
      <c r="CK26" s="1190"/>
      <c r="CL26" s="1191"/>
      <c r="CM26" s="1192"/>
      <c r="CN26" s="1188"/>
      <c r="CO26" s="1189"/>
      <c r="CP26" s="1190"/>
      <c r="CQ26" s="1191"/>
      <c r="CR26" s="1192"/>
      <c r="CS26" s="1190"/>
      <c r="CT26" s="1191"/>
      <c r="CU26" s="1192"/>
      <c r="CV26" s="162"/>
      <c r="CW26" s="1190"/>
      <c r="CX26" s="1191"/>
      <c r="CY26" s="1191"/>
      <c r="CZ26" s="1192"/>
      <c r="DA26" s="159"/>
      <c r="DB26" s="159"/>
      <c r="DC26" s="161"/>
      <c r="DD26" s="315">
        <f t="shared" si="0"/>
        <v>90000</v>
      </c>
    </row>
    <row r="27" spans="1:108" ht="18.75" hidden="1" customHeight="1">
      <c r="A27" s="314">
        <v>21</v>
      </c>
      <c r="B27" s="1190"/>
      <c r="C27" s="1191"/>
      <c r="D27" s="1191"/>
      <c r="E27" s="1192"/>
      <c r="F27" s="1190"/>
      <c r="G27" s="1191"/>
      <c r="H27" s="1192"/>
      <c r="I27" s="1190"/>
      <c r="J27" s="1192"/>
      <c r="K27" s="1190"/>
      <c r="L27" s="1192"/>
      <c r="M27" s="1190"/>
      <c r="N27" s="1192"/>
      <c r="O27" s="1190"/>
      <c r="P27" s="1192"/>
      <c r="Q27" s="1190"/>
      <c r="R27" s="1192"/>
      <c r="S27" s="1190"/>
      <c r="T27" s="1192"/>
      <c r="U27" s="1190"/>
      <c r="V27" s="1191"/>
      <c r="W27" s="1192"/>
      <c r="X27" s="1190"/>
      <c r="Y27" s="1191"/>
      <c r="Z27" s="1192"/>
      <c r="AA27" s="1190"/>
      <c r="AB27" s="1192"/>
      <c r="AC27" s="1190"/>
      <c r="AD27" s="1192"/>
      <c r="AE27" s="1190"/>
      <c r="AF27" s="1192"/>
      <c r="AG27" s="1190"/>
      <c r="AH27" s="1192"/>
      <c r="AI27" s="1190"/>
      <c r="AJ27" s="1192"/>
      <c r="AK27" s="1190"/>
      <c r="AL27" s="1192"/>
      <c r="AM27" s="1190"/>
      <c r="AN27" s="1192"/>
      <c r="AO27" s="1190"/>
      <c r="AP27" s="1191"/>
      <c r="AQ27" s="1191"/>
      <c r="AR27" s="1192"/>
      <c r="AS27" s="1190"/>
      <c r="AT27" s="1191"/>
      <c r="AU27" s="1192"/>
      <c r="AV27" s="1190"/>
      <c r="AW27" s="1192"/>
      <c r="AX27" s="1190"/>
      <c r="AY27" s="1192"/>
      <c r="AZ27" s="162"/>
      <c r="BA27" s="1190"/>
      <c r="BB27" s="1192"/>
      <c r="BC27" s="1190"/>
      <c r="BD27" s="1192"/>
      <c r="BE27" s="1190"/>
      <c r="BF27" s="1192"/>
      <c r="BG27" s="1190"/>
      <c r="BH27" s="1192"/>
      <c r="BI27" s="1190"/>
      <c r="BJ27" s="1191"/>
      <c r="BK27" s="1191"/>
      <c r="BL27" s="1192"/>
      <c r="BM27" s="1190"/>
      <c r="BN27" s="1191"/>
      <c r="BO27" s="1192"/>
      <c r="BP27" s="1190"/>
      <c r="BQ27" s="1192"/>
      <c r="BR27" s="1190"/>
      <c r="BS27" s="1192"/>
      <c r="BT27" s="162"/>
      <c r="BU27" s="1190"/>
      <c r="BV27" s="1191"/>
      <c r="BW27" s="1192"/>
      <c r="BX27" s="1190"/>
      <c r="BY27" s="1192"/>
      <c r="BZ27" s="1190"/>
      <c r="CA27" s="1192"/>
      <c r="CB27" s="1190"/>
      <c r="CC27" s="1191"/>
      <c r="CD27" s="1192"/>
      <c r="CE27" s="1190"/>
      <c r="CF27" s="1191"/>
      <c r="CG27" s="1192"/>
      <c r="CH27" s="1190"/>
      <c r="CI27" s="1191"/>
      <c r="CJ27" s="1192"/>
      <c r="CK27" s="1190"/>
      <c r="CL27" s="1191"/>
      <c r="CM27" s="1192"/>
      <c r="CN27" s="1188"/>
      <c r="CO27" s="1189"/>
      <c r="CP27" s="1190"/>
      <c r="CQ27" s="1191"/>
      <c r="CR27" s="1192"/>
      <c r="CS27" s="1190"/>
      <c r="CT27" s="1191"/>
      <c r="CU27" s="1192"/>
      <c r="CV27" s="162"/>
      <c r="CW27" s="1190"/>
      <c r="CX27" s="1191"/>
      <c r="CY27" s="1191"/>
      <c r="CZ27" s="1192"/>
      <c r="DA27" s="159"/>
      <c r="DB27" s="159"/>
      <c r="DC27" s="161"/>
      <c r="DD27" s="315">
        <f t="shared" si="0"/>
        <v>90000</v>
      </c>
    </row>
    <row r="28" spans="1:108" ht="18.75" hidden="1" customHeight="1">
      <c r="A28" s="314">
        <v>22</v>
      </c>
      <c r="B28" s="1190"/>
      <c r="C28" s="1191"/>
      <c r="D28" s="1191"/>
      <c r="E28" s="1192"/>
      <c r="F28" s="1190"/>
      <c r="G28" s="1191"/>
      <c r="H28" s="1192"/>
      <c r="I28" s="1190"/>
      <c r="J28" s="1192"/>
      <c r="K28" s="1190"/>
      <c r="L28" s="1192"/>
      <c r="M28" s="1190"/>
      <c r="N28" s="1192"/>
      <c r="O28" s="1190"/>
      <c r="P28" s="1192"/>
      <c r="Q28" s="1190"/>
      <c r="R28" s="1192"/>
      <c r="S28" s="1190"/>
      <c r="T28" s="1192"/>
      <c r="U28" s="1190"/>
      <c r="V28" s="1191"/>
      <c r="W28" s="1192"/>
      <c r="X28" s="1190"/>
      <c r="Y28" s="1191"/>
      <c r="Z28" s="1192"/>
      <c r="AA28" s="1190"/>
      <c r="AB28" s="1192"/>
      <c r="AC28" s="1190"/>
      <c r="AD28" s="1192"/>
      <c r="AE28" s="1190"/>
      <c r="AF28" s="1192"/>
      <c r="AG28" s="1190"/>
      <c r="AH28" s="1192"/>
      <c r="AI28" s="1190"/>
      <c r="AJ28" s="1192"/>
      <c r="AK28" s="1190"/>
      <c r="AL28" s="1192"/>
      <c r="AM28" s="1190"/>
      <c r="AN28" s="1192"/>
      <c r="AO28" s="1190"/>
      <c r="AP28" s="1191"/>
      <c r="AQ28" s="1191"/>
      <c r="AR28" s="1192"/>
      <c r="AS28" s="1190"/>
      <c r="AT28" s="1191"/>
      <c r="AU28" s="1192"/>
      <c r="AV28" s="1190"/>
      <c r="AW28" s="1192"/>
      <c r="AX28" s="1190"/>
      <c r="AY28" s="1192"/>
      <c r="AZ28" s="162"/>
      <c r="BA28" s="1190"/>
      <c r="BB28" s="1192"/>
      <c r="BC28" s="1190"/>
      <c r="BD28" s="1192"/>
      <c r="BE28" s="1190"/>
      <c r="BF28" s="1192"/>
      <c r="BG28" s="1190"/>
      <c r="BH28" s="1192"/>
      <c r="BI28" s="1190"/>
      <c r="BJ28" s="1191"/>
      <c r="BK28" s="1191"/>
      <c r="BL28" s="1192"/>
      <c r="BM28" s="1190"/>
      <c r="BN28" s="1191"/>
      <c r="BO28" s="1192"/>
      <c r="BP28" s="1190"/>
      <c r="BQ28" s="1192"/>
      <c r="BR28" s="1190"/>
      <c r="BS28" s="1192"/>
      <c r="BT28" s="162"/>
      <c r="BU28" s="1190"/>
      <c r="BV28" s="1191"/>
      <c r="BW28" s="1192"/>
      <c r="BX28" s="1190"/>
      <c r="BY28" s="1192"/>
      <c r="BZ28" s="1190"/>
      <c r="CA28" s="1192"/>
      <c r="CB28" s="1190"/>
      <c r="CC28" s="1191"/>
      <c r="CD28" s="1192"/>
      <c r="CE28" s="1190"/>
      <c r="CF28" s="1191"/>
      <c r="CG28" s="1192"/>
      <c r="CH28" s="1190"/>
      <c r="CI28" s="1191"/>
      <c r="CJ28" s="1192"/>
      <c r="CK28" s="1190"/>
      <c r="CL28" s="1191"/>
      <c r="CM28" s="1192"/>
      <c r="CN28" s="1188"/>
      <c r="CO28" s="1189"/>
      <c r="CP28" s="1190"/>
      <c r="CQ28" s="1191"/>
      <c r="CR28" s="1192"/>
      <c r="CS28" s="1190"/>
      <c r="CT28" s="1191"/>
      <c r="CU28" s="1192"/>
      <c r="CV28" s="162"/>
      <c r="CW28" s="1190"/>
      <c r="CX28" s="1191"/>
      <c r="CY28" s="1191"/>
      <c r="CZ28" s="1192"/>
      <c r="DA28" s="159"/>
      <c r="DB28" s="159"/>
      <c r="DC28" s="161"/>
      <c r="DD28" s="315">
        <f t="shared" si="0"/>
        <v>90000</v>
      </c>
    </row>
    <row r="29" spans="1:108" ht="18.75" hidden="1" customHeight="1">
      <c r="A29" s="314">
        <v>23</v>
      </c>
      <c r="B29" s="1190"/>
      <c r="C29" s="1191"/>
      <c r="D29" s="1191"/>
      <c r="E29" s="1192"/>
      <c r="F29" s="1190"/>
      <c r="G29" s="1191"/>
      <c r="H29" s="1192"/>
      <c r="I29" s="1190"/>
      <c r="J29" s="1192"/>
      <c r="K29" s="1190"/>
      <c r="L29" s="1192"/>
      <c r="M29" s="1190"/>
      <c r="N29" s="1192"/>
      <c r="O29" s="1190"/>
      <c r="P29" s="1192"/>
      <c r="Q29" s="1190"/>
      <c r="R29" s="1192"/>
      <c r="S29" s="1190"/>
      <c r="T29" s="1192"/>
      <c r="U29" s="1190"/>
      <c r="V29" s="1191"/>
      <c r="W29" s="1192"/>
      <c r="X29" s="1190"/>
      <c r="Y29" s="1191"/>
      <c r="Z29" s="1192"/>
      <c r="AA29" s="1190"/>
      <c r="AB29" s="1192"/>
      <c r="AC29" s="1190"/>
      <c r="AD29" s="1192"/>
      <c r="AE29" s="1190"/>
      <c r="AF29" s="1192"/>
      <c r="AG29" s="1190"/>
      <c r="AH29" s="1192"/>
      <c r="AI29" s="1190"/>
      <c r="AJ29" s="1192"/>
      <c r="AK29" s="1190"/>
      <c r="AL29" s="1192"/>
      <c r="AM29" s="1190"/>
      <c r="AN29" s="1192"/>
      <c r="AO29" s="1190"/>
      <c r="AP29" s="1191"/>
      <c r="AQ29" s="1191"/>
      <c r="AR29" s="1192"/>
      <c r="AS29" s="1190"/>
      <c r="AT29" s="1191"/>
      <c r="AU29" s="1192"/>
      <c r="AV29" s="1190"/>
      <c r="AW29" s="1192"/>
      <c r="AX29" s="1190"/>
      <c r="AY29" s="1192"/>
      <c r="AZ29" s="162"/>
      <c r="BA29" s="1190"/>
      <c r="BB29" s="1192"/>
      <c r="BC29" s="1190"/>
      <c r="BD29" s="1192"/>
      <c r="BE29" s="1190"/>
      <c r="BF29" s="1192"/>
      <c r="BG29" s="1190"/>
      <c r="BH29" s="1192"/>
      <c r="BI29" s="1190"/>
      <c r="BJ29" s="1191"/>
      <c r="BK29" s="1191"/>
      <c r="BL29" s="1192"/>
      <c r="BM29" s="1190"/>
      <c r="BN29" s="1191"/>
      <c r="BO29" s="1192"/>
      <c r="BP29" s="1190"/>
      <c r="BQ29" s="1192"/>
      <c r="BR29" s="1190"/>
      <c r="BS29" s="1192"/>
      <c r="BT29" s="162"/>
      <c r="BU29" s="1190"/>
      <c r="BV29" s="1191"/>
      <c r="BW29" s="1192"/>
      <c r="BX29" s="1190"/>
      <c r="BY29" s="1192"/>
      <c r="BZ29" s="1190"/>
      <c r="CA29" s="1192"/>
      <c r="CB29" s="1190"/>
      <c r="CC29" s="1191"/>
      <c r="CD29" s="1192"/>
      <c r="CE29" s="1190"/>
      <c r="CF29" s="1191"/>
      <c r="CG29" s="1192"/>
      <c r="CH29" s="1190"/>
      <c r="CI29" s="1191"/>
      <c r="CJ29" s="1192"/>
      <c r="CK29" s="1190"/>
      <c r="CL29" s="1191"/>
      <c r="CM29" s="1192"/>
      <c r="CN29" s="1188"/>
      <c r="CO29" s="1189"/>
      <c r="CP29" s="1190"/>
      <c r="CQ29" s="1191"/>
      <c r="CR29" s="1192"/>
      <c r="CS29" s="1190"/>
      <c r="CT29" s="1191"/>
      <c r="CU29" s="1192"/>
      <c r="CV29" s="162"/>
      <c r="CW29" s="1190"/>
      <c r="CX29" s="1191"/>
      <c r="CY29" s="1191"/>
      <c r="CZ29" s="1192"/>
      <c r="DA29" s="159"/>
      <c r="DB29" s="159"/>
      <c r="DC29" s="161"/>
      <c r="DD29" s="315">
        <f t="shared" si="0"/>
        <v>90000</v>
      </c>
    </row>
    <row r="30" spans="1:108" ht="18.75" hidden="1" customHeight="1">
      <c r="A30" s="314">
        <v>24</v>
      </c>
      <c r="B30" s="1190"/>
      <c r="C30" s="1191"/>
      <c r="D30" s="1191"/>
      <c r="E30" s="1192"/>
      <c r="F30" s="1190"/>
      <c r="G30" s="1191"/>
      <c r="H30" s="1192"/>
      <c r="I30" s="1190"/>
      <c r="J30" s="1192"/>
      <c r="K30" s="1190"/>
      <c r="L30" s="1192"/>
      <c r="M30" s="1190"/>
      <c r="N30" s="1192"/>
      <c r="O30" s="1190"/>
      <c r="P30" s="1192"/>
      <c r="Q30" s="1190"/>
      <c r="R30" s="1192"/>
      <c r="S30" s="1190"/>
      <c r="T30" s="1192"/>
      <c r="U30" s="1190"/>
      <c r="V30" s="1191"/>
      <c r="W30" s="1192"/>
      <c r="X30" s="1190"/>
      <c r="Y30" s="1191"/>
      <c r="Z30" s="1192"/>
      <c r="AA30" s="1190"/>
      <c r="AB30" s="1192"/>
      <c r="AC30" s="1190"/>
      <c r="AD30" s="1192"/>
      <c r="AE30" s="1190"/>
      <c r="AF30" s="1192"/>
      <c r="AG30" s="1190"/>
      <c r="AH30" s="1192"/>
      <c r="AI30" s="1190"/>
      <c r="AJ30" s="1192"/>
      <c r="AK30" s="1190"/>
      <c r="AL30" s="1192"/>
      <c r="AM30" s="1190"/>
      <c r="AN30" s="1192"/>
      <c r="AO30" s="1190"/>
      <c r="AP30" s="1191"/>
      <c r="AQ30" s="1191"/>
      <c r="AR30" s="1192"/>
      <c r="AS30" s="1190"/>
      <c r="AT30" s="1191"/>
      <c r="AU30" s="1192"/>
      <c r="AV30" s="1190"/>
      <c r="AW30" s="1192"/>
      <c r="AX30" s="1190"/>
      <c r="AY30" s="1192"/>
      <c r="AZ30" s="162"/>
      <c r="BA30" s="1190"/>
      <c r="BB30" s="1192"/>
      <c r="BC30" s="1190"/>
      <c r="BD30" s="1192"/>
      <c r="BE30" s="1190"/>
      <c r="BF30" s="1192"/>
      <c r="BG30" s="1190"/>
      <c r="BH30" s="1192"/>
      <c r="BI30" s="1190"/>
      <c r="BJ30" s="1191"/>
      <c r="BK30" s="1191"/>
      <c r="BL30" s="1192"/>
      <c r="BM30" s="1190"/>
      <c r="BN30" s="1191"/>
      <c r="BO30" s="1192"/>
      <c r="BP30" s="1190"/>
      <c r="BQ30" s="1192"/>
      <c r="BR30" s="1190"/>
      <c r="BS30" s="1192"/>
      <c r="BT30" s="162"/>
      <c r="BU30" s="1190"/>
      <c r="BV30" s="1191"/>
      <c r="BW30" s="1192"/>
      <c r="BX30" s="1190"/>
      <c r="BY30" s="1192"/>
      <c r="BZ30" s="1190"/>
      <c r="CA30" s="1192"/>
      <c r="CB30" s="1190"/>
      <c r="CC30" s="1191"/>
      <c r="CD30" s="1192"/>
      <c r="CE30" s="1190"/>
      <c r="CF30" s="1191"/>
      <c r="CG30" s="1192"/>
      <c r="CH30" s="1190"/>
      <c r="CI30" s="1191"/>
      <c r="CJ30" s="1192"/>
      <c r="CK30" s="1190"/>
      <c r="CL30" s="1191"/>
      <c r="CM30" s="1192"/>
      <c r="CN30" s="1188"/>
      <c r="CO30" s="1189"/>
      <c r="CP30" s="1190"/>
      <c r="CQ30" s="1191"/>
      <c r="CR30" s="1192"/>
      <c r="CS30" s="1190"/>
      <c r="CT30" s="1191"/>
      <c r="CU30" s="1192"/>
      <c r="CV30" s="162"/>
      <c r="CW30" s="1190"/>
      <c r="CX30" s="1191"/>
      <c r="CY30" s="1191"/>
      <c r="CZ30" s="1192"/>
      <c r="DA30" s="159"/>
      <c r="DB30" s="159"/>
      <c r="DC30" s="161"/>
      <c r="DD30" s="315">
        <f t="shared" si="0"/>
        <v>90000</v>
      </c>
    </row>
    <row r="31" spans="1:108" ht="18.75" hidden="1" customHeight="1">
      <c r="A31" s="314">
        <v>25</v>
      </c>
      <c r="B31" s="1190"/>
      <c r="C31" s="1191"/>
      <c r="D31" s="1191"/>
      <c r="E31" s="1192"/>
      <c r="F31" s="1190"/>
      <c r="G31" s="1191"/>
      <c r="H31" s="1192"/>
      <c r="I31" s="1190"/>
      <c r="J31" s="1192"/>
      <c r="K31" s="1190"/>
      <c r="L31" s="1192"/>
      <c r="M31" s="1190"/>
      <c r="N31" s="1192"/>
      <c r="O31" s="1190"/>
      <c r="P31" s="1192"/>
      <c r="Q31" s="1190"/>
      <c r="R31" s="1192"/>
      <c r="S31" s="1190"/>
      <c r="T31" s="1192"/>
      <c r="U31" s="1190"/>
      <c r="V31" s="1191"/>
      <c r="W31" s="1192"/>
      <c r="X31" s="1190"/>
      <c r="Y31" s="1191"/>
      <c r="Z31" s="1192"/>
      <c r="AA31" s="1190"/>
      <c r="AB31" s="1192"/>
      <c r="AC31" s="1190"/>
      <c r="AD31" s="1192"/>
      <c r="AE31" s="1190"/>
      <c r="AF31" s="1192"/>
      <c r="AG31" s="1190"/>
      <c r="AH31" s="1192"/>
      <c r="AI31" s="1190"/>
      <c r="AJ31" s="1192"/>
      <c r="AK31" s="1190"/>
      <c r="AL31" s="1192"/>
      <c r="AM31" s="1190"/>
      <c r="AN31" s="1192"/>
      <c r="AO31" s="1190"/>
      <c r="AP31" s="1191"/>
      <c r="AQ31" s="1191"/>
      <c r="AR31" s="1192"/>
      <c r="AS31" s="1190"/>
      <c r="AT31" s="1191"/>
      <c r="AU31" s="1192"/>
      <c r="AV31" s="1190"/>
      <c r="AW31" s="1192"/>
      <c r="AX31" s="1190"/>
      <c r="AY31" s="1192"/>
      <c r="AZ31" s="162"/>
      <c r="BA31" s="1190"/>
      <c r="BB31" s="1192"/>
      <c r="BC31" s="1190"/>
      <c r="BD31" s="1192"/>
      <c r="BE31" s="1190"/>
      <c r="BF31" s="1192"/>
      <c r="BG31" s="1190"/>
      <c r="BH31" s="1192"/>
      <c r="BI31" s="1190"/>
      <c r="BJ31" s="1191"/>
      <c r="BK31" s="1191"/>
      <c r="BL31" s="1192"/>
      <c r="BM31" s="1190"/>
      <c r="BN31" s="1191"/>
      <c r="BO31" s="1192"/>
      <c r="BP31" s="1190"/>
      <c r="BQ31" s="1192"/>
      <c r="BR31" s="1190"/>
      <c r="BS31" s="1192"/>
      <c r="BT31" s="162"/>
      <c r="BU31" s="1190"/>
      <c r="BV31" s="1191"/>
      <c r="BW31" s="1192"/>
      <c r="BX31" s="1190"/>
      <c r="BY31" s="1192"/>
      <c r="BZ31" s="1190"/>
      <c r="CA31" s="1192"/>
      <c r="CB31" s="1190"/>
      <c r="CC31" s="1191"/>
      <c r="CD31" s="1192"/>
      <c r="CE31" s="1190"/>
      <c r="CF31" s="1191"/>
      <c r="CG31" s="1192"/>
      <c r="CH31" s="1190"/>
      <c r="CI31" s="1191"/>
      <c r="CJ31" s="1192"/>
      <c r="CK31" s="1190"/>
      <c r="CL31" s="1191"/>
      <c r="CM31" s="1192"/>
      <c r="CN31" s="1188"/>
      <c r="CO31" s="1189"/>
      <c r="CP31" s="1190"/>
      <c r="CQ31" s="1191"/>
      <c r="CR31" s="1192"/>
      <c r="CS31" s="1190"/>
      <c r="CT31" s="1191"/>
      <c r="CU31" s="1192"/>
      <c r="CV31" s="162"/>
      <c r="CW31" s="1190"/>
      <c r="CX31" s="1191"/>
      <c r="CY31" s="1191"/>
      <c r="CZ31" s="1192"/>
      <c r="DA31" s="159"/>
      <c r="DB31" s="159"/>
      <c r="DC31" s="161"/>
      <c r="DD31" s="315">
        <f t="shared" si="0"/>
        <v>90000</v>
      </c>
    </row>
    <row r="32" spans="1:108" ht="18.75" hidden="1" customHeight="1">
      <c r="A32" s="314">
        <v>26</v>
      </c>
      <c r="B32" s="1190"/>
      <c r="C32" s="1191"/>
      <c r="D32" s="1191"/>
      <c r="E32" s="1192"/>
      <c r="F32" s="1190"/>
      <c r="G32" s="1191"/>
      <c r="H32" s="1192"/>
      <c r="I32" s="1190"/>
      <c r="J32" s="1192"/>
      <c r="K32" s="1190"/>
      <c r="L32" s="1192"/>
      <c r="M32" s="1190"/>
      <c r="N32" s="1192"/>
      <c r="O32" s="1190"/>
      <c r="P32" s="1192"/>
      <c r="Q32" s="1190"/>
      <c r="R32" s="1192"/>
      <c r="S32" s="1190"/>
      <c r="T32" s="1192"/>
      <c r="U32" s="1190"/>
      <c r="V32" s="1191"/>
      <c r="W32" s="1192"/>
      <c r="X32" s="1190"/>
      <c r="Y32" s="1191"/>
      <c r="Z32" s="1192"/>
      <c r="AA32" s="1190"/>
      <c r="AB32" s="1192"/>
      <c r="AC32" s="1190"/>
      <c r="AD32" s="1192"/>
      <c r="AE32" s="1190"/>
      <c r="AF32" s="1192"/>
      <c r="AG32" s="1190"/>
      <c r="AH32" s="1192"/>
      <c r="AI32" s="1190"/>
      <c r="AJ32" s="1192"/>
      <c r="AK32" s="1190"/>
      <c r="AL32" s="1192"/>
      <c r="AM32" s="1190"/>
      <c r="AN32" s="1192"/>
      <c r="AO32" s="1190"/>
      <c r="AP32" s="1191"/>
      <c r="AQ32" s="1191"/>
      <c r="AR32" s="1192"/>
      <c r="AS32" s="1190"/>
      <c r="AT32" s="1191"/>
      <c r="AU32" s="1192"/>
      <c r="AV32" s="1190"/>
      <c r="AW32" s="1192"/>
      <c r="AX32" s="1190"/>
      <c r="AY32" s="1192"/>
      <c r="AZ32" s="162"/>
      <c r="BA32" s="1190"/>
      <c r="BB32" s="1192"/>
      <c r="BC32" s="1190"/>
      <c r="BD32" s="1192"/>
      <c r="BE32" s="1190"/>
      <c r="BF32" s="1192"/>
      <c r="BG32" s="1190"/>
      <c r="BH32" s="1192"/>
      <c r="BI32" s="1190"/>
      <c r="BJ32" s="1191"/>
      <c r="BK32" s="1191"/>
      <c r="BL32" s="1192"/>
      <c r="BM32" s="1190"/>
      <c r="BN32" s="1191"/>
      <c r="BO32" s="1192"/>
      <c r="BP32" s="1190"/>
      <c r="BQ32" s="1192"/>
      <c r="BR32" s="1190"/>
      <c r="BS32" s="1192"/>
      <c r="BT32" s="162"/>
      <c r="BU32" s="1190"/>
      <c r="BV32" s="1191"/>
      <c r="BW32" s="1192"/>
      <c r="BX32" s="1190"/>
      <c r="BY32" s="1192"/>
      <c r="BZ32" s="1190"/>
      <c r="CA32" s="1192"/>
      <c r="CB32" s="1190"/>
      <c r="CC32" s="1191"/>
      <c r="CD32" s="1192"/>
      <c r="CE32" s="1190"/>
      <c r="CF32" s="1191"/>
      <c r="CG32" s="1192"/>
      <c r="CH32" s="1190"/>
      <c r="CI32" s="1191"/>
      <c r="CJ32" s="1192"/>
      <c r="CK32" s="1190"/>
      <c r="CL32" s="1191"/>
      <c r="CM32" s="1192"/>
      <c r="CN32" s="1188"/>
      <c r="CO32" s="1189"/>
      <c r="CP32" s="1190"/>
      <c r="CQ32" s="1191"/>
      <c r="CR32" s="1192"/>
      <c r="CS32" s="1190"/>
      <c r="CT32" s="1191"/>
      <c r="CU32" s="1192"/>
      <c r="CV32" s="162"/>
      <c r="CW32" s="1190"/>
      <c r="CX32" s="1191"/>
      <c r="CY32" s="1191"/>
      <c r="CZ32" s="1192"/>
      <c r="DA32" s="159"/>
      <c r="DB32" s="159"/>
      <c r="DC32" s="161"/>
      <c r="DD32" s="315">
        <f t="shared" si="0"/>
        <v>90000</v>
      </c>
    </row>
    <row r="33" spans="1:108" ht="18.75" hidden="1" customHeight="1">
      <c r="A33" s="314">
        <v>27</v>
      </c>
      <c r="B33" s="1190"/>
      <c r="C33" s="1191"/>
      <c r="D33" s="1191"/>
      <c r="E33" s="1192"/>
      <c r="F33" s="1190"/>
      <c r="G33" s="1191"/>
      <c r="H33" s="1192"/>
      <c r="I33" s="1190"/>
      <c r="J33" s="1192"/>
      <c r="K33" s="1190"/>
      <c r="L33" s="1192"/>
      <c r="M33" s="1190"/>
      <c r="N33" s="1192"/>
      <c r="O33" s="1190"/>
      <c r="P33" s="1192"/>
      <c r="Q33" s="1190"/>
      <c r="R33" s="1192"/>
      <c r="S33" s="1190"/>
      <c r="T33" s="1192"/>
      <c r="U33" s="1190"/>
      <c r="V33" s="1191"/>
      <c r="W33" s="1192"/>
      <c r="X33" s="1190"/>
      <c r="Y33" s="1191"/>
      <c r="Z33" s="1192"/>
      <c r="AA33" s="1190"/>
      <c r="AB33" s="1192"/>
      <c r="AC33" s="1190"/>
      <c r="AD33" s="1192"/>
      <c r="AE33" s="1190"/>
      <c r="AF33" s="1192"/>
      <c r="AG33" s="1190"/>
      <c r="AH33" s="1192"/>
      <c r="AI33" s="1190"/>
      <c r="AJ33" s="1192"/>
      <c r="AK33" s="1190"/>
      <c r="AL33" s="1192"/>
      <c r="AM33" s="1190"/>
      <c r="AN33" s="1192"/>
      <c r="AO33" s="1190"/>
      <c r="AP33" s="1191"/>
      <c r="AQ33" s="1191"/>
      <c r="AR33" s="1192"/>
      <c r="AS33" s="1190"/>
      <c r="AT33" s="1191"/>
      <c r="AU33" s="1192"/>
      <c r="AV33" s="1190"/>
      <c r="AW33" s="1192"/>
      <c r="AX33" s="1190"/>
      <c r="AY33" s="1192"/>
      <c r="AZ33" s="162"/>
      <c r="BA33" s="1190"/>
      <c r="BB33" s="1192"/>
      <c r="BC33" s="1190"/>
      <c r="BD33" s="1192"/>
      <c r="BE33" s="1190"/>
      <c r="BF33" s="1192"/>
      <c r="BG33" s="1190"/>
      <c r="BH33" s="1192"/>
      <c r="BI33" s="1190"/>
      <c r="BJ33" s="1191"/>
      <c r="BK33" s="1191"/>
      <c r="BL33" s="1192"/>
      <c r="BM33" s="1190"/>
      <c r="BN33" s="1191"/>
      <c r="BO33" s="1192"/>
      <c r="BP33" s="1190"/>
      <c r="BQ33" s="1192"/>
      <c r="BR33" s="1190"/>
      <c r="BS33" s="1192"/>
      <c r="BT33" s="162"/>
      <c r="BU33" s="1190"/>
      <c r="BV33" s="1191"/>
      <c r="BW33" s="1192"/>
      <c r="BX33" s="1190"/>
      <c r="BY33" s="1192"/>
      <c r="BZ33" s="1190"/>
      <c r="CA33" s="1192"/>
      <c r="CB33" s="1190"/>
      <c r="CC33" s="1191"/>
      <c r="CD33" s="1192"/>
      <c r="CE33" s="1190"/>
      <c r="CF33" s="1191"/>
      <c r="CG33" s="1192"/>
      <c r="CH33" s="1190"/>
      <c r="CI33" s="1191"/>
      <c r="CJ33" s="1192"/>
      <c r="CK33" s="1190"/>
      <c r="CL33" s="1191"/>
      <c r="CM33" s="1192"/>
      <c r="CN33" s="1188"/>
      <c r="CO33" s="1189"/>
      <c r="CP33" s="1190"/>
      <c r="CQ33" s="1191"/>
      <c r="CR33" s="1192"/>
      <c r="CS33" s="1190"/>
      <c r="CT33" s="1191"/>
      <c r="CU33" s="1192"/>
      <c r="CV33" s="162"/>
      <c r="CW33" s="1190"/>
      <c r="CX33" s="1191"/>
      <c r="CY33" s="1191"/>
      <c r="CZ33" s="1192"/>
      <c r="DA33" s="159"/>
      <c r="DB33" s="159"/>
      <c r="DC33" s="161"/>
      <c r="DD33" s="315">
        <f t="shared" si="0"/>
        <v>90000</v>
      </c>
    </row>
    <row r="34" spans="1:108" ht="18.75" hidden="1" customHeight="1">
      <c r="A34" s="314">
        <v>28</v>
      </c>
      <c r="B34" s="1190"/>
      <c r="C34" s="1191"/>
      <c r="D34" s="1191"/>
      <c r="E34" s="1192"/>
      <c r="F34" s="1190"/>
      <c r="G34" s="1191"/>
      <c r="H34" s="1192"/>
      <c r="I34" s="1190"/>
      <c r="J34" s="1192"/>
      <c r="K34" s="1190"/>
      <c r="L34" s="1192"/>
      <c r="M34" s="1190"/>
      <c r="N34" s="1192"/>
      <c r="O34" s="1190"/>
      <c r="P34" s="1192"/>
      <c r="Q34" s="1190"/>
      <c r="R34" s="1192"/>
      <c r="S34" s="1190"/>
      <c r="T34" s="1192"/>
      <c r="U34" s="1190"/>
      <c r="V34" s="1191"/>
      <c r="W34" s="1192"/>
      <c r="X34" s="1190"/>
      <c r="Y34" s="1191"/>
      <c r="Z34" s="1192"/>
      <c r="AA34" s="1190"/>
      <c r="AB34" s="1192"/>
      <c r="AC34" s="1190"/>
      <c r="AD34" s="1192"/>
      <c r="AE34" s="1190"/>
      <c r="AF34" s="1192"/>
      <c r="AG34" s="1190"/>
      <c r="AH34" s="1192"/>
      <c r="AI34" s="1190"/>
      <c r="AJ34" s="1192"/>
      <c r="AK34" s="1190"/>
      <c r="AL34" s="1192"/>
      <c r="AM34" s="1190"/>
      <c r="AN34" s="1192"/>
      <c r="AO34" s="1190"/>
      <c r="AP34" s="1191"/>
      <c r="AQ34" s="1191"/>
      <c r="AR34" s="1192"/>
      <c r="AS34" s="1190"/>
      <c r="AT34" s="1191"/>
      <c r="AU34" s="1192"/>
      <c r="AV34" s="1190"/>
      <c r="AW34" s="1192"/>
      <c r="AX34" s="1190"/>
      <c r="AY34" s="1192"/>
      <c r="AZ34" s="162"/>
      <c r="BA34" s="1190"/>
      <c r="BB34" s="1192"/>
      <c r="BC34" s="1190"/>
      <c r="BD34" s="1192"/>
      <c r="BE34" s="1190"/>
      <c r="BF34" s="1192"/>
      <c r="BG34" s="1190"/>
      <c r="BH34" s="1192"/>
      <c r="BI34" s="1190"/>
      <c r="BJ34" s="1191"/>
      <c r="BK34" s="1191"/>
      <c r="BL34" s="1192"/>
      <c r="BM34" s="1190"/>
      <c r="BN34" s="1191"/>
      <c r="BO34" s="1192"/>
      <c r="BP34" s="1190"/>
      <c r="BQ34" s="1192"/>
      <c r="BR34" s="1190"/>
      <c r="BS34" s="1192"/>
      <c r="BT34" s="162"/>
      <c r="BU34" s="1190"/>
      <c r="BV34" s="1191"/>
      <c r="BW34" s="1192"/>
      <c r="BX34" s="1190"/>
      <c r="BY34" s="1192"/>
      <c r="BZ34" s="1190"/>
      <c r="CA34" s="1192"/>
      <c r="CB34" s="1190"/>
      <c r="CC34" s="1191"/>
      <c r="CD34" s="1192"/>
      <c r="CE34" s="1190"/>
      <c r="CF34" s="1191"/>
      <c r="CG34" s="1192"/>
      <c r="CH34" s="1190"/>
      <c r="CI34" s="1191"/>
      <c r="CJ34" s="1192"/>
      <c r="CK34" s="1190"/>
      <c r="CL34" s="1191"/>
      <c r="CM34" s="1192"/>
      <c r="CN34" s="1188"/>
      <c r="CO34" s="1189"/>
      <c r="CP34" s="1190"/>
      <c r="CQ34" s="1191"/>
      <c r="CR34" s="1192"/>
      <c r="CS34" s="1190"/>
      <c r="CT34" s="1191"/>
      <c r="CU34" s="1192"/>
      <c r="CV34" s="162"/>
      <c r="CW34" s="1190"/>
      <c r="CX34" s="1191"/>
      <c r="CY34" s="1191"/>
      <c r="CZ34" s="1192"/>
      <c r="DA34" s="159"/>
      <c r="DB34" s="159"/>
      <c r="DC34" s="161"/>
      <c r="DD34" s="315">
        <f t="shared" si="0"/>
        <v>90000</v>
      </c>
    </row>
    <row r="35" spans="1:108" ht="18.75" hidden="1" customHeight="1">
      <c r="A35" s="314">
        <v>29</v>
      </c>
      <c r="B35" s="1190"/>
      <c r="C35" s="1191"/>
      <c r="D35" s="1191"/>
      <c r="E35" s="1192"/>
      <c r="F35" s="1190"/>
      <c r="G35" s="1191"/>
      <c r="H35" s="1192"/>
      <c r="I35" s="1190"/>
      <c r="J35" s="1192"/>
      <c r="K35" s="1190"/>
      <c r="L35" s="1192"/>
      <c r="M35" s="1190"/>
      <c r="N35" s="1192"/>
      <c r="O35" s="1190"/>
      <c r="P35" s="1192"/>
      <c r="Q35" s="1190"/>
      <c r="R35" s="1192"/>
      <c r="S35" s="1190"/>
      <c r="T35" s="1192"/>
      <c r="U35" s="1190"/>
      <c r="V35" s="1191"/>
      <c r="W35" s="1192"/>
      <c r="X35" s="1190"/>
      <c r="Y35" s="1191"/>
      <c r="Z35" s="1192"/>
      <c r="AA35" s="1190"/>
      <c r="AB35" s="1192"/>
      <c r="AC35" s="1190"/>
      <c r="AD35" s="1192"/>
      <c r="AE35" s="1190"/>
      <c r="AF35" s="1192"/>
      <c r="AG35" s="1190"/>
      <c r="AH35" s="1192"/>
      <c r="AI35" s="1190"/>
      <c r="AJ35" s="1192"/>
      <c r="AK35" s="1190"/>
      <c r="AL35" s="1192"/>
      <c r="AM35" s="1190"/>
      <c r="AN35" s="1192"/>
      <c r="AO35" s="1190"/>
      <c r="AP35" s="1191"/>
      <c r="AQ35" s="1191"/>
      <c r="AR35" s="1192"/>
      <c r="AS35" s="1190"/>
      <c r="AT35" s="1191"/>
      <c r="AU35" s="1192"/>
      <c r="AV35" s="1190"/>
      <c r="AW35" s="1192"/>
      <c r="AX35" s="1190"/>
      <c r="AY35" s="1192"/>
      <c r="AZ35" s="162"/>
      <c r="BA35" s="1190"/>
      <c r="BB35" s="1192"/>
      <c r="BC35" s="1190"/>
      <c r="BD35" s="1192"/>
      <c r="BE35" s="1190"/>
      <c r="BF35" s="1192"/>
      <c r="BG35" s="1190"/>
      <c r="BH35" s="1192"/>
      <c r="BI35" s="1190"/>
      <c r="BJ35" s="1191"/>
      <c r="BK35" s="1191"/>
      <c r="BL35" s="1192"/>
      <c r="BM35" s="1190"/>
      <c r="BN35" s="1191"/>
      <c r="BO35" s="1192"/>
      <c r="BP35" s="1190"/>
      <c r="BQ35" s="1192"/>
      <c r="BR35" s="1190"/>
      <c r="BS35" s="1192"/>
      <c r="BT35" s="162"/>
      <c r="BU35" s="1190"/>
      <c r="BV35" s="1191"/>
      <c r="BW35" s="1192"/>
      <c r="BX35" s="1190"/>
      <c r="BY35" s="1192"/>
      <c r="BZ35" s="1190"/>
      <c r="CA35" s="1192"/>
      <c r="CB35" s="1190"/>
      <c r="CC35" s="1191"/>
      <c r="CD35" s="1192"/>
      <c r="CE35" s="1190"/>
      <c r="CF35" s="1191"/>
      <c r="CG35" s="1192"/>
      <c r="CH35" s="1190"/>
      <c r="CI35" s="1191"/>
      <c r="CJ35" s="1192"/>
      <c r="CK35" s="1190"/>
      <c r="CL35" s="1191"/>
      <c r="CM35" s="1192"/>
      <c r="CN35" s="1188"/>
      <c r="CO35" s="1189"/>
      <c r="CP35" s="1190"/>
      <c r="CQ35" s="1191"/>
      <c r="CR35" s="1192"/>
      <c r="CS35" s="1190"/>
      <c r="CT35" s="1191"/>
      <c r="CU35" s="1192"/>
      <c r="CV35" s="162"/>
      <c r="CW35" s="1190"/>
      <c r="CX35" s="1191"/>
      <c r="CY35" s="1191"/>
      <c r="CZ35" s="1192"/>
      <c r="DA35" s="159"/>
      <c r="DB35" s="159"/>
      <c r="DC35" s="161"/>
      <c r="DD35" s="315">
        <f t="shared" si="0"/>
        <v>90000</v>
      </c>
    </row>
    <row r="36" spans="1:108" ht="18.75" hidden="1" customHeight="1">
      <c r="A36" s="314">
        <v>30</v>
      </c>
      <c r="B36" s="1190"/>
      <c r="C36" s="1191"/>
      <c r="D36" s="1191"/>
      <c r="E36" s="1192"/>
      <c r="F36" s="1190"/>
      <c r="G36" s="1191"/>
      <c r="H36" s="1192"/>
      <c r="I36" s="1190"/>
      <c r="J36" s="1192"/>
      <c r="K36" s="1190"/>
      <c r="L36" s="1192"/>
      <c r="M36" s="1190"/>
      <c r="N36" s="1192"/>
      <c r="O36" s="1190"/>
      <c r="P36" s="1192"/>
      <c r="Q36" s="1190"/>
      <c r="R36" s="1192"/>
      <c r="S36" s="1190"/>
      <c r="T36" s="1192"/>
      <c r="U36" s="1190"/>
      <c r="V36" s="1191"/>
      <c r="W36" s="1192"/>
      <c r="X36" s="1190"/>
      <c r="Y36" s="1191"/>
      <c r="Z36" s="1192"/>
      <c r="AA36" s="1190"/>
      <c r="AB36" s="1192"/>
      <c r="AC36" s="1190"/>
      <c r="AD36" s="1192"/>
      <c r="AE36" s="1190"/>
      <c r="AF36" s="1192"/>
      <c r="AG36" s="1190"/>
      <c r="AH36" s="1192"/>
      <c r="AI36" s="1190"/>
      <c r="AJ36" s="1192"/>
      <c r="AK36" s="1190"/>
      <c r="AL36" s="1192"/>
      <c r="AM36" s="1190"/>
      <c r="AN36" s="1192"/>
      <c r="AO36" s="1190"/>
      <c r="AP36" s="1191"/>
      <c r="AQ36" s="1191"/>
      <c r="AR36" s="1192"/>
      <c r="AS36" s="1190"/>
      <c r="AT36" s="1191"/>
      <c r="AU36" s="1192"/>
      <c r="AV36" s="1190"/>
      <c r="AW36" s="1192"/>
      <c r="AX36" s="1190"/>
      <c r="AY36" s="1192"/>
      <c r="AZ36" s="162"/>
      <c r="BA36" s="1190"/>
      <c r="BB36" s="1192"/>
      <c r="BC36" s="1190"/>
      <c r="BD36" s="1192"/>
      <c r="BE36" s="1190"/>
      <c r="BF36" s="1192"/>
      <c r="BG36" s="1190"/>
      <c r="BH36" s="1192"/>
      <c r="BI36" s="1190"/>
      <c r="BJ36" s="1191"/>
      <c r="BK36" s="1191"/>
      <c r="BL36" s="1192"/>
      <c r="BM36" s="1190"/>
      <c r="BN36" s="1191"/>
      <c r="BO36" s="1192"/>
      <c r="BP36" s="1190"/>
      <c r="BQ36" s="1192"/>
      <c r="BR36" s="1190"/>
      <c r="BS36" s="1192"/>
      <c r="BT36" s="162"/>
      <c r="BU36" s="1190"/>
      <c r="BV36" s="1191"/>
      <c r="BW36" s="1192"/>
      <c r="BX36" s="1190"/>
      <c r="BY36" s="1192"/>
      <c r="BZ36" s="1190"/>
      <c r="CA36" s="1192"/>
      <c r="CB36" s="1190"/>
      <c r="CC36" s="1191"/>
      <c r="CD36" s="1192"/>
      <c r="CE36" s="1190"/>
      <c r="CF36" s="1191"/>
      <c r="CG36" s="1192"/>
      <c r="CH36" s="1190"/>
      <c r="CI36" s="1191"/>
      <c r="CJ36" s="1192"/>
      <c r="CK36" s="1190"/>
      <c r="CL36" s="1191"/>
      <c r="CM36" s="1192"/>
      <c r="CN36" s="1188"/>
      <c r="CO36" s="1189"/>
      <c r="CP36" s="1190"/>
      <c r="CQ36" s="1191"/>
      <c r="CR36" s="1192"/>
      <c r="CS36" s="1190"/>
      <c r="CT36" s="1191"/>
      <c r="CU36" s="1192"/>
      <c r="CV36" s="162"/>
      <c r="CW36" s="1190"/>
      <c r="CX36" s="1191"/>
      <c r="CY36" s="1191"/>
      <c r="CZ36" s="1192"/>
      <c r="DA36" s="159"/>
      <c r="DB36" s="159"/>
      <c r="DC36" s="161"/>
      <c r="DD36" s="315">
        <f t="shared" si="0"/>
        <v>90000</v>
      </c>
    </row>
    <row r="37" spans="1:108" ht="18.75" hidden="1" customHeight="1">
      <c r="A37" s="314">
        <v>31</v>
      </c>
      <c r="B37" s="1190"/>
      <c r="C37" s="1191"/>
      <c r="D37" s="1191"/>
      <c r="E37" s="1192"/>
      <c r="F37" s="1190"/>
      <c r="G37" s="1191"/>
      <c r="H37" s="1192"/>
      <c r="I37" s="1190"/>
      <c r="J37" s="1192"/>
      <c r="K37" s="1190"/>
      <c r="L37" s="1192"/>
      <c r="M37" s="1190"/>
      <c r="N37" s="1192"/>
      <c r="O37" s="1190"/>
      <c r="P37" s="1192"/>
      <c r="Q37" s="1190"/>
      <c r="R37" s="1192"/>
      <c r="S37" s="1190"/>
      <c r="T37" s="1192"/>
      <c r="U37" s="1190"/>
      <c r="V37" s="1191"/>
      <c r="W37" s="1192"/>
      <c r="X37" s="1190"/>
      <c r="Y37" s="1191"/>
      <c r="Z37" s="1192"/>
      <c r="AA37" s="1190"/>
      <c r="AB37" s="1192"/>
      <c r="AC37" s="1190"/>
      <c r="AD37" s="1192"/>
      <c r="AE37" s="1190"/>
      <c r="AF37" s="1192"/>
      <c r="AG37" s="1190"/>
      <c r="AH37" s="1192"/>
      <c r="AI37" s="1190"/>
      <c r="AJ37" s="1192"/>
      <c r="AK37" s="1190"/>
      <c r="AL37" s="1192"/>
      <c r="AM37" s="1190"/>
      <c r="AN37" s="1192"/>
      <c r="AO37" s="1190"/>
      <c r="AP37" s="1191"/>
      <c r="AQ37" s="1191"/>
      <c r="AR37" s="1192"/>
      <c r="AS37" s="1190"/>
      <c r="AT37" s="1191"/>
      <c r="AU37" s="1192"/>
      <c r="AV37" s="1190"/>
      <c r="AW37" s="1192"/>
      <c r="AX37" s="1190"/>
      <c r="AY37" s="1192"/>
      <c r="AZ37" s="162"/>
      <c r="BA37" s="1190"/>
      <c r="BB37" s="1192"/>
      <c r="BC37" s="1190"/>
      <c r="BD37" s="1192"/>
      <c r="BE37" s="1190"/>
      <c r="BF37" s="1192"/>
      <c r="BG37" s="1190"/>
      <c r="BH37" s="1192"/>
      <c r="BI37" s="1190"/>
      <c r="BJ37" s="1191"/>
      <c r="BK37" s="1191"/>
      <c r="BL37" s="1192"/>
      <c r="BM37" s="1190"/>
      <c r="BN37" s="1191"/>
      <c r="BO37" s="1192"/>
      <c r="BP37" s="1190"/>
      <c r="BQ37" s="1192"/>
      <c r="BR37" s="1190"/>
      <c r="BS37" s="1192"/>
      <c r="BT37" s="162"/>
      <c r="BU37" s="1190"/>
      <c r="BV37" s="1191"/>
      <c r="BW37" s="1192"/>
      <c r="BX37" s="1190"/>
      <c r="BY37" s="1192"/>
      <c r="BZ37" s="1190"/>
      <c r="CA37" s="1192"/>
      <c r="CB37" s="1190"/>
      <c r="CC37" s="1191"/>
      <c r="CD37" s="1192"/>
      <c r="CE37" s="1190"/>
      <c r="CF37" s="1191"/>
      <c r="CG37" s="1192"/>
      <c r="CH37" s="1190"/>
      <c r="CI37" s="1191"/>
      <c r="CJ37" s="1192"/>
      <c r="CK37" s="1190"/>
      <c r="CL37" s="1191"/>
      <c r="CM37" s="1192"/>
      <c r="CN37" s="1188"/>
      <c r="CO37" s="1189"/>
      <c r="CP37" s="1190"/>
      <c r="CQ37" s="1191"/>
      <c r="CR37" s="1192"/>
      <c r="CS37" s="1190"/>
      <c r="CT37" s="1191"/>
      <c r="CU37" s="1192"/>
      <c r="CV37" s="162"/>
      <c r="CW37" s="1190"/>
      <c r="CX37" s="1191"/>
      <c r="CY37" s="1191"/>
      <c r="CZ37" s="1192"/>
      <c r="DA37" s="159"/>
      <c r="DB37" s="159"/>
      <c r="DC37" s="161"/>
      <c r="DD37" s="315">
        <f t="shared" si="0"/>
        <v>90000</v>
      </c>
    </row>
    <row r="38" spans="1:108" ht="18.75" hidden="1" customHeight="1">
      <c r="A38" s="314">
        <v>32</v>
      </c>
      <c r="B38" s="1190"/>
      <c r="C38" s="1191"/>
      <c r="D38" s="1191"/>
      <c r="E38" s="1192"/>
      <c r="F38" s="1190"/>
      <c r="G38" s="1191"/>
      <c r="H38" s="1192"/>
      <c r="I38" s="1190"/>
      <c r="J38" s="1192"/>
      <c r="K38" s="1190"/>
      <c r="L38" s="1192"/>
      <c r="M38" s="1190"/>
      <c r="N38" s="1192"/>
      <c r="O38" s="1190"/>
      <c r="P38" s="1192"/>
      <c r="Q38" s="1190"/>
      <c r="R38" s="1192"/>
      <c r="S38" s="1190"/>
      <c r="T38" s="1192"/>
      <c r="U38" s="1190"/>
      <c r="V38" s="1191"/>
      <c r="W38" s="1192"/>
      <c r="X38" s="1190"/>
      <c r="Y38" s="1191"/>
      <c r="Z38" s="1192"/>
      <c r="AA38" s="1190"/>
      <c r="AB38" s="1192"/>
      <c r="AC38" s="1190"/>
      <c r="AD38" s="1192"/>
      <c r="AE38" s="1190"/>
      <c r="AF38" s="1192"/>
      <c r="AG38" s="1190"/>
      <c r="AH38" s="1192"/>
      <c r="AI38" s="1190"/>
      <c r="AJ38" s="1192"/>
      <c r="AK38" s="1190"/>
      <c r="AL38" s="1192"/>
      <c r="AM38" s="1190"/>
      <c r="AN38" s="1192"/>
      <c r="AO38" s="1190"/>
      <c r="AP38" s="1191"/>
      <c r="AQ38" s="1191"/>
      <c r="AR38" s="1192"/>
      <c r="AS38" s="1190"/>
      <c r="AT38" s="1191"/>
      <c r="AU38" s="1192"/>
      <c r="AV38" s="1190"/>
      <c r="AW38" s="1192"/>
      <c r="AX38" s="1190"/>
      <c r="AY38" s="1192"/>
      <c r="AZ38" s="162"/>
      <c r="BA38" s="1190"/>
      <c r="BB38" s="1192"/>
      <c r="BC38" s="1190"/>
      <c r="BD38" s="1192"/>
      <c r="BE38" s="1190"/>
      <c r="BF38" s="1192"/>
      <c r="BG38" s="1190"/>
      <c r="BH38" s="1192"/>
      <c r="BI38" s="1190"/>
      <c r="BJ38" s="1191"/>
      <c r="BK38" s="1191"/>
      <c r="BL38" s="1192"/>
      <c r="BM38" s="1190"/>
      <c r="BN38" s="1191"/>
      <c r="BO38" s="1192"/>
      <c r="BP38" s="1190"/>
      <c r="BQ38" s="1192"/>
      <c r="BR38" s="1190"/>
      <c r="BS38" s="1192"/>
      <c r="BT38" s="162"/>
      <c r="BU38" s="1190"/>
      <c r="BV38" s="1191"/>
      <c r="BW38" s="1192"/>
      <c r="BX38" s="1190"/>
      <c r="BY38" s="1192"/>
      <c r="BZ38" s="1190"/>
      <c r="CA38" s="1192"/>
      <c r="CB38" s="1190"/>
      <c r="CC38" s="1191"/>
      <c r="CD38" s="1192"/>
      <c r="CE38" s="1190"/>
      <c r="CF38" s="1191"/>
      <c r="CG38" s="1192"/>
      <c r="CH38" s="1190"/>
      <c r="CI38" s="1191"/>
      <c r="CJ38" s="1192"/>
      <c r="CK38" s="1190"/>
      <c r="CL38" s="1191"/>
      <c r="CM38" s="1192"/>
      <c r="CN38" s="1188"/>
      <c r="CO38" s="1189"/>
      <c r="CP38" s="1190"/>
      <c r="CQ38" s="1191"/>
      <c r="CR38" s="1192"/>
      <c r="CS38" s="1190"/>
      <c r="CT38" s="1191"/>
      <c r="CU38" s="1192"/>
      <c r="CV38" s="162"/>
      <c r="CW38" s="1190"/>
      <c r="CX38" s="1191"/>
      <c r="CY38" s="1191"/>
      <c r="CZ38" s="1192"/>
      <c r="DA38" s="159"/>
      <c r="DB38" s="159"/>
      <c r="DC38" s="161"/>
      <c r="DD38" s="315">
        <f t="shared" si="0"/>
        <v>90000</v>
      </c>
    </row>
    <row r="39" spans="1:108" ht="18.75" hidden="1" customHeight="1">
      <c r="A39" s="314">
        <v>33</v>
      </c>
      <c r="B39" s="1190"/>
      <c r="C39" s="1191"/>
      <c r="D39" s="1191"/>
      <c r="E39" s="1192"/>
      <c r="F39" s="1190"/>
      <c r="G39" s="1191"/>
      <c r="H39" s="1192"/>
      <c r="I39" s="1190"/>
      <c r="J39" s="1192"/>
      <c r="K39" s="1190"/>
      <c r="L39" s="1192"/>
      <c r="M39" s="1190"/>
      <c r="N39" s="1192"/>
      <c r="O39" s="1190"/>
      <c r="P39" s="1192"/>
      <c r="Q39" s="1190"/>
      <c r="R39" s="1192"/>
      <c r="S39" s="1190"/>
      <c r="T39" s="1192"/>
      <c r="U39" s="1190"/>
      <c r="V39" s="1191"/>
      <c r="W39" s="1192"/>
      <c r="X39" s="1190"/>
      <c r="Y39" s="1191"/>
      <c r="Z39" s="1192"/>
      <c r="AA39" s="1190"/>
      <c r="AB39" s="1192"/>
      <c r="AC39" s="1190"/>
      <c r="AD39" s="1192"/>
      <c r="AE39" s="1190"/>
      <c r="AF39" s="1192"/>
      <c r="AG39" s="1190"/>
      <c r="AH39" s="1192"/>
      <c r="AI39" s="1190"/>
      <c r="AJ39" s="1192"/>
      <c r="AK39" s="1190"/>
      <c r="AL39" s="1192"/>
      <c r="AM39" s="1190"/>
      <c r="AN39" s="1192"/>
      <c r="AO39" s="1190"/>
      <c r="AP39" s="1191"/>
      <c r="AQ39" s="1191"/>
      <c r="AR39" s="1192"/>
      <c r="AS39" s="1190"/>
      <c r="AT39" s="1191"/>
      <c r="AU39" s="1192"/>
      <c r="AV39" s="1190"/>
      <c r="AW39" s="1192"/>
      <c r="AX39" s="1190"/>
      <c r="AY39" s="1192"/>
      <c r="AZ39" s="162"/>
      <c r="BA39" s="1190"/>
      <c r="BB39" s="1192"/>
      <c r="BC39" s="1190"/>
      <c r="BD39" s="1192"/>
      <c r="BE39" s="1190"/>
      <c r="BF39" s="1192"/>
      <c r="BG39" s="1190"/>
      <c r="BH39" s="1192"/>
      <c r="BI39" s="1190"/>
      <c r="BJ39" s="1191"/>
      <c r="BK39" s="1191"/>
      <c r="BL39" s="1192"/>
      <c r="BM39" s="1190"/>
      <c r="BN39" s="1191"/>
      <c r="BO39" s="1192"/>
      <c r="BP39" s="1190"/>
      <c r="BQ39" s="1192"/>
      <c r="BR39" s="1190"/>
      <c r="BS39" s="1192"/>
      <c r="BT39" s="162"/>
      <c r="BU39" s="1190"/>
      <c r="BV39" s="1191"/>
      <c r="BW39" s="1192"/>
      <c r="BX39" s="1190"/>
      <c r="BY39" s="1192"/>
      <c r="BZ39" s="1190"/>
      <c r="CA39" s="1192"/>
      <c r="CB39" s="1190"/>
      <c r="CC39" s="1191"/>
      <c r="CD39" s="1192"/>
      <c r="CE39" s="1190"/>
      <c r="CF39" s="1191"/>
      <c r="CG39" s="1192"/>
      <c r="CH39" s="1190"/>
      <c r="CI39" s="1191"/>
      <c r="CJ39" s="1192"/>
      <c r="CK39" s="1190"/>
      <c r="CL39" s="1191"/>
      <c r="CM39" s="1192"/>
      <c r="CN39" s="1188"/>
      <c r="CO39" s="1189"/>
      <c r="CP39" s="1190"/>
      <c r="CQ39" s="1191"/>
      <c r="CR39" s="1192"/>
      <c r="CS39" s="1190"/>
      <c r="CT39" s="1191"/>
      <c r="CU39" s="1192"/>
      <c r="CV39" s="162"/>
      <c r="CW39" s="1190"/>
      <c r="CX39" s="1191"/>
      <c r="CY39" s="1191"/>
      <c r="CZ39" s="1192"/>
      <c r="DA39" s="159"/>
      <c r="DB39" s="159"/>
      <c r="DC39" s="161"/>
      <c r="DD39" s="315">
        <f t="shared" si="0"/>
        <v>90000</v>
      </c>
    </row>
    <row r="40" spans="1:108" ht="18.75" hidden="1" customHeight="1">
      <c r="A40" s="314">
        <v>34</v>
      </c>
      <c r="B40" s="1190"/>
      <c r="C40" s="1191"/>
      <c r="D40" s="1191"/>
      <c r="E40" s="1192"/>
      <c r="F40" s="1190"/>
      <c r="G40" s="1191"/>
      <c r="H40" s="1192"/>
      <c r="I40" s="1190"/>
      <c r="J40" s="1192"/>
      <c r="K40" s="1190"/>
      <c r="L40" s="1192"/>
      <c r="M40" s="1190"/>
      <c r="N40" s="1192"/>
      <c r="O40" s="1190"/>
      <c r="P40" s="1192"/>
      <c r="Q40" s="1190"/>
      <c r="R40" s="1192"/>
      <c r="S40" s="1190"/>
      <c r="T40" s="1192"/>
      <c r="U40" s="1190"/>
      <c r="V40" s="1191"/>
      <c r="W40" s="1192"/>
      <c r="X40" s="1190"/>
      <c r="Y40" s="1191"/>
      <c r="Z40" s="1192"/>
      <c r="AA40" s="1190"/>
      <c r="AB40" s="1192"/>
      <c r="AC40" s="1190"/>
      <c r="AD40" s="1192"/>
      <c r="AE40" s="1190"/>
      <c r="AF40" s="1192"/>
      <c r="AG40" s="1190"/>
      <c r="AH40" s="1192"/>
      <c r="AI40" s="1190"/>
      <c r="AJ40" s="1192"/>
      <c r="AK40" s="1190"/>
      <c r="AL40" s="1192"/>
      <c r="AM40" s="1190"/>
      <c r="AN40" s="1192"/>
      <c r="AO40" s="1190"/>
      <c r="AP40" s="1191"/>
      <c r="AQ40" s="1191"/>
      <c r="AR40" s="1192"/>
      <c r="AS40" s="1190"/>
      <c r="AT40" s="1191"/>
      <c r="AU40" s="1192"/>
      <c r="AV40" s="1190"/>
      <c r="AW40" s="1192"/>
      <c r="AX40" s="1190"/>
      <c r="AY40" s="1192"/>
      <c r="AZ40" s="162"/>
      <c r="BA40" s="1190"/>
      <c r="BB40" s="1192"/>
      <c r="BC40" s="1190"/>
      <c r="BD40" s="1192"/>
      <c r="BE40" s="1190"/>
      <c r="BF40" s="1192"/>
      <c r="BG40" s="1190"/>
      <c r="BH40" s="1192"/>
      <c r="BI40" s="1190"/>
      <c r="BJ40" s="1191"/>
      <c r="BK40" s="1191"/>
      <c r="BL40" s="1192"/>
      <c r="BM40" s="1190"/>
      <c r="BN40" s="1191"/>
      <c r="BO40" s="1192"/>
      <c r="BP40" s="1190"/>
      <c r="BQ40" s="1192"/>
      <c r="BR40" s="1190"/>
      <c r="BS40" s="1192"/>
      <c r="BT40" s="162"/>
      <c r="BU40" s="1190"/>
      <c r="BV40" s="1191"/>
      <c r="BW40" s="1192"/>
      <c r="BX40" s="1190"/>
      <c r="BY40" s="1192"/>
      <c r="BZ40" s="1190"/>
      <c r="CA40" s="1192"/>
      <c r="CB40" s="1190"/>
      <c r="CC40" s="1191"/>
      <c r="CD40" s="1192"/>
      <c r="CE40" s="1190"/>
      <c r="CF40" s="1191"/>
      <c r="CG40" s="1192"/>
      <c r="CH40" s="1190"/>
      <c r="CI40" s="1191"/>
      <c r="CJ40" s="1192"/>
      <c r="CK40" s="1190"/>
      <c r="CL40" s="1191"/>
      <c r="CM40" s="1192"/>
      <c r="CN40" s="1188"/>
      <c r="CO40" s="1189"/>
      <c r="CP40" s="1190"/>
      <c r="CQ40" s="1191"/>
      <c r="CR40" s="1192"/>
      <c r="CS40" s="1190"/>
      <c r="CT40" s="1191"/>
      <c r="CU40" s="1192"/>
      <c r="CV40" s="162"/>
      <c r="CW40" s="1190"/>
      <c r="CX40" s="1191"/>
      <c r="CY40" s="1191"/>
      <c r="CZ40" s="1192"/>
      <c r="DA40" s="159"/>
      <c r="DB40" s="159"/>
      <c r="DC40" s="161"/>
      <c r="DD40" s="315">
        <f t="shared" si="0"/>
        <v>90000</v>
      </c>
    </row>
    <row r="41" spans="1:108" ht="18.75" hidden="1" customHeight="1">
      <c r="A41" s="314">
        <v>35</v>
      </c>
      <c r="B41" s="1190"/>
      <c r="C41" s="1191"/>
      <c r="D41" s="1191"/>
      <c r="E41" s="1192"/>
      <c r="F41" s="1190"/>
      <c r="G41" s="1191"/>
      <c r="H41" s="1192"/>
      <c r="I41" s="1190"/>
      <c r="J41" s="1192"/>
      <c r="K41" s="1190"/>
      <c r="L41" s="1192"/>
      <c r="M41" s="1190"/>
      <c r="N41" s="1192"/>
      <c r="O41" s="1190"/>
      <c r="P41" s="1192"/>
      <c r="Q41" s="1190"/>
      <c r="R41" s="1192"/>
      <c r="S41" s="1190"/>
      <c r="T41" s="1192"/>
      <c r="U41" s="1190"/>
      <c r="V41" s="1191"/>
      <c r="W41" s="1192"/>
      <c r="X41" s="1190"/>
      <c r="Y41" s="1191"/>
      <c r="Z41" s="1192"/>
      <c r="AA41" s="1190"/>
      <c r="AB41" s="1192"/>
      <c r="AC41" s="1190"/>
      <c r="AD41" s="1192"/>
      <c r="AE41" s="1190"/>
      <c r="AF41" s="1192"/>
      <c r="AG41" s="1190"/>
      <c r="AH41" s="1192"/>
      <c r="AI41" s="1190"/>
      <c r="AJ41" s="1192"/>
      <c r="AK41" s="1190"/>
      <c r="AL41" s="1192"/>
      <c r="AM41" s="1190"/>
      <c r="AN41" s="1192"/>
      <c r="AO41" s="1190"/>
      <c r="AP41" s="1191"/>
      <c r="AQ41" s="1191"/>
      <c r="AR41" s="1192"/>
      <c r="AS41" s="1190"/>
      <c r="AT41" s="1191"/>
      <c r="AU41" s="1192"/>
      <c r="AV41" s="1190"/>
      <c r="AW41" s="1192"/>
      <c r="AX41" s="1190"/>
      <c r="AY41" s="1192"/>
      <c r="AZ41" s="162"/>
      <c r="BA41" s="1190"/>
      <c r="BB41" s="1192"/>
      <c r="BC41" s="1190"/>
      <c r="BD41" s="1192"/>
      <c r="BE41" s="1190"/>
      <c r="BF41" s="1192"/>
      <c r="BG41" s="1190"/>
      <c r="BH41" s="1192"/>
      <c r="BI41" s="1190"/>
      <c r="BJ41" s="1191"/>
      <c r="BK41" s="1191"/>
      <c r="BL41" s="1192"/>
      <c r="BM41" s="1190"/>
      <c r="BN41" s="1191"/>
      <c r="BO41" s="1192"/>
      <c r="BP41" s="1190"/>
      <c r="BQ41" s="1192"/>
      <c r="BR41" s="1190"/>
      <c r="BS41" s="1192"/>
      <c r="BT41" s="162"/>
      <c r="BU41" s="1190"/>
      <c r="BV41" s="1191"/>
      <c r="BW41" s="1192"/>
      <c r="BX41" s="1190"/>
      <c r="BY41" s="1192"/>
      <c r="BZ41" s="1190"/>
      <c r="CA41" s="1192"/>
      <c r="CB41" s="1190"/>
      <c r="CC41" s="1191"/>
      <c r="CD41" s="1192"/>
      <c r="CE41" s="1190"/>
      <c r="CF41" s="1191"/>
      <c r="CG41" s="1192"/>
      <c r="CH41" s="1190"/>
      <c r="CI41" s="1191"/>
      <c r="CJ41" s="1192"/>
      <c r="CK41" s="1190"/>
      <c r="CL41" s="1191"/>
      <c r="CM41" s="1192"/>
      <c r="CN41" s="1188"/>
      <c r="CO41" s="1189"/>
      <c r="CP41" s="1190"/>
      <c r="CQ41" s="1191"/>
      <c r="CR41" s="1192"/>
      <c r="CS41" s="1190"/>
      <c r="CT41" s="1191"/>
      <c r="CU41" s="1192"/>
      <c r="CV41" s="162"/>
      <c r="CW41" s="1190"/>
      <c r="CX41" s="1191"/>
      <c r="CY41" s="1191"/>
      <c r="CZ41" s="1192"/>
      <c r="DA41" s="159"/>
      <c r="DB41" s="159"/>
      <c r="DC41" s="161"/>
      <c r="DD41" s="315">
        <f t="shared" si="0"/>
        <v>90000</v>
      </c>
    </row>
    <row r="42" spans="1:108" ht="18.75" hidden="1" customHeight="1">
      <c r="A42" s="314">
        <v>36</v>
      </c>
      <c r="B42" s="1190"/>
      <c r="C42" s="1191"/>
      <c r="D42" s="1191"/>
      <c r="E42" s="1192"/>
      <c r="F42" s="1190"/>
      <c r="G42" s="1191"/>
      <c r="H42" s="1192"/>
      <c r="I42" s="1190"/>
      <c r="J42" s="1192"/>
      <c r="K42" s="1190"/>
      <c r="L42" s="1192"/>
      <c r="M42" s="1190"/>
      <c r="N42" s="1192"/>
      <c r="O42" s="1190"/>
      <c r="P42" s="1192"/>
      <c r="Q42" s="1190"/>
      <c r="R42" s="1192"/>
      <c r="S42" s="1190"/>
      <c r="T42" s="1192"/>
      <c r="U42" s="1190"/>
      <c r="V42" s="1191"/>
      <c r="W42" s="1192"/>
      <c r="X42" s="1190"/>
      <c r="Y42" s="1191"/>
      <c r="Z42" s="1192"/>
      <c r="AA42" s="1190"/>
      <c r="AB42" s="1192"/>
      <c r="AC42" s="1190"/>
      <c r="AD42" s="1192"/>
      <c r="AE42" s="1190"/>
      <c r="AF42" s="1192"/>
      <c r="AG42" s="1190"/>
      <c r="AH42" s="1192"/>
      <c r="AI42" s="1190"/>
      <c r="AJ42" s="1192"/>
      <c r="AK42" s="1190"/>
      <c r="AL42" s="1192"/>
      <c r="AM42" s="1190"/>
      <c r="AN42" s="1192"/>
      <c r="AO42" s="1190"/>
      <c r="AP42" s="1191"/>
      <c r="AQ42" s="1191"/>
      <c r="AR42" s="1192"/>
      <c r="AS42" s="1190"/>
      <c r="AT42" s="1191"/>
      <c r="AU42" s="1192"/>
      <c r="AV42" s="1190"/>
      <c r="AW42" s="1192"/>
      <c r="AX42" s="1190"/>
      <c r="AY42" s="1192"/>
      <c r="AZ42" s="162"/>
      <c r="BA42" s="1190"/>
      <c r="BB42" s="1192"/>
      <c r="BC42" s="1190"/>
      <c r="BD42" s="1192"/>
      <c r="BE42" s="1190"/>
      <c r="BF42" s="1192"/>
      <c r="BG42" s="1190"/>
      <c r="BH42" s="1192"/>
      <c r="BI42" s="1190"/>
      <c r="BJ42" s="1191"/>
      <c r="BK42" s="1191"/>
      <c r="BL42" s="1192"/>
      <c r="BM42" s="1190"/>
      <c r="BN42" s="1191"/>
      <c r="BO42" s="1192"/>
      <c r="BP42" s="1190"/>
      <c r="BQ42" s="1192"/>
      <c r="BR42" s="1190"/>
      <c r="BS42" s="1192"/>
      <c r="BT42" s="162"/>
      <c r="BU42" s="1190"/>
      <c r="BV42" s="1191"/>
      <c r="BW42" s="1192"/>
      <c r="BX42" s="1190"/>
      <c r="BY42" s="1192"/>
      <c r="BZ42" s="1190"/>
      <c r="CA42" s="1192"/>
      <c r="CB42" s="1190"/>
      <c r="CC42" s="1191"/>
      <c r="CD42" s="1192"/>
      <c r="CE42" s="1190"/>
      <c r="CF42" s="1191"/>
      <c r="CG42" s="1192"/>
      <c r="CH42" s="1190"/>
      <c r="CI42" s="1191"/>
      <c r="CJ42" s="1192"/>
      <c r="CK42" s="1190"/>
      <c r="CL42" s="1191"/>
      <c r="CM42" s="1192"/>
      <c r="CN42" s="1188"/>
      <c r="CO42" s="1189"/>
      <c r="CP42" s="1190"/>
      <c r="CQ42" s="1191"/>
      <c r="CR42" s="1192"/>
      <c r="CS42" s="1190"/>
      <c r="CT42" s="1191"/>
      <c r="CU42" s="1192"/>
      <c r="CV42" s="162"/>
      <c r="CW42" s="1190"/>
      <c r="CX42" s="1191"/>
      <c r="CY42" s="1191"/>
      <c r="CZ42" s="1192"/>
      <c r="DA42" s="159"/>
      <c r="DB42" s="159"/>
      <c r="DC42" s="161"/>
      <c r="DD42" s="315">
        <f t="shared" si="0"/>
        <v>90000</v>
      </c>
    </row>
    <row r="43" spans="1:108" ht="18.75" hidden="1" customHeight="1">
      <c r="A43" s="314">
        <v>37</v>
      </c>
      <c r="B43" s="1190"/>
      <c r="C43" s="1191"/>
      <c r="D43" s="1191"/>
      <c r="E43" s="1192"/>
      <c r="F43" s="1190"/>
      <c r="G43" s="1191"/>
      <c r="H43" s="1192"/>
      <c r="I43" s="1190"/>
      <c r="J43" s="1192"/>
      <c r="K43" s="1190"/>
      <c r="L43" s="1192"/>
      <c r="M43" s="1190"/>
      <c r="N43" s="1192"/>
      <c r="O43" s="1190"/>
      <c r="P43" s="1192"/>
      <c r="Q43" s="1190"/>
      <c r="R43" s="1192"/>
      <c r="S43" s="1190"/>
      <c r="T43" s="1192"/>
      <c r="U43" s="1190"/>
      <c r="V43" s="1191"/>
      <c r="W43" s="1192"/>
      <c r="X43" s="1190"/>
      <c r="Y43" s="1191"/>
      <c r="Z43" s="1192"/>
      <c r="AA43" s="1190"/>
      <c r="AB43" s="1192"/>
      <c r="AC43" s="1190"/>
      <c r="AD43" s="1192"/>
      <c r="AE43" s="1190"/>
      <c r="AF43" s="1192"/>
      <c r="AG43" s="1190"/>
      <c r="AH43" s="1192"/>
      <c r="AI43" s="1190"/>
      <c r="AJ43" s="1192"/>
      <c r="AK43" s="1190"/>
      <c r="AL43" s="1192"/>
      <c r="AM43" s="1190"/>
      <c r="AN43" s="1192"/>
      <c r="AO43" s="1190"/>
      <c r="AP43" s="1191"/>
      <c r="AQ43" s="1191"/>
      <c r="AR43" s="1192"/>
      <c r="AS43" s="1190"/>
      <c r="AT43" s="1191"/>
      <c r="AU43" s="1192"/>
      <c r="AV43" s="1190"/>
      <c r="AW43" s="1192"/>
      <c r="AX43" s="1190"/>
      <c r="AY43" s="1192"/>
      <c r="AZ43" s="162"/>
      <c r="BA43" s="1190"/>
      <c r="BB43" s="1192"/>
      <c r="BC43" s="1190"/>
      <c r="BD43" s="1192"/>
      <c r="BE43" s="1190"/>
      <c r="BF43" s="1192"/>
      <c r="BG43" s="1190"/>
      <c r="BH43" s="1192"/>
      <c r="BI43" s="1190"/>
      <c r="BJ43" s="1191"/>
      <c r="BK43" s="1191"/>
      <c r="BL43" s="1192"/>
      <c r="BM43" s="1190"/>
      <c r="BN43" s="1191"/>
      <c r="BO43" s="1192"/>
      <c r="BP43" s="1190"/>
      <c r="BQ43" s="1192"/>
      <c r="BR43" s="1190"/>
      <c r="BS43" s="1192"/>
      <c r="BT43" s="162"/>
      <c r="BU43" s="1190"/>
      <c r="BV43" s="1191"/>
      <c r="BW43" s="1192"/>
      <c r="BX43" s="1190"/>
      <c r="BY43" s="1192"/>
      <c r="BZ43" s="1190"/>
      <c r="CA43" s="1192"/>
      <c r="CB43" s="1190"/>
      <c r="CC43" s="1191"/>
      <c r="CD43" s="1192"/>
      <c r="CE43" s="1190"/>
      <c r="CF43" s="1191"/>
      <c r="CG43" s="1192"/>
      <c r="CH43" s="1190"/>
      <c r="CI43" s="1191"/>
      <c r="CJ43" s="1192"/>
      <c r="CK43" s="1190"/>
      <c r="CL43" s="1191"/>
      <c r="CM43" s="1192"/>
      <c r="CN43" s="1188"/>
      <c r="CO43" s="1189"/>
      <c r="CP43" s="1190"/>
      <c r="CQ43" s="1191"/>
      <c r="CR43" s="1192"/>
      <c r="CS43" s="1190"/>
      <c r="CT43" s="1191"/>
      <c r="CU43" s="1192"/>
      <c r="CV43" s="162"/>
      <c r="CW43" s="1190"/>
      <c r="CX43" s="1191"/>
      <c r="CY43" s="1191"/>
      <c r="CZ43" s="1192"/>
      <c r="DA43" s="159"/>
      <c r="DB43" s="159"/>
      <c r="DC43" s="161"/>
      <c r="DD43" s="315">
        <f t="shared" si="0"/>
        <v>90000</v>
      </c>
    </row>
    <row r="44" spans="1:108" ht="18.75" hidden="1" customHeight="1">
      <c r="A44" s="314">
        <v>38</v>
      </c>
      <c r="B44" s="1190"/>
      <c r="C44" s="1191"/>
      <c r="D44" s="1191"/>
      <c r="E44" s="1192"/>
      <c r="F44" s="1190"/>
      <c r="G44" s="1191"/>
      <c r="H44" s="1192"/>
      <c r="I44" s="1190"/>
      <c r="J44" s="1192"/>
      <c r="K44" s="1190"/>
      <c r="L44" s="1192"/>
      <c r="M44" s="1190"/>
      <c r="N44" s="1192"/>
      <c r="O44" s="1190"/>
      <c r="P44" s="1192"/>
      <c r="Q44" s="1190"/>
      <c r="R44" s="1192"/>
      <c r="S44" s="1190"/>
      <c r="T44" s="1192"/>
      <c r="U44" s="1190"/>
      <c r="V44" s="1191"/>
      <c r="W44" s="1192"/>
      <c r="X44" s="1190"/>
      <c r="Y44" s="1191"/>
      <c r="Z44" s="1192"/>
      <c r="AA44" s="1190"/>
      <c r="AB44" s="1192"/>
      <c r="AC44" s="1190"/>
      <c r="AD44" s="1192"/>
      <c r="AE44" s="1190"/>
      <c r="AF44" s="1192"/>
      <c r="AG44" s="1190"/>
      <c r="AH44" s="1192"/>
      <c r="AI44" s="1190"/>
      <c r="AJ44" s="1192"/>
      <c r="AK44" s="1190"/>
      <c r="AL44" s="1192"/>
      <c r="AM44" s="1190"/>
      <c r="AN44" s="1192"/>
      <c r="AO44" s="1190"/>
      <c r="AP44" s="1191"/>
      <c r="AQ44" s="1191"/>
      <c r="AR44" s="1192"/>
      <c r="AS44" s="1190"/>
      <c r="AT44" s="1191"/>
      <c r="AU44" s="1192"/>
      <c r="AV44" s="1190"/>
      <c r="AW44" s="1192"/>
      <c r="AX44" s="1190"/>
      <c r="AY44" s="1192"/>
      <c r="AZ44" s="162"/>
      <c r="BA44" s="1190"/>
      <c r="BB44" s="1192"/>
      <c r="BC44" s="1190"/>
      <c r="BD44" s="1192"/>
      <c r="BE44" s="1190"/>
      <c r="BF44" s="1192"/>
      <c r="BG44" s="1190"/>
      <c r="BH44" s="1192"/>
      <c r="BI44" s="1190"/>
      <c r="BJ44" s="1191"/>
      <c r="BK44" s="1191"/>
      <c r="BL44" s="1192"/>
      <c r="BM44" s="1190"/>
      <c r="BN44" s="1191"/>
      <c r="BO44" s="1192"/>
      <c r="BP44" s="1190"/>
      <c r="BQ44" s="1192"/>
      <c r="BR44" s="1190"/>
      <c r="BS44" s="1192"/>
      <c r="BT44" s="162"/>
      <c r="BU44" s="1190"/>
      <c r="BV44" s="1191"/>
      <c r="BW44" s="1192"/>
      <c r="BX44" s="1190"/>
      <c r="BY44" s="1192"/>
      <c r="BZ44" s="1190"/>
      <c r="CA44" s="1192"/>
      <c r="CB44" s="1190"/>
      <c r="CC44" s="1191"/>
      <c r="CD44" s="1192"/>
      <c r="CE44" s="1190"/>
      <c r="CF44" s="1191"/>
      <c r="CG44" s="1192"/>
      <c r="CH44" s="1190"/>
      <c r="CI44" s="1191"/>
      <c r="CJ44" s="1192"/>
      <c r="CK44" s="1190"/>
      <c r="CL44" s="1191"/>
      <c r="CM44" s="1192"/>
      <c r="CN44" s="1188"/>
      <c r="CO44" s="1189"/>
      <c r="CP44" s="1190"/>
      <c r="CQ44" s="1191"/>
      <c r="CR44" s="1192"/>
      <c r="CS44" s="1190"/>
      <c r="CT44" s="1191"/>
      <c r="CU44" s="1192"/>
      <c r="CV44" s="162"/>
      <c r="CW44" s="1190"/>
      <c r="CX44" s="1191"/>
      <c r="CY44" s="1191"/>
      <c r="CZ44" s="1192"/>
      <c r="DA44" s="159"/>
      <c r="DB44" s="159"/>
      <c r="DC44" s="161"/>
      <c r="DD44" s="315">
        <f t="shared" si="0"/>
        <v>90000</v>
      </c>
    </row>
    <row r="45" spans="1:108" ht="18.75" hidden="1" customHeight="1">
      <c r="A45" s="314">
        <v>39</v>
      </c>
      <c r="B45" s="1190"/>
      <c r="C45" s="1191"/>
      <c r="D45" s="1191"/>
      <c r="E45" s="1192"/>
      <c r="F45" s="1190"/>
      <c r="G45" s="1191"/>
      <c r="H45" s="1192"/>
      <c r="I45" s="1190"/>
      <c r="J45" s="1192"/>
      <c r="K45" s="1190"/>
      <c r="L45" s="1192"/>
      <c r="M45" s="1190"/>
      <c r="N45" s="1192"/>
      <c r="O45" s="1190"/>
      <c r="P45" s="1192"/>
      <c r="Q45" s="1190"/>
      <c r="R45" s="1192"/>
      <c r="S45" s="1190"/>
      <c r="T45" s="1192"/>
      <c r="U45" s="1190"/>
      <c r="V45" s="1191"/>
      <c r="W45" s="1192"/>
      <c r="X45" s="1190"/>
      <c r="Y45" s="1191"/>
      <c r="Z45" s="1192"/>
      <c r="AA45" s="1190"/>
      <c r="AB45" s="1192"/>
      <c r="AC45" s="1190"/>
      <c r="AD45" s="1192"/>
      <c r="AE45" s="1190"/>
      <c r="AF45" s="1192"/>
      <c r="AG45" s="1190"/>
      <c r="AH45" s="1192"/>
      <c r="AI45" s="1190"/>
      <c r="AJ45" s="1192"/>
      <c r="AK45" s="1190"/>
      <c r="AL45" s="1192"/>
      <c r="AM45" s="1190"/>
      <c r="AN45" s="1192"/>
      <c r="AO45" s="1190"/>
      <c r="AP45" s="1191"/>
      <c r="AQ45" s="1191"/>
      <c r="AR45" s="1192"/>
      <c r="AS45" s="1190"/>
      <c r="AT45" s="1191"/>
      <c r="AU45" s="1192"/>
      <c r="AV45" s="1190"/>
      <c r="AW45" s="1192"/>
      <c r="AX45" s="1190"/>
      <c r="AY45" s="1192"/>
      <c r="AZ45" s="162"/>
      <c r="BA45" s="1190"/>
      <c r="BB45" s="1192"/>
      <c r="BC45" s="1190"/>
      <c r="BD45" s="1192"/>
      <c r="BE45" s="1190"/>
      <c r="BF45" s="1192"/>
      <c r="BG45" s="1190"/>
      <c r="BH45" s="1192"/>
      <c r="BI45" s="1190"/>
      <c r="BJ45" s="1191"/>
      <c r="BK45" s="1191"/>
      <c r="BL45" s="1192"/>
      <c r="BM45" s="1190"/>
      <c r="BN45" s="1191"/>
      <c r="BO45" s="1192"/>
      <c r="BP45" s="1190"/>
      <c r="BQ45" s="1192"/>
      <c r="BR45" s="1190"/>
      <c r="BS45" s="1192"/>
      <c r="BT45" s="162"/>
      <c r="BU45" s="1190"/>
      <c r="BV45" s="1191"/>
      <c r="BW45" s="1192"/>
      <c r="BX45" s="1190"/>
      <c r="BY45" s="1192"/>
      <c r="BZ45" s="1190"/>
      <c r="CA45" s="1192"/>
      <c r="CB45" s="1190"/>
      <c r="CC45" s="1191"/>
      <c r="CD45" s="1192"/>
      <c r="CE45" s="1190"/>
      <c r="CF45" s="1191"/>
      <c r="CG45" s="1192"/>
      <c r="CH45" s="1190"/>
      <c r="CI45" s="1191"/>
      <c r="CJ45" s="1192"/>
      <c r="CK45" s="1190"/>
      <c r="CL45" s="1191"/>
      <c r="CM45" s="1192"/>
      <c r="CN45" s="1188"/>
      <c r="CO45" s="1189"/>
      <c r="CP45" s="1190"/>
      <c r="CQ45" s="1191"/>
      <c r="CR45" s="1192"/>
      <c r="CS45" s="1190"/>
      <c r="CT45" s="1191"/>
      <c r="CU45" s="1192"/>
      <c r="CV45" s="162"/>
      <c r="CW45" s="1190"/>
      <c r="CX45" s="1191"/>
      <c r="CY45" s="1191"/>
      <c r="CZ45" s="1192"/>
      <c r="DA45" s="159"/>
      <c r="DB45" s="159"/>
      <c r="DC45" s="161"/>
      <c r="DD45" s="315">
        <f t="shared" si="0"/>
        <v>90000</v>
      </c>
    </row>
    <row r="46" spans="1:108" ht="18.75" hidden="1" customHeight="1">
      <c r="A46" s="314">
        <v>40</v>
      </c>
      <c r="B46" s="1190"/>
      <c r="C46" s="1191"/>
      <c r="D46" s="1191"/>
      <c r="E46" s="1192"/>
      <c r="F46" s="1190"/>
      <c r="G46" s="1191"/>
      <c r="H46" s="1192"/>
      <c r="I46" s="1190"/>
      <c r="J46" s="1192"/>
      <c r="K46" s="1190"/>
      <c r="L46" s="1192"/>
      <c r="M46" s="1190"/>
      <c r="N46" s="1192"/>
      <c r="O46" s="1190"/>
      <c r="P46" s="1192"/>
      <c r="Q46" s="1190"/>
      <c r="R46" s="1192"/>
      <c r="S46" s="1190"/>
      <c r="T46" s="1192"/>
      <c r="U46" s="1190"/>
      <c r="V46" s="1191"/>
      <c r="W46" s="1192"/>
      <c r="X46" s="1190"/>
      <c r="Y46" s="1191"/>
      <c r="Z46" s="1192"/>
      <c r="AA46" s="1190"/>
      <c r="AB46" s="1192"/>
      <c r="AC46" s="1190"/>
      <c r="AD46" s="1192"/>
      <c r="AE46" s="1190"/>
      <c r="AF46" s="1192"/>
      <c r="AG46" s="1190"/>
      <c r="AH46" s="1192"/>
      <c r="AI46" s="1190"/>
      <c r="AJ46" s="1192"/>
      <c r="AK46" s="1190"/>
      <c r="AL46" s="1192"/>
      <c r="AM46" s="1190"/>
      <c r="AN46" s="1192"/>
      <c r="AO46" s="1190"/>
      <c r="AP46" s="1191"/>
      <c r="AQ46" s="1191"/>
      <c r="AR46" s="1192"/>
      <c r="AS46" s="1190"/>
      <c r="AT46" s="1191"/>
      <c r="AU46" s="1192"/>
      <c r="AV46" s="1190"/>
      <c r="AW46" s="1192"/>
      <c r="AX46" s="1190"/>
      <c r="AY46" s="1192"/>
      <c r="AZ46" s="162"/>
      <c r="BA46" s="1190"/>
      <c r="BB46" s="1192"/>
      <c r="BC46" s="1190"/>
      <c r="BD46" s="1192"/>
      <c r="BE46" s="1190"/>
      <c r="BF46" s="1192"/>
      <c r="BG46" s="1190"/>
      <c r="BH46" s="1192"/>
      <c r="BI46" s="1190"/>
      <c r="BJ46" s="1191"/>
      <c r="BK46" s="1191"/>
      <c r="BL46" s="1192"/>
      <c r="BM46" s="1190"/>
      <c r="BN46" s="1191"/>
      <c r="BO46" s="1192"/>
      <c r="BP46" s="1190"/>
      <c r="BQ46" s="1192"/>
      <c r="BR46" s="1190"/>
      <c r="BS46" s="1192"/>
      <c r="BT46" s="162"/>
      <c r="BU46" s="1190"/>
      <c r="BV46" s="1191"/>
      <c r="BW46" s="1192"/>
      <c r="BX46" s="1190"/>
      <c r="BY46" s="1192"/>
      <c r="BZ46" s="1190"/>
      <c r="CA46" s="1192"/>
      <c r="CB46" s="1190"/>
      <c r="CC46" s="1191"/>
      <c r="CD46" s="1192"/>
      <c r="CE46" s="1190"/>
      <c r="CF46" s="1191"/>
      <c r="CG46" s="1192"/>
      <c r="CH46" s="1190"/>
      <c r="CI46" s="1191"/>
      <c r="CJ46" s="1192"/>
      <c r="CK46" s="1190"/>
      <c r="CL46" s="1191"/>
      <c r="CM46" s="1192"/>
      <c r="CN46" s="1188"/>
      <c r="CO46" s="1189"/>
      <c r="CP46" s="1190"/>
      <c r="CQ46" s="1191"/>
      <c r="CR46" s="1192"/>
      <c r="CS46" s="1190"/>
      <c r="CT46" s="1191"/>
      <c r="CU46" s="1192"/>
      <c r="CV46" s="162"/>
      <c r="CW46" s="1190"/>
      <c r="CX46" s="1191"/>
      <c r="CY46" s="1191"/>
      <c r="CZ46" s="1192"/>
      <c r="DA46" s="159"/>
      <c r="DB46" s="159"/>
      <c r="DC46" s="161"/>
      <c r="DD46" s="315">
        <f t="shared" si="0"/>
        <v>90000</v>
      </c>
    </row>
    <row r="47" spans="1:108" ht="18.75" hidden="1" customHeight="1">
      <c r="A47" s="314">
        <v>41</v>
      </c>
      <c r="B47" s="1190"/>
      <c r="C47" s="1191"/>
      <c r="D47" s="1191"/>
      <c r="E47" s="1192"/>
      <c r="F47" s="1190"/>
      <c r="G47" s="1191"/>
      <c r="H47" s="1192"/>
      <c r="I47" s="1190"/>
      <c r="J47" s="1192"/>
      <c r="K47" s="1190"/>
      <c r="L47" s="1192"/>
      <c r="M47" s="1190"/>
      <c r="N47" s="1192"/>
      <c r="O47" s="1190"/>
      <c r="P47" s="1192"/>
      <c r="Q47" s="1190"/>
      <c r="R47" s="1192"/>
      <c r="S47" s="1190"/>
      <c r="T47" s="1192"/>
      <c r="U47" s="1190"/>
      <c r="V47" s="1191"/>
      <c r="W47" s="1192"/>
      <c r="X47" s="1190"/>
      <c r="Y47" s="1191"/>
      <c r="Z47" s="1192"/>
      <c r="AA47" s="1190"/>
      <c r="AB47" s="1192"/>
      <c r="AC47" s="1190"/>
      <c r="AD47" s="1192"/>
      <c r="AE47" s="1190"/>
      <c r="AF47" s="1192"/>
      <c r="AG47" s="1190"/>
      <c r="AH47" s="1192"/>
      <c r="AI47" s="1190"/>
      <c r="AJ47" s="1192"/>
      <c r="AK47" s="1190"/>
      <c r="AL47" s="1192"/>
      <c r="AM47" s="1190"/>
      <c r="AN47" s="1192"/>
      <c r="AO47" s="1190"/>
      <c r="AP47" s="1191"/>
      <c r="AQ47" s="1191"/>
      <c r="AR47" s="1192"/>
      <c r="AS47" s="1190"/>
      <c r="AT47" s="1191"/>
      <c r="AU47" s="1192"/>
      <c r="AV47" s="1190"/>
      <c r="AW47" s="1192"/>
      <c r="AX47" s="1190"/>
      <c r="AY47" s="1192"/>
      <c r="AZ47" s="162"/>
      <c r="BA47" s="1190"/>
      <c r="BB47" s="1192"/>
      <c r="BC47" s="1190"/>
      <c r="BD47" s="1192"/>
      <c r="BE47" s="1190"/>
      <c r="BF47" s="1192"/>
      <c r="BG47" s="1190"/>
      <c r="BH47" s="1192"/>
      <c r="BI47" s="1190"/>
      <c r="BJ47" s="1191"/>
      <c r="BK47" s="1191"/>
      <c r="BL47" s="1192"/>
      <c r="BM47" s="1190"/>
      <c r="BN47" s="1191"/>
      <c r="BO47" s="1192"/>
      <c r="BP47" s="1190"/>
      <c r="BQ47" s="1192"/>
      <c r="BR47" s="1190"/>
      <c r="BS47" s="1192"/>
      <c r="BT47" s="162"/>
      <c r="BU47" s="1190"/>
      <c r="BV47" s="1191"/>
      <c r="BW47" s="1192"/>
      <c r="BX47" s="1190"/>
      <c r="BY47" s="1192"/>
      <c r="BZ47" s="1190"/>
      <c r="CA47" s="1192"/>
      <c r="CB47" s="1190"/>
      <c r="CC47" s="1191"/>
      <c r="CD47" s="1192"/>
      <c r="CE47" s="1190"/>
      <c r="CF47" s="1191"/>
      <c r="CG47" s="1192"/>
      <c r="CH47" s="1190"/>
      <c r="CI47" s="1191"/>
      <c r="CJ47" s="1192"/>
      <c r="CK47" s="1190"/>
      <c r="CL47" s="1191"/>
      <c r="CM47" s="1192"/>
      <c r="CN47" s="1188"/>
      <c r="CO47" s="1189"/>
      <c r="CP47" s="1190"/>
      <c r="CQ47" s="1191"/>
      <c r="CR47" s="1192"/>
      <c r="CS47" s="1190"/>
      <c r="CT47" s="1191"/>
      <c r="CU47" s="1192"/>
      <c r="CV47" s="162"/>
      <c r="CW47" s="1190"/>
      <c r="CX47" s="1191"/>
      <c r="CY47" s="1191"/>
      <c r="CZ47" s="1192"/>
      <c r="DA47" s="159"/>
      <c r="DB47" s="159"/>
      <c r="DC47" s="161"/>
      <c r="DD47" s="315">
        <f t="shared" si="0"/>
        <v>90000</v>
      </c>
    </row>
    <row r="48" spans="1:108" ht="18.75" hidden="1" customHeight="1">
      <c r="A48" s="314">
        <v>42</v>
      </c>
      <c r="B48" s="1190"/>
      <c r="C48" s="1191"/>
      <c r="D48" s="1191"/>
      <c r="E48" s="1192"/>
      <c r="F48" s="1190"/>
      <c r="G48" s="1191"/>
      <c r="H48" s="1192"/>
      <c r="I48" s="1190"/>
      <c r="J48" s="1192"/>
      <c r="K48" s="1190"/>
      <c r="L48" s="1192"/>
      <c r="M48" s="1190"/>
      <c r="N48" s="1192"/>
      <c r="O48" s="1190"/>
      <c r="P48" s="1192"/>
      <c r="Q48" s="1190"/>
      <c r="R48" s="1192"/>
      <c r="S48" s="1190"/>
      <c r="T48" s="1192"/>
      <c r="U48" s="1190"/>
      <c r="V48" s="1191"/>
      <c r="W48" s="1192"/>
      <c r="X48" s="1190"/>
      <c r="Y48" s="1191"/>
      <c r="Z48" s="1192"/>
      <c r="AA48" s="1190"/>
      <c r="AB48" s="1192"/>
      <c r="AC48" s="1190"/>
      <c r="AD48" s="1192"/>
      <c r="AE48" s="1190"/>
      <c r="AF48" s="1192"/>
      <c r="AG48" s="1190"/>
      <c r="AH48" s="1192"/>
      <c r="AI48" s="1190"/>
      <c r="AJ48" s="1192"/>
      <c r="AK48" s="1190"/>
      <c r="AL48" s="1192"/>
      <c r="AM48" s="1190"/>
      <c r="AN48" s="1192"/>
      <c r="AO48" s="1190"/>
      <c r="AP48" s="1191"/>
      <c r="AQ48" s="1191"/>
      <c r="AR48" s="1192"/>
      <c r="AS48" s="1190"/>
      <c r="AT48" s="1191"/>
      <c r="AU48" s="1192"/>
      <c r="AV48" s="1190"/>
      <c r="AW48" s="1192"/>
      <c r="AX48" s="1190"/>
      <c r="AY48" s="1192"/>
      <c r="AZ48" s="162"/>
      <c r="BA48" s="1190"/>
      <c r="BB48" s="1192"/>
      <c r="BC48" s="1190"/>
      <c r="BD48" s="1192"/>
      <c r="BE48" s="1190"/>
      <c r="BF48" s="1192"/>
      <c r="BG48" s="1190"/>
      <c r="BH48" s="1192"/>
      <c r="BI48" s="1190"/>
      <c r="BJ48" s="1191"/>
      <c r="BK48" s="1191"/>
      <c r="BL48" s="1192"/>
      <c r="BM48" s="1190"/>
      <c r="BN48" s="1191"/>
      <c r="BO48" s="1192"/>
      <c r="BP48" s="1190"/>
      <c r="BQ48" s="1192"/>
      <c r="BR48" s="1190"/>
      <c r="BS48" s="1192"/>
      <c r="BT48" s="162"/>
      <c r="BU48" s="1190"/>
      <c r="BV48" s="1191"/>
      <c r="BW48" s="1192"/>
      <c r="BX48" s="1190"/>
      <c r="BY48" s="1192"/>
      <c r="BZ48" s="1190"/>
      <c r="CA48" s="1192"/>
      <c r="CB48" s="1190"/>
      <c r="CC48" s="1191"/>
      <c r="CD48" s="1192"/>
      <c r="CE48" s="1190"/>
      <c r="CF48" s="1191"/>
      <c r="CG48" s="1192"/>
      <c r="CH48" s="1190"/>
      <c r="CI48" s="1191"/>
      <c r="CJ48" s="1192"/>
      <c r="CK48" s="1190"/>
      <c r="CL48" s="1191"/>
      <c r="CM48" s="1192"/>
      <c r="CN48" s="1188"/>
      <c r="CO48" s="1189"/>
      <c r="CP48" s="1190"/>
      <c r="CQ48" s="1191"/>
      <c r="CR48" s="1192"/>
      <c r="CS48" s="1190"/>
      <c r="CT48" s="1191"/>
      <c r="CU48" s="1192"/>
      <c r="CV48" s="162"/>
      <c r="CW48" s="1190"/>
      <c r="CX48" s="1191"/>
      <c r="CY48" s="1191"/>
      <c r="CZ48" s="1192"/>
      <c r="DA48" s="159"/>
      <c r="DB48" s="159"/>
      <c r="DC48" s="161"/>
      <c r="DD48" s="315">
        <f t="shared" si="0"/>
        <v>90000</v>
      </c>
    </row>
    <row r="49" spans="1:170" ht="18.75" hidden="1" customHeight="1">
      <c r="A49" s="314">
        <v>43</v>
      </c>
      <c r="B49" s="1190"/>
      <c r="C49" s="1191"/>
      <c r="D49" s="1191"/>
      <c r="E49" s="1192"/>
      <c r="F49" s="1190"/>
      <c r="G49" s="1191"/>
      <c r="H49" s="1192"/>
      <c r="I49" s="1190"/>
      <c r="J49" s="1192"/>
      <c r="K49" s="1190"/>
      <c r="L49" s="1192"/>
      <c r="M49" s="1190"/>
      <c r="N49" s="1192"/>
      <c r="O49" s="1190"/>
      <c r="P49" s="1192"/>
      <c r="Q49" s="1190"/>
      <c r="R49" s="1192"/>
      <c r="S49" s="1190"/>
      <c r="T49" s="1192"/>
      <c r="U49" s="1190"/>
      <c r="V49" s="1191"/>
      <c r="W49" s="1192"/>
      <c r="X49" s="1190"/>
      <c r="Y49" s="1191"/>
      <c r="Z49" s="1192"/>
      <c r="AA49" s="1190"/>
      <c r="AB49" s="1192"/>
      <c r="AC49" s="1190"/>
      <c r="AD49" s="1192"/>
      <c r="AE49" s="1190"/>
      <c r="AF49" s="1192"/>
      <c r="AG49" s="1190"/>
      <c r="AH49" s="1192"/>
      <c r="AI49" s="1190"/>
      <c r="AJ49" s="1192"/>
      <c r="AK49" s="1190"/>
      <c r="AL49" s="1192"/>
      <c r="AM49" s="1190"/>
      <c r="AN49" s="1192"/>
      <c r="AO49" s="1190"/>
      <c r="AP49" s="1191"/>
      <c r="AQ49" s="1191"/>
      <c r="AR49" s="1192"/>
      <c r="AS49" s="1190"/>
      <c r="AT49" s="1191"/>
      <c r="AU49" s="1192"/>
      <c r="AV49" s="1190"/>
      <c r="AW49" s="1192"/>
      <c r="AX49" s="1190"/>
      <c r="AY49" s="1192"/>
      <c r="AZ49" s="162"/>
      <c r="BA49" s="1190"/>
      <c r="BB49" s="1192"/>
      <c r="BC49" s="1190"/>
      <c r="BD49" s="1192"/>
      <c r="BE49" s="1190"/>
      <c r="BF49" s="1192"/>
      <c r="BG49" s="1190"/>
      <c r="BH49" s="1192"/>
      <c r="BI49" s="1190"/>
      <c r="BJ49" s="1191"/>
      <c r="BK49" s="1191"/>
      <c r="BL49" s="1192"/>
      <c r="BM49" s="1190"/>
      <c r="BN49" s="1191"/>
      <c r="BO49" s="1192"/>
      <c r="BP49" s="1190"/>
      <c r="BQ49" s="1192"/>
      <c r="BR49" s="1190"/>
      <c r="BS49" s="1192"/>
      <c r="BT49" s="162"/>
      <c r="BU49" s="1190"/>
      <c r="BV49" s="1191"/>
      <c r="BW49" s="1192"/>
      <c r="BX49" s="1190"/>
      <c r="BY49" s="1192"/>
      <c r="BZ49" s="1190"/>
      <c r="CA49" s="1192"/>
      <c r="CB49" s="1190"/>
      <c r="CC49" s="1191"/>
      <c r="CD49" s="1192"/>
      <c r="CE49" s="1190"/>
      <c r="CF49" s="1191"/>
      <c r="CG49" s="1192"/>
      <c r="CH49" s="1190"/>
      <c r="CI49" s="1191"/>
      <c r="CJ49" s="1192"/>
      <c r="CK49" s="1190"/>
      <c r="CL49" s="1191"/>
      <c r="CM49" s="1192"/>
      <c r="CN49" s="1188"/>
      <c r="CO49" s="1189"/>
      <c r="CP49" s="1190"/>
      <c r="CQ49" s="1191"/>
      <c r="CR49" s="1192"/>
      <c r="CS49" s="1190"/>
      <c r="CT49" s="1191"/>
      <c r="CU49" s="1192"/>
      <c r="CV49" s="162"/>
      <c r="CW49" s="1190"/>
      <c r="CX49" s="1191"/>
      <c r="CY49" s="1191"/>
      <c r="CZ49" s="1192"/>
      <c r="DA49" s="159"/>
      <c r="DB49" s="159"/>
      <c r="DC49" s="161"/>
      <c r="DD49" s="315">
        <f t="shared" si="0"/>
        <v>90000</v>
      </c>
    </row>
    <row r="50" spans="1:170" ht="18.75" hidden="1" customHeight="1">
      <c r="A50" s="314">
        <v>44</v>
      </c>
      <c r="B50" s="1190"/>
      <c r="C50" s="1191"/>
      <c r="D50" s="1191"/>
      <c r="E50" s="1192"/>
      <c r="F50" s="1190"/>
      <c r="G50" s="1191"/>
      <c r="H50" s="1192"/>
      <c r="I50" s="1190"/>
      <c r="J50" s="1192"/>
      <c r="K50" s="1190"/>
      <c r="L50" s="1192"/>
      <c r="M50" s="1190"/>
      <c r="N50" s="1192"/>
      <c r="O50" s="1190"/>
      <c r="P50" s="1192"/>
      <c r="Q50" s="1190"/>
      <c r="R50" s="1192"/>
      <c r="S50" s="1190"/>
      <c r="T50" s="1192"/>
      <c r="U50" s="1190"/>
      <c r="V50" s="1191"/>
      <c r="W50" s="1192"/>
      <c r="X50" s="1190"/>
      <c r="Y50" s="1191"/>
      <c r="Z50" s="1192"/>
      <c r="AA50" s="1190"/>
      <c r="AB50" s="1192"/>
      <c r="AC50" s="1190"/>
      <c r="AD50" s="1192"/>
      <c r="AE50" s="1190"/>
      <c r="AF50" s="1192"/>
      <c r="AG50" s="1190"/>
      <c r="AH50" s="1192"/>
      <c r="AI50" s="1190"/>
      <c r="AJ50" s="1192"/>
      <c r="AK50" s="1190"/>
      <c r="AL50" s="1192"/>
      <c r="AM50" s="1190"/>
      <c r="AN50" s="1192"/>
      <c r="AO50" s="1190"/>
      <c r="AP50" s="1191"/>
      <c r="AQ50" s="1191"/>
      <c r="AR50" s="1192"/>
      <c r="AS50" s="1190"/>
      <c r="AT50" s="1191"/>
      <c r="AU50" s="1192"/>
      <c r="AV50" s="1190"/>
      <c r="AW50" s="1192"/>
      <c r="AX50" s="1190"/>
      <c r="AY50" s="1192"/>
      <c r="AZ50" s="162"/>
      <c r="BA50" s="1190"/>
      <c r="BB50" s="1192"/>
      <c r="BC50" s="1190"/>
      <c r="BD50" s="1192"/>
      <c r="BE50" s="1190"/>
      <c r="BF50" s="1192"/>
      <c r="BG50" s="1190"/>
      <c r="BH50" s="1192"/>
      <c r="BI50" s="1190"/>
      <c r="BJ50" s="1191"/>
      <c r="BK50" s="1191"/>
      <c r="BL50" s="1192"/>
      <c r="BM50" s="1190"/>
      <c r="BN50" s="1191"/>
      <c r="BO50" s="1192"/>
      <c r="BP50" s="1190"/>
      <c r="BQ50" s="1192"/>
      <c r="BR50" s="1190"/>
      <c r="BS50" s="1192"/>
      <c r="BT50" s="162"/>
      <c r="BU50" s="1190"/>
      <c r="BV50" s="1191"/>
      <c r="BW50" s="1192"/>
      <c r="BX50" s="1190"/>
      <c r="BY50" s="1192"/>
      <c r="BZ50" s="1190"/>
      <c r="CA50" s="1192"/>
      <c r="CB50" s="1190"/>
      <c r="CC50" s="1191"/>
      <c r="CD50" s="1192"/>
      <c r="CE50" s="1190"/>
      <c r="CF50" s="1191"/>
      <c r="CG50" s="1192"/>
      <c r="CH50" s="1190"/>
      <c r="CI50" s="1191"/>
      <c r="CJ50" s="1192"/>
      <c r="CK50" s="1190"/>
      <c r="CL50" s="1191"/>
      <c r="CM50" s="1192"/>
      <c r="CN50" s="1188"/>
      <c r="CO50" s="1189"/>
      <c r="CP50" s="1190"/>
      <c r="CQ50" s="1191"/>
      <c r="CR50" s="1192"/>
      <c r="CS50" s="1190"/>
      <c r="CT50" s="1191"/>
      <c r="CU50" s="1192"/>
      <c r="CV50" s="162"/>
      <c r="CW50" s="1190"/>
      <c r="CX50" s="1191"/>
      <c r="CY50" s="1191"/>
      <c r="CZ50" s="1192"/>
      <c r="DA50" s="159"/>
      <c r="DB50" s="159"/>
      <c r="DC50" s="161"/>
      <c r="DD50" s="315">
        <f t="shared" si="0"/>
        <v>90000</v>
      </c>
    </row>
    <row r="51" spans="1:170" ht="18.75" hidden="1" customHeight="1">
      <c r="A51" s="314">
        <v>45</v>
      </c>
      <c r="B51" s="1190"/>
      <c r="C51" s="1191"/>
      <c r="D51" s="1191"/>
      <c r="E51" s="1192"/>
      <c r="F51" s="1190"/>
      <c r="G51" s="1191"/>
      <c r="H51" s="1192"/>
      <c r="I51" s="1190"/>
      <c r="J51" s="1192"/>
      <c r="K51" s="1190"/>
      <c r="L51" s="1192"/>
      <c r="M51" s="1190"/>
      <c r="N51" s="1192"/>
      <c r="O51" s="1190"/>
      <c r="P51" s="1192"/>
      <c r="Q51" s="1190"/>
      <c r="R51" s="1192"/>
      <c r="S51" s="1190"/>
      <c r="T51" s="1192"/>
      <c r="U51" s="1190"/>
      <c r="V51" s="1191"/>
      <c r="W51" s="1192"/>
      <c r="X51" s="1190"/>
      <c r="Y51" s="1191"/>
      <c r="Z51" s="1192"/>
      <c r="AA51" s="1190"/>
      <c r="AB51" s="1192"/>
      <c r="AC51" s="1190"/>
      <c r="AD51" s="1192"/>
      <c r="AE51" s="1190"/>
      <c r="AF51" s="1192"/>
      <c r="AG51" s="1190"/>
      <c r="AH51" s="1192"/>
      <c r="AI51" s="1190"/>
      <c r="AJ51" s="1192"/>
      <c r="AK51" s="1190"/>
      <c r="AL51" s="1192"/>
      <c r="AM51" s="1190"/>
      <c r="AN51" s="1192"/>
      <c r="AO51" s="1190"/>
      <c r="AP51" s="1191"/>
      <c r="AQ51" s="1191"/>
      <c r="AR51" s="1192"/>
      <c r="AS51" s="1190"/>
      <c r="AT51" s="1191"/>
      <c r="AU51" s="1192"/>
      <c r="AV51" s="1190"/>
      <c r="AW51" s="1192"/>
      <c r="AX51" s="1190"/>
      <c r="AY51" s="1192"/>
      <c r="AZ51" s="162"/>
      <c r="BA51" s="1190"/>
      <c r="BB51" s="1192"/>
      <c r="BC51" s="1190"/>
      <c r="BD51" s="1192"/>
      <c r="BE51" s="1190"/>
      <c r="BF51" s="1192"/>
      <c r="BG51" s="1190"/>
      <c r="BH51" s="1192"/>
      <c r="BI51" s="1190"/>
      <c r="BJ51" s="1191"/>
      <c r="BK51" s="1191"/>
      <c r="BL51" s="1192"/>
      <c r="BM51" s="1190"/>
      <c r="BN51" s="1191"/>
      <c r="BO51" s="1192"/>
      <c r="BP51" s="1190"/>
      <c r="BQ51" s="1192"/>
      <c r="BR51" s="1190"/>
      <c r="BS51" s="1192"/>
      <c r="BT51" s="162"/>
      <c r="BU51" s="1190"/>
      <c r="BV51" s="1191"/>
      <c r="BW51" s="1192"/>
      <c r="BX51" s="1190"/>
      <c r="BY51" s="1192"/>
      <c r="BZ51" s="1190"/>
      <c r="CA51" s="1192"/>
      <c r="CB51" s="1190"/>
      <c r="CC51" s="1191"/>
      <c r="CD51" s="1192"/>
      <c r="CE51" s="1190"/>
      <c r="CF51" s="1191"/>
      <c r="CG51" s="1192"/>
      <c r="CH51" s="1190"/>
      <c r="CI51" s="1191"/>
      <c r="CJ51" s="1192"/>
      <c r="CK51" s="1190"/>
      <c r="CL51" s="1191"/>
      <c r="CM51" s="1192"/>
      <c r="CN51" s="1188"/>
      <c r="CO51" s="1189"/>
      <c r="CP51" s="1190"/>
      <c r="CQ51" s="1191"/>
      <c r="CR51" s="1192"/>
      <c r="CS51" s="1190"/>
      <c r="CT51" s="1191"/>
      <c r="CU51" s="1192"/>
      <c r="CV51" s="162"/>
      <c r="CW51" s="1190"/>
      <c r="CX51" s="1191"/>
      <c r="CY51" s="1191"/>
      <c r="CZ51" s="1192"/>
      <c r="DA51" s="159"/>
      <c r="DB51" s="159"/>
      <c r="DC51" s="161"/>
      <c r="DD51" s="315">
        <f t="shared" si="0"/>
        <v>90000</v>
      </c>
    </row>
    <row r="52" spans="1:170" ht="18.75" hidden="1" customHeight="1">
      <c r="A52" s="314">
        <v>46</v>
      </c>
      <c r="B52" s="1190"/>
      <c r="C52" s="1191"/>
      <c r="D52" s="1191"/>
      <c r="E52" s="1192"/>
      <c r="F52" s="1190"/>
      <c r="G52" s="1191"/>
      <c r="H52" s="1192"/>
      <c r="I52" s="1190"/>
      <c r="J52" s="1192"/>
      <c r="K52" s="1190"/>
      <c r="L52" s="1192"/>
      <c r="M52" s="1190"/>
      <c r="N52" s="1192"/>
      <c r="O52" s="1190"/>
      <c r="P52" s="1192"/>
      <c r="Q52" s="1190"/>
      <c r="R52" s="1192"/>
      <c r="S52" s="1190"/>
      <c r="T52" s="1192"/>
      <c r="U52" s="1190"/>
      <c r="V52" s="1191"/>
      <c r="W52" s="1192"/>
      <c r="X52" s="1190"/>
      <c r="Y52" s="1191"/>
      <c r="Z52" s="1192"/>
      <c r="AA52" s="1190"/>
      <c r="AB52" s="1192"/>
      <c r="AC52" s="1190"/>
      <c r="AD52" s="1192"/>
      <c r="AE52" s="1190"/>
      <c r="AF52" s="1192"/>
      <c r="AG52" s="1190"/>
      <c r="AH52" s="1192"/>
      <c r="AI52" s="1190"/>
      <c r="AJ52" s="1192"/>
      <c r="AK52" s="1190"/>
      <c r="AL52" s="1192"/>
      <c r="AM52" s="1190"/>
      <c r="AN52" s="1192"/>
      <c r="AO52" s="1190"/>
      <c r="AP52" s="1191"/>
      <c r="AQ52" s="1191"/>
      <c r="AR52" s="1192"/>
      <c r="AS52" s="1190"/>
      <c r="AT52" s="1191"/>
      <c r="AU52" s="1192"/>
      <c r="AV52" s="1190"/>
      <c r="AW52" s="1192"/>
      <c r="AX52" s="1190"/>
      <c r="AY52" s="1192"/>
      <c r="AZ52" s="162"/>
      <c r="BA52" s="1190"/>
      <c r="BB52" s="1192"/>
      <c r="BC52" s="1190"/>
      <c r="BD52" s="1192"/>
      <c r="BE52" s="1190"/>
      <c r="BF52" s="1192"/>
      <c r="BG52" s="1190"/>
      <c r="BH52" s="1192"/>
      <c r="BI52" s="1190"/>
      <c r="BJ52" s="1191"/>
      <c r="BK52" s="1191"/>
      <c r="BL52" s="1192"/>
      <c r="BM52" s="1190"/>
      <c r="BN52" s="1191"/>
      <c r="BO52" s="1192"/>
      <c r="BP52" s="1190"/>
      <c r="BQ52" s="1192"/>
      <c r="BR52" s="1190"/>
      <c r="BS52" s="1192"/>
      <c r="BT52" s="162"/>
      <c r="BU52" s="1190"/>
      <c r="BV52" s="1191"/>
      <c r="BW52" s="1192"/>
      <c r="BX52" s="1190"/>
      <c r="BY52" s="1192"/>
      <c r="BZ52" s="1190"/>
      <c r="CA52" s="1192"/>
      <c r="CB52" s="1190"/>
      <c r="CC52" s="1191"/>
      <c r="CD52" s="1192"/>
      <c r="CE52" s="1190"/>
      <c r="CF52" s="1191"/>
      <c r="CG52" s="1192"/>
      <c r="CH52" s="1190"/>
      <c r="CI52" s="1191"/>
      <c r="CJ52" s="1192"/>
      <c r="CK52" s="1190"/>
      <c r="CL52" s="1191"/>
      <c r="CM52" s="1192"/>
      <c r="CN52" s="1188"/>
      <c r="CO52" s="1189"/>
      <c r="CP52" s="1190"/>
      <c r="CQ52" s="1191"/>
      <c r="CR52" s="1192"/>
      <c r="CS52" s="1190"/>
      <c r="CT52" s="1191"/>
      <c r="CU52" s="1192"/>
      <c r="CV52" s="162"/>
      <c r="CW52" s="1190"/>
      <c r="CX52" s="1191"/>
      <c r="CY52" s="1191"/>
      <c r="CZ52" s="1192"/>
      <c r="DA52" s="159"/>
      <c r="DB52" s="159"/>
      <c r="DC52" s="161"/>
      <c r="DD52" s="315">
        <f t="shared" si="0"/>
        <v>90000</v>
      </c>
    </row>
    <row r="53" spans="1:170" ht="18.75" hidden="1" customHeight="1">
      <c r="A53" s="314">
        <v>47</v>
      </c>
      <c r="B53" s="1190"/>
      <c r="C53" s="1191"/>
      <c r="D53" s="1191"/>
      <c r="E53" s="1192"/>
      <c r="F53" s="1190"/>
      <c r="G53" s="1191"/>
      <c r="H53" s="1192"/>
      <c r="I53" s="1190"/>
      <c r="J53" s="1192"/>
      <c r="K53" s="1190"/>
      <c r="L53" s="1192"/>
      <c r="M53" s="1190"/>
      <c r="N53" s="1192"/>
      <c r="O53" s="1190"/>
      <c r="P53" s="1192"/>
      <c r="Q53" s="1190"/>
      <c r="R53" s="1192"/>
      <c r="S53" s="1190"/>
      <c r="T53" s="1192"/>
      <c r="U53" s="1190"/>
      <c r="V53" s="1191"/>
      <c r="W53" s="1192"/>
      <c r="X53" s="1190"/>
      <c r="Y53" s="1191"/>
      <c r="Z53" s="1192"/>
      <c r="AA53" s="1190"/>
      <c r="AB53" s="1192"/>
      <c r="AC53" s="1190"/>
      <c r="AD53" s="1192"/>
      <c r="AE53" s="1190"/>
      <c r="AF53" s="1192"/>
      <c r="AG53" s="1190"/>
      <c r="AH53" s="1192"/>
      <c r="AI53" s="1190"/>
      <c r="AJ53" s="1192"/>
      <c r="AK53" s="1190"/>
      <c r="AL53" s="1192"/>
      <c r="AM53" s="1190"/>
      <c r="AN53" s="1192"/>
      <c r="AO53" s="1190"/>
      <c r="AP53" s="1191"/>
      <c r="AQ53" s="1191"/>
      <c r="AR53" s="1192"/>
      <c r="AS53" s="1190"/>
      <c r="AT53" s="1191"/>
      <c r="AU53" s="1192"/>
      <c r="AV53" s="1190"/>
      <c r="AW53" s="1192"/>
      <c r="AX53" s="1190"/>
      <c r="AY53" s="1192"/>
      <c r="AZ53" s="162"/>
      <c r="BA53" s="1190"/>
      <c r="BB53" s="1192"/>
      <c r="BC53" s="1190"/>
      <c r="BD53" s="1192"/>
      <c r="BE53" s="1190"/>
      <c r="BF53" s="1192"/>
      <c r="BG53" s="1190"/>
      <c r="BH53" s="1192"/>
      <c r="BI53" s="1190"/>
      <c r="BJ53" s="1191"/>
      <c r="BK53" s="1191"/>
      <c r="BL53" s="1192"/>
      <c r="BM53" s="1190"/>
      <c r="BN53" s="1191"/>
      <c r="BO53" s="1192"/>
      <c r="BP53" s="1190"/>
      <c r="BQ53" s="1192"/>
      <c r="BR53" s="1190"/>
      <c r="BS53" s="1192"/>
      <c r="BT53" s="162"/>
      <c r="BU53" s="1190"/>
      <c r="BV53" s="1191"/>
      <c r="BW53" s="1192"/>
      <c r="BX53" s="1190"/>
      <c r="BY53" s="1192"/>
      <c r="BZ53" s="1190"/>
      <c r="CA53" s="1192"/>
      <c r="CB53" s="1190"/>
      <c r="CC53" s="1191"/>
      <c r="CD53" s="1192"/>
      <c r="CE53" s="1190"/>
      <c r="CF53" s="1191"/>
      <c r="CG53" s="1192"/>
      <c r="CH53" s="1190"/>
      <c r="CI53" s="1191"/>
      <c r="CJ53" s="1192"/>
      <c r="CK53" s="1190"/>
      <c r="CL53" s="1191"/>
      <c r="CM53" s="1192"/>
      <c r="CN53" s="1188"/>
      <c r="CO53" s="1189"/>
      <c r="CP53" s="1190"/>
      <c r="CQ53" s="1191"/>
      <c r="CR53" s="1192"/>
      <c r="CS53" s="1190"/>
      <c r="CT53" s="1191"/>
      <c r="CU53" s="1192"/>
      <c r="CV53" s="162"/>
      <c r="CW53" s="1190"/>
      <c r="CX53" s="1191"/>
      <c r="CY53" s="1191"/>
      <c r="CZ53" s="1192"/>
      <c r="DA53" s="159"/>
      <c r="DB53" s="159"/>
      <c r="DC53" s="161"/>
      <c r="DD53" s="315">
        <f t="shared" si="0"/>
        <v>90000</v>
      </c>
    </row>
    <row r="54" spans="1:170" ht="18.75" hidden="1" customHeight="1">
      <c r="A54" s="316">
        <v>48</v>
      </c>
      <c r="B54" s="1199"/>
      <c r="C54" s="1200"/>
      <c r="D54" s="1200"/>
      <c r="E54" s="1201"/>
      <c r="F54" s="1190"/>
      <c r="G54" s="1191"/>
      <c r="H54" s="1192"/>
      <c r="I54" s="1190"/>
      <c r="J54" s="1192"/>
      <c r="K54" s="1190"/>
      <c r="L54" s="1192"/>
      <c r="M54" s="1190"/>
      <c r="N54" s="1192"/>
      <c r="O54" s="1190"/>
      <c r="P54" s="1192"/>
      <c r="Q54" s="1190"/>
      <c r="R54" s="1192"/>
      <c r="S54" s="1190"/>
      <c r="T54" s="1192"/>
      <c r="U54" s="1190"/>
      <c r="V54" s="1191"/>
      <c r="W54" s="1192"/>
      <c r="X54" s="1190"/>
      <c r="Y54" s="1191"/>
      <c r="Z54" s="1192"/>
      <c r="AA54" s="1190"/>
      <c r="AB54" s="1192"/>
      <c r="AC54" s="1190"/>
      <c r="AD54" s="1192"/>
      <c r="AE54" s="1190"/>
      <c r="AF54" s="1192"/>
      <c r="AG54" s="1190"/>
      <c r="AH54" s="1192"/>
      <c r="AI54" s="1190"/>
      <c r="AJ54" s="1192"/>
      <c r="AK54" s="1190"/>
      <c r="AL54" s="1192"/>
      <c r="AM54" s="1190"/>
      <c r="AN54" s="1192"/>
      <c r="AO54" s="1190"/>
      <c r="AP54" s="1191"/>
      <c r="AQ54" s="1191"/>
      <c r="AR54" s="1192"/>
      <c r="AS54" s="1190"/>
      <c r="AT54" s="1191"/>
      <c r="AU54" s="1192"/>
      <c r="AV54" s="1190"/>
      <c r="AW54" s="1192"/>
      <c r="AX54" s="1190"/>
      <c r="AY54" s="1192"/>
      <c r="AZ54" s="162"/>
      <c r="BA54" s="1190"/>
      <c r="BB54" s="1192"/>
      <c r="BC54" s="1190"/>
      <c r="BD54" s="1192"/>
      <c r="BE54" s="1190"/>
      <c r="BF54" s="1192"/>
      <c r="BG54" s="1190"/>
      <c r="BH54" s="1192"/>
      <c r="BI54" s="1190"/>
      <c r="BJ54" s="1191"/>
      <c r="BK54" s="1191"/>
      <c r="BL54" s="1192"/>
      <c r="BM54" s="1190"/>
      <c r="BN54" s="1191"/>
      <c r="BO54" s="1192"/>
      <c r="BP54" s="1190"/>
      <c r="BQ54" s="1192"/>
      <c r="BR54" s="1190"/>
      <c r="BS54" s="1192"/>
      <c r="BT54" s="162"/>
      <c r="BU54" s="1190"/>
      <c r="BV54" s="1191"/>
      <c r="BW54" s="1192"/>
      <c r="BX54" s="1190"/>
      <c r="BY54" s="1192"/>
      <c r="BZ54" s="1190"/>
      <c r="CA54" s="1192"/>
      <c r="CB54" s="1190"/>
      <c r="CC54" s="1191"/>
      <c r="CD54" s="1192"/>
      <c r="CE54" s="1190"/>
      <c r="CF54" s="1191"/>
      <c r="CG54" s="1192"/>
      <c r="CH54" s="1190"/>
      <c r="CI54" s="1191"/>
      <c r="CJ54" s="1192"/>
      <c r="CK54" s="1190"/>
      <c r="CL54" s="1191"/>
      <c r="CM54" s="1192"/>
      <c r="CN54" s="1188"/>
      <c r="CO54" s="1189"/>
      <c r="CP54" s="1190"/>
      <c r="CQ54" s="1191"/>
      <c r="CR54" s="1192"/>
      <c r="CS54" s="1190"/>
      <c r="CT54" s="1191"/>
      <c r="CU54" s="1192"/>
      <c r="CV54" s="162"/>
      <c r="CW54" s="1190"/>
      <c r="CX54" s="1191"/>
      <c r="CY54" s="1191"/>
      <c r="CZ54" s="1192"/>
      <c r="DA54" s="159"/>
      <c r="DB54" s="159"/>
      <c r="DC54" s="161"/>
      <c r="DD54" s="315">
        <f t="shared" si="0"/>
        <v>90000</v>
      </c>
    </row>
    <row r="55" spans="1:170" ht="27.75">
      <c r="A55" s="317"/>
      <c r="B55" s="1193" t="s">
        <v>421</v>
      </c>
      <c r="C55" s="1194"/>
      <c r="D55" s="1194"/>
      <c r="E55" s="1195"/>
      <c r="F55" s="1196"/>
      <c r="G55" s="1196"/>
      <c r="H55" s="1197"/>
      <c r="I55" s="1198"/>
      <c r="J55" s="1197"/>
      <c r="K55" s="1185">
        <v>27</v>
      </c>
      <c r="L55" s="1186"/>
      <c r="M55" s="1180">
        <v>664</v>
      </c>
      <c r="N55" s="1182"/>
      <c r="O55" s="1180">
        <v>679</v>
      </c>
      <c r="P55" s="1182"/>
      <c r="Q55" s="1177">
        <v>1343</v>
      </c>
      <c r="R55" s="1179"/>
      <c r="S55" s="1185">
        <v>26</v>
      </c>
      <c r="T55" s="1186"/>
      <c r="U55" s="1180">
        <v>647</v>
      </c>
      <c r="V55" s="1181"/>
      <c r="W55" s="1182"/>
      <c r="X55" s="1180">
        <v>634</v>
      </c>
      <c r="Y55" s="1181"/>
      <c r="Z55" s="1182"/>
      <c r="AA55" s="1180">
        <v>1281</v>
      </c>
      <c r="AB55" s="1182"/>
      <c r="AC55" s="1180">
        <v>26</v>
      </c>
      <c r="AD55" s="1182"/>
      <c r="AE55" s="1180">
        <v>561</v>
      </c>
      <c r="AF55" s="1182"/>
      <c r="AG55" s="1177">
        <v>530</v>
      </c>
      <c r="AH55" s="1179"/>
      <c r="AI55" s="1185">
        <v>1091</v>
      </c>
      <c r="AJ55" s="1186"/>
      <c r="AK55" s="1180">
        <v>79</v>
      </c>
      <c r="AL55" s="1182"/>
      <c r="AM55" s="1185">
        <v>1872</v>
      </c>
      <c r="AN55" s="1186"/>
      <c r="AO55" s="1185">
        <v>1843</v>
      </c>
      <c r="AP55" s="1187"/>
      <c r="AQ55" s="1187"/>
      <c r="AR55" s="1186"/>
      <c r="AS55" s="1185">
        <v>3715</v>
      </c>
      <c r="AT55" s="1187"/>
      <c r="AU55" s="1186"/>
      <c r="AV55" s="1185">
        <v>27</v>
      </c>
      <c r="AW55" s="1186"/>
      <c r="AX55" s="1185">
        <v>618</v>
      </c>
      <c r="AY55" s="1186"/>
      <c r="AZ55" s="120">
        <v>599</v>
      </c>
      <c r="BA55" s="1185">
        <v>1217</v>
      </c>
      <c r="BB55" s="1186"/>
      <c r="BC55" s="1185">
        <v>26</v>
      </c>
      <c r="BD55" s="1186"/>
      <c r="BE55" s="1180">
        <v>516</v>
      </c>
      <c r="BF55" s="1182"/>
      <c r="BG55" s="1180">
        <v>483</v>
      </c>
      <c r="BH55" s="1182"/>
      <c r="BI55" s="1185">
        <v>999</v>
      </c>
      <c r="BJ55" s="1187"/>
      <c r="BK55" s="1187"/>
      <c r="BL55" s="1186"/>
      <c r="BM55" s="1180">
        <v>25</v>
      </c>
      <c r="BN55" s="1181"/>
      <c r="BO55" s="1182"/>
      <c r="BP55" s="1185">
        <v>422</v>
      </c>
      <c r="BQ55" s="1186"/>
      <c r="BR55" s="1185">
        <v>436</v>
      </c>
      <c r="BS55" s="1186"/>
      <c r="BT55" s="120">
        <v>858</v>
      </c>
      <c r="BU55" s="1185">
        <v>78</v>
      </c>
      <c r="BV55" s="1187"/>
      <c r="BW55" s="1186"/>
      <c r="BX55" s="1185">
        <v>1556</v>
      </c>
      <c r="BY55" s="1186"/>
      <c r="BZ55" s="1185">
        <v>1518</v>
      </c>
      <c r="CA55" s="1186"/>
      <c r="CB55" s="1177">
        <v>3074</v>
      </c>
      <c r="CC55" s="1178"/>
      <c r="CD55" s="1179"/>
      <c r="CE55" s="1185">
        <v>157</v>
      </c>
      <c r="CF55" s="1187"/>
      <c r="CG55" s="1186"/>
      <c r="CH55" s="1177">
        <v>3428</v>
      </c>
      <c r="CI55" s="1178"/>
      <c r="CJ55" s="1179"/>
      <c r="CK55" s="1185">
        <v>3361</v>
      </c>
      <c r="CL55" s="1187"/>
      <c r="CM55" s="1186"/>
      <c r="CN55" s="1188">
        <v>6789</v>
      </c>
      <c r="CO55" s="1189"/>
      <c r="CP55" s="1177">
        <v>168</v>
      </c>
      <c r="CQ55" s="1178"/>
      <c r="CR55" s="1179"/>
      <c r="CS55" s="1180">
        <v>43</v>
      </c>
      <c r="CT55" s="1181"/>
      <c r="CU55" s="1182"/>
      <c r="CV55" s="121">
        <v>211</v>
      </c>
      <c r="CW55" s="1183">
        <v>19</v>
      </c>
      <c r="CX55" s="1184"/>
      <c r="CY55" s="1184"/>
      <c r="CZ55" s="1184"/>
      <c r="DA55" s="159"/>
      <c r="DB55" s="159"/>
      <c r="DC55" s="161"/>
      <c r="DD55" s="315">
        <f>SUM(DD7:DD25)</f>
        <v>1710000</v>
      </c>
    </row>
    <row r="56" spans="1:170" ht="39" customHeight="1">
      <c r="A56" s="1169" t="s">
        <v>419</v>
      </c>
      <c r="B56" s="1170"/>
      <c r="C56" s="1170"/>
      <c r="D56" s="1170"/>
      <c r="E56" s="1170"/>
      <c r="F56" s="1170"/>
      <c r="G56" s="1170"/>
      <c r="H56" s="1170"/>
      <c r="I56" s="1170"/>
      <c r="J56" s="1170"/>
      <c r="K56" s="1170"/>
      <c r="L56" s="1170"/>
      <c r="M56" s="1170"/>
      <c r="N56" s="1170"/>
      <c r="O56" s="1170"/>
      <c r="P56" s="1170"/>
      <c r="Q56" s="1170"/>
      <c r="R56" s="1170"/>
      <c r="S56" s="1170"/>
      <c r="T56" s="1170"/>
      <c r="U56" s="1170"/>
      <c r="V56" s="1170"/>
      <c r="W56" s="1170"/>
      <c r="X56" s="1170"/>
      <c r="Y56" s="1170"/>
      <c r="Z56" s="1170"/>
      <c r="AA56" s="1170"/>
      <c r="AB56" s="1170"/>
      <c r="AC56" s="1170"/>
      <c r="AD56" s="1170"/>
      <c r="AE56" s="1170"/>
      <c r="AF56" s="1170"/>
      <c r="AG56" s="1170"/>
      <c r="AH56" s="1170"/>
      <c r="AI56" s="1170"/>
      <c r="AJ56" s="1170"/>
      <c r="AK56" s="1170"/>
      <c r="AL56" s="1170"/>
      <c r="AM56" s="1170"/>
      <c r="AN56" s="1170"/>
      <c r="AO56" s="1170"/>
      <c r="AP56" s="1170"/>
      <c r="AQ56" s="1170"/>
      <c r="AR56" s="1170"/>
      <c r="AS56" s="1170"/>
      <c r="AT56" s="1170"/>
      <c r="AU56" s="1170"/>
      <c r="AV56" s="1170"/>
      <c r="AW56" s="1170"/>
      <c r="AX56" s="1170"/>
      <c r="AY56" s="1170"/>
      <c r="AZ56" s="1170"/>
      <c r="BA56" s="1170"/>
      <c r="BB56" s="1170"/>
      <c r="BC56" s="1170"/>
      <c r="BD56" s="1170"/>
      <c r="BE56" s="1170"/>
      <c r="BF56" s="1170"/>
      <c r="BG56" s="1170"/>
      <c r="BH56" s="1170"/>
      <c r="BI56" s="1170"/>
      <c r="BJ56" s="1170"/>
      <c r="BK56" s="1170"/>
      <c r="BL56" s="1170"/>
      <c r="BM56" s="1170"/>
      <c r="BN56" s="1170"/>
      <c r="BO56" s="1170"/>
      <c r="BP56" s="1170"/>
      <c r="BQ56" s="1170"/>
      <c r="BR56" s="1170"/>
      <c r="BS56" s="1170"/>
      <c r="BT56" s="1170"/>
      <c r="BU56" s="1170"/>
      <c r="BV56" s="1170"/>
      <c r="BW56" s="1170"/>
      <c r="BX56" s="1170"/>
      <c r="BY56" s="1170"/>
      <c r="BZ56" s="1170"/>
      <c r="CA56" s="1170"/>
      <c r="CB56" s="1170"/>
      <c r="CC56" s="1170"/>
      <c r="CD56" s="1170"/>
      <c r="CE56" s="1170"/>
      <c r="CF56" s="1170"/>
      <c r="CG56" s="1170"/>
      <c r="CH56" s="1170"/>
      <c r="CI56" s="1170"/>
      <c r="CJ56" s="1170"/>
      <c r="CK56" s="1170"/>
      <c r="CL56" s="1170"/>
      <c r="CM56" s="1170"/>
      <c r="CN56" s="1170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1"/>
      <c r="DD56" s="315">
        <f>CN55*20</f>
        <v>135780</v>
      </c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</row>
    <row r="57" spans="1:170" s="31" customFormat="1" ht="39" customHeight="1" thickBot="1">
      <c r="A57" s="1171" t="s">
        <v>426</v>
      </c>
      <c r="B57" s="1172"/>
      <c r="C57" s="1172"/>
      <c r="D57" s="1172"/>
      <c r="E57" s="1172"/>
      <c r="F57" s="1172"/>
      <c r="G57" s="1172"/>
      <c r="H57" s="1172"/>
      <c r="I57" s="1172"/>
      <c r="J57" s="1172"/>
      <c r="K57" s="1172"/>
      <c r="L57" s="1172"/>
      <c r="M57" s="1172"/>
      <c r="N57" s="1172"/>
      <c r="O57" s="1172"/>
      <c r="P57" s="1172"/>
      <c r="Q57" s="1172"/>
      <c r="R57" s="1172"/>
      <c r="S57" s="1172"/>
      <c r="T57" s="1172"/>
      <c r="U57" s="1172"/>
      <c r="V57" s="1172"/>
      <c r="W57" s="1172"/>
      <c r="X57" s="1172"/>
      <c r="Y57" s="1172"/>
      <c r="Z57" s="1172"/>
      <c r="AA57" s="1172"/>
      <c r="AB57" s="1172"/>
      <c r="AC57" s="1172"/>
      <c r="AD57" s="1172"/>
      <c r="AE57" s="1172"/>
      <c r="AF57" s="1172"/>
      <c r="AG57" s="1172"/>
      <c r="AH57" s="1172"/>
      <c r="AI57" s="1172"/>
      <c r="AJ57" s="1172"/>
      <c r="AK57" s="1172"/>
      <c r="AL57" s="1172"/>
      <c r="AM57" s="1172"/>
      <c r="AN57" s="1172"/>
      <c r="AO57" s="1172"/>
      <c r="AP57" s="1172"/>
      <c r="AQ57" s="1172"/>
      <c r="AR57" s="1172"/>
      <c r="AS57" s="1172"/>
      <c r="AT57" s="1172"/>
      <c r="AU57" s="1172"/>
      <c r="AV57" s="1172"/>
      <c r="AW57" s="1172"/>
      <c r="AX57" s="1172"/>
      <c r="AY57" s="1172"/>
      <c r="AZ57" s="1172"/>
      <c r="BA57" s="1172"/>
      <c r="BB57" s="1172"/>
      <c r="BC57" s="1172"/>
      <c r="BD57" s="1172"/>
      <c r="BE57" s="1172"/>
      <c r="BF57" s="1172"/>
      <c r="BG57" s="1172"/>
      <c r="BH57" s="1172"/>
      <c r="BI57" s="1172"/>
      <c r="BJ57" s="1172"/>
      <c r="BK57" s="1172"/>
      <c r="BL57" s="1172"/>
      <c r="BM57" s="1172"/>
      <c r="BN57" s="1172"/>
      <c r="BO57" s="1172"/>
      <c r="BP57" s="1172"/>
      <c r="BQ57" s="1172"/>
      <c r="BR57" s="1172"/>
      <c r="BS57" s="1172"/>
      <c r="BT57" s="1172"/>
      <c r="BU57" s="1172"/>
      <c r="BV57" s="1172"/>
      <c r="BW57" s="1172"/>
      <c r="BX57" s="1172"/>
      <c r="BY57" s="1172"/>
      <c r="BZ57" s="1172"/>
      <c r="CA57" s="1172"/>
      <c r="CB57" s="1172"/>
      <c r="CC57" s="1172"/>
      <c r="CD57" s="1172"/>
      <c r="CE57" s="1172"/>
      <c r="CF57" s="1172"/>
      <c r="CG57" s="1172"/>
      <c r="CH57" s="1172"/>
      <c r="CI57" s="1172"/>
      <c r="CJ57" s="1172"/>
      <c r="CK57" s="1172"/>
      <c r="CL57" s="1172"/>
      <c r="CM57" s="1172"/>
      <c r="CN57" s="1172"/>
      <c r="CO57" s="318"/>
      <c r="CP57" s="318"/>
      <c r="CQ57" s="318"/>
      <c r="CR57" s="318"/>
      <c r="CS57" s="318"/>
      <c r="CT57" s="318"/>
      <c r="CU57" s="318"/>
      <c r="CV57" s="318"/>
      <c r="CW57" s="318"/>
      <c r="CX57" s="318"/>
      <c r="CY57" s="318"/>
      <c r="CZ57" s="318"/>
      <c r="DA57" s="318"/>
      <c r="DB57" s="318"/>
      <c r="DC57" s="243"/>
      <c r="DD57" s="319">
        <f>DD56+DD55</f>
        <v>1845780</v>
      </c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</row>
    <row r="58" spans="1:170" ht="36.75" customHeight="1">
      <c r="CH58" s="45"/>
      <c r="CI58" s="45"/>
      <c r="CJ58" s="45"/>
      <c r="CK58" s="45">
        <f>COUNTIF(CN7:CO25, "&lt;1000")</f>
        <v>19</v>
      </c>
      <c r="CL58" s="45">
        <f>COUNTIF(CN7:CO25, "&gt;1000")</f>
        <v>0</v>
      </c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</row>
    <row r="60" spans="1:170">
      <c r="B60" s="51">
        <f>COUNTA(B7:E25)-COUNTIF(B30:F55,"GOVERNMENT SCIENCE")</f>
        <v>19</v>
      </c>
      <c r="C60" s="51">
        <f>COUNTIF(B7:E25,"GOVERNMENT SCIENCE")</f>
        <v>0</v>
      </c>
    </row>
  </sheetData>
  <mergeCells count="2018">
    <mergeCell ref="F7:H7"/>
    <mergeCell ref="I7:J7"/>
    <mergeCell ref="K7:L7"/>
    <mergeCell ref="M7:N7"/>
    <mergeCell ref="CP6:CR6"/>
    <mergeCell ref="CS6:CU6"/>
    <mergeCell ref="A5:A6"/>
    <mergeCell ref="B5:E6"/>
    <mergeCell ref="F5:H6"/>
    <mergeCell ref="I5:J6"/>
    <mergeCell ref="K5:R5"/>
    <mergeCell ref="S5:AB5"/>
    <mergeCell ref="AC5:AJ5"/>
    <mergeCell ref="AK5:AU5"/>
    <mergeCell ref="B7:E7"/>
    <mergeCell ref="CW5:CZ6"/>
    <mergeCell ref="K6:L6"/>
    <mergeCell ref="M6:N6"/>
    <mergeCell ref="O6:P6"/>
    <mergeCell ref="Q6:R6"/>
    <mergeCell ref="S6:T6"/>
    <mergeCell ref="U6:W6"/>
    <mergeCell ref="X6:Z6"/>
    <mergeCell ref="AA6:AB6"/>
    <mergeCell ref="AC6:AD6"/>
    <mergeCell ref="AV5:BB5"/>
    <mergeCell ref="BC5:BL5"/>
    <mergeCell ref="BM5:BT5"/>
    <mergeCell ref="BU5:CD5"/>
    <mergeCell ref="CE5:CO5"/>
    <mergeCell ref="CP5:CV5"/>
    <mergeCell ref="CN6:CO6"/>
    <mergeCell ref="DD5:DD6"/>
    <mergeCell ref="CP8:CR8"/>
    <mergeCell ref="CS8:CU8"/>
    <mergeCell ref="CW8:CZ8"/>
    <mergeCell ref="CE7:CG7"/>
    <mergeCell ref="CH7:CJ7"/>
    <mergeCell ref="CK7:CM7"/>
    <mergeCell ref="CN7:CO7"/>
    <mergeCell ref="BI7:BL7"/>
    <mergeCell ref="BM7:BO7"/>
    <mergeCell ref="BP7:BQ7"/>
    <mergeCell ref="BR7:BS7"/>
    <mergeCell ref="BU7:BW7"/>
    <mergeCell ref="BX7:BY7"/>
    <mergeCell ref="AV7:AW7"/>
    <mergeCell ref="AX7:AY7"/>
    <mergeCell ref="BG8:BH8"/>
    <mergeCell ref="BU6:BW6"/>
    <mergeCell ref="CP7:CR7"/>
    <mergeCell ref="CS7:CU7"/>
    <mergeCell ref="CW7:CZ7"/>
    <mergeCell ref="BC6:BD6"/>
    <mergeCell ref="BE6:BF6"/>
    <mergeCell ref="AS7:AU7"/>
    <mergeCell ref="BX6:BY6"/>
    <mergeCell ref="BZ6:CA6"/>
    <mergeCell ref="CB6:CD6"/>
    <mergeCell ref="CE6:CG6"/>
    <mergeCell ref="CH6:CJ6"/>
    <mergeCell ref="CK6:CM6"/>
    <mergeCell ref="BG6:BH6"/>
    <mergeCell ref="BI6:BL6"/>
    <mergeCell ref="BM6:BO6"/>
    <mergeCell ref="BP6:BQ6"/>
    <mergeCell ref="BR6:BS6"/>
    <mergeCell ref="AS6:AU6"/>
    <mergeCell ref="AV6:AW6"/>
    <mergeCell ref="AX6:AY6"/>
    <mergeCell ref="BA6:BB6"/>
    <mergeCell ref="BA7:BB7"/>
    <mergeCell ref="BC7:BD7"/>
    <mergeCell ref="BE7:BF7"/>
    <mergeCell ref="BG7:BH7"/>
    <mergeCell ref="AA7:AB7"/>
    <mergeCell ref="AC7:AD7"/>
    <mergeCell ref="AE7:AF7"/>
    <mergeCell ref="AA8:AB8"/>
    <mergeCell ref="AI7:AJ7"/>
    <mergeCell ref="AO6:AR6"/>
    <mergeCell ref="B9:E9"/>
    <mergeCell ref="F9:H9"/>
    <mergeCell ref="I9:J9"/>
    <mergeCell ref="K9:L9"/>
    <mergeCell ref="M9:N9"/>
    <mergeCell ref="O9:P9"/>
    <mergeCell ref="Q9:R9"/>
    <mergeCell ref="B8:E8"/>
    <mergeCell ref="F8:H8"/>
    <mergeCell ref="I8:J8"/>
    <mergeCell ref="K8:L8"/>
    <mergeCell ref="M8:N8"/>
    <mergeCell ref="O8:P8"/>
    <mergeCell ref="Q8:R8"/>
    <mergeCell ref="S8:T8"/>
    <mergeCell ref="U8:W8"/>
    <mergeCell ref="X8:Z8"/>
    <mergeCell ref="O7:P7"/>
    <mergeCell ref="AE6:AF6"/>
    <mergeCell ref="AG6:AH6"/>
    <mergeCell ref="AI6:AJ6"/>
    <mergeCell ref="AK6:AL6"/>
    <mergeCell ref="AM6:AN6"/>
    <mergeCell ref="AK7:AL7"/>
    <mergeCell ref="AM7:AN7"/>
    <mergeCell ref="AO7:AR7"/>
    <mergeCell ref="Q7:R7"/>
    <mergeCell ref="AG7:AH7"/>
    <mergeCell ref="BZ8:CA8"/>
    <mergeCell ref="CB8:CD8"/>
    <mergeCell ref="CE8:CG8"/>
    <mergeCell ref="CH8:CJ8"/>
    <mergeCell ref="CK8:CM8"/>
    <mergeCell ref="CN8:CO8"/>
    <mergeCell ref="BI8:BL8"/>
    <mergeCell ref="BM8:BO8"/>
    <mergeCell ref="BP8:BQ8"/>
    <mergeCell ref="BR8:BS8"/>
    <mergeCell ref="BU8:BW8"/>
    <mergeCell ref="BX8:BY8"/>
    <mergeCell ref="AV8:AW8"/>
    <mergeCell ref="AX8:AY8"/>
    <mergeCell ref="BA8:BB8"/>
    <mergeCell ref="BC8:BD8"/>
    <mergeCell ref="BE8:BF8"/>
    <mergeCell ref="X7:Z7"/>
    <mergeCell ref="U7:W7"/>
    <mergeCell ref="S7:T7"/>
    <mergeCell ref="BZ7:CA7"/>
    <mergeCell ref="CB7:CD7"/>
    <mergeCell ref="AG8:AH8"/>
    <mergeCell ref="AI8:AJ8"/>
    <mergeCell ref="AK8:AL8"/>
    <mergeCell ref="AM8:AN8"/>
    <mergeCell ref="AO8:AR8"/>
    <mergeCell ref="AS8:AU8"/>
    <mergeCell ref="AC8:AD8"/>
    <mergeCell ref="AE8:AF8"/>
    <mergeCell ref="CS9:CU9"/>
    <mergeCell ref="CW9:CZ9"/>
    <mergeCell ref="B10:E10"/>
    <mergeCell ref="F10:H10"/>
    <mergeCell ref="I10:J10"/>
    <mergeCell ref="K10:L10"/>
    <mergeCell ref="M10:N10"/>
    <mergeCell ref="O10:P10"/>
    <mergeCell ref="Q10:R10"/>
    <mergeCell ref="BZ9:CA9"/>
    <mergeCell ref="CB9:CD9"/>
    <mergeCell ref="CE9:CG9"/>
    <mergeCell ref="CH9:CJ9"/>
    <mergeCell ref="CK9:CM9"/>
    <mergeCell ref="CN9:CO9"/>
    <mergeCell ref="BI9:BL9"/>
    <mergeCell ref="BM9:BO9"/>
    <mergeCell ref="BP9:BQ9"/>
    <mergeCell ref="BR9:BS9"/>
    <mergeCell ref="BU9:BW9"/>
    <mergeCell ref="BX9:BY9"/>
    <mergeCell ref="AV9:AW9"/>
    <mergeCell ref="AX9:AY9"/>
    <mergeCell ref="BA9:BB9"/>
    <mergeCell ref="BC9:BD9"/>
    <mergeCell ref="BE9:BF9"/>
    <mergeCell ref="BG9:BH9"/>
    <mergeCell ref="AG9:AH9"/>
    <mergeCell ref="AI9:AJ9"/>
    <mergeCell ref="AK9:AL9"/>
    <mergeCell ref="AM9:AN9"/>
    <mergeCell ref="AO9:AR9"/>
    <mergeCell ref="BA10:BB10"/>
    <mergeCell ref="BC10:BD10"/>
    <mergeCell ref="BE10:BF10"/>
    <mergeCell ref="BG10:BH10"/>
    <mergeCell ref="AG10:AH10"/>
    <mergeCell ref="AI10:AJ10"/>
    <mergeCell ref="AK10:AL10"/>
    <mergeCell ref="AM10:AN10"/>
    <mergeCell ref="AO10:AR10"/>
    <mergeCell ref="AS10:AU10"/>
    <mergeCell ref="S10:T10"/>
    <mergeCell ref="U10:W10"/>
    <mergeCell ref="X10:Z10"/>
    <mergeCell ref="AA10:AB10"/>
    <mergeCell ref="AC10:AD10"/>
    <mergeCell ref="AE10:AF10"/>
    <mergeCell ref="CP9:CR9"/>
    <mergeCell ref="AS9:AU9"/>
    <mergeCell ref="S9:T9"/>
    <mergeCell ref="U9:W9"/>
    <mergeCell ref="X9:Z9"/>
    <mergeCell ref="AA9:AB9"/>
    <mergeCell ref="AC9:AD9"/>
    <mergeCell ref="AE9:AF9"/>
    <mergeCell ref="AO11:AR11"/>
    <mergeCell ref="AS11:AU11"/>
    <mergeCell ref="S11:T11"/>
    <mergeCell ref="U11:W11"/>
    <mergeCell ref="X11:Z11"/>
    <mergeCell ref="AA11:AB11"/>
    <mergeCell ref="AC11:AD11"/>
    <mergeCell ref="AE11:AF11"/>
    <mergeCell ref="CP10:CR10"/>
    <mergeCell ref="CS10:CU10"/>
    <mergeCell ref="CW10:CZ10"/>
    <mergeCell ref="B11:E11"/>
    <mergeCell ref="F11:H11"/>
    <mergeCell ref="I11:J11"/>
    <mergeCell ref="K11:L11"/>
    <mergeCell ref="M11:N11"/>
    <mergeCell ref="O11:P11"/>
    <mergeCell ref="Q11:R11"/>
    <mergeCell ref="BZ10:CA10"/>
    <mergeCell ref="CB10:CD10"/>
    <mergeCell ref="CE10:CG10"/>
    <mergeCell ref="CH10:CJ10"/>
    <mergeCell ref="CK10:CM10"/>
    <mergeCell ref="CN10:CO10"/>
    <mergeCell ref="BI10:BL10"/>
    <mergeCell ref="BM10:BO10"/>
    <mergeCell ref="BP10:BQ10"/>
    <mergeCell ref="BR10:BS10"/>
    <mergeCell ref="BU10:BW10"/>
    <mergeCell ref="BX10:BY10"/>
    <mergeCell ref="AV10:AW10"/>
    <mergeCell ref="AX10:AY10"/>
    <mergeCell ref="CP11:CR11"/>
    <mergeCell ref="CS11:CU11"/>
    <mergeCell ref="CW11:CZ11"/>
    <mergeCell ref="B12:E12"/>
    <mergeCell ref="F12:H12"/>
    <mergeCell ref="I12:J12"/>
    <mergeCell ref="K12:L12"/>
    <mergeCell ref="M12:N12"/>
    <mergeCell ref="O12:P12"/>
    <mergeCell ref="Q12:R12"/>
    <mergeCell ref="BZ11:CA11"/>
    <mergeCell ref="CB11:CD11"/>
    <mergeCell ref="CE11:CG11"/>
    <mergeCell ref="CH11:CJ11"/>
    <mergeCell ref="CK11:CM11"/>
    <mergeCell ref="CN11:CO11"/>
    <mergeCell ref="BI11:BL11"/>
    <mergeCell ref="BM11:BO11"/>
    <mergeCell ref="BP11:BQ11"/>
    <mergeCell ref="BR11:BS11"/>
    <mergeCell ref="BU11:BW11"/>
    <mergeCell ref="BX11:BY11"/>
    <mergeCell ref="AV11:AW11"/>
    <mergeCell ref="AX11:AY11"/>
    <mergeCell ref="BA11:BB11"/>
    <mergeCell ref="BC11:BD11"/>
    <mergeCell ref="BE11:BF11"/>
    <mergeCell ref="BG11:BH11"/>
    <mergeCell ref="AG11:AH11"/>
    <mergeCell ref="AI11:AJ11"/>
    <mergeCell ref="AK11:AL11"/>
    <mergeCell ref="AM11:AN11"/>
    <mergeCell ref="CS12:CU12"/>
    <mergeCell ref="CW12:CZ12"/>
    <mergeCell ref="B13:E13"/>
    <mergeCell ref="F13:H13"/>
    <mergeCell ref="I13:J13"/>
    <mergeCell ref="K13:L13"/>
    <mergeCell ref="M13:N13"/>
    <mergeCell ref="O13:P13"/>
    <mergeCell ref="Q13:R13"/>
    <mergeCell ref="BZ12:CA12"/>
    <mergeCell ref="CB12:CD12"/>
    <mergeCell ref="CE12:CG12"/>
    <mergeCell ref="CH12:CJ12"/>
    <mergeCell ref="CK12:CM12"/>
    <mergeCell ref="CN12:CO12"/>
    <mergeCell ref="BI12:BL12"/>
    <mergeCell ref="BM12:BO12"/>
    <mergeCell ref="BP12:BQ12"/>
    <mergeCell ref="BR12:BS12"/>
    <mergeCell ref="BU12:BW12"/>
    <mergeCell ref="BX12:BY12"/>
    <mergeCell ref="AV12:AW12"/>
    <mergeCell ref="AX12:AY12"/>
    <mergeCell ref="BA12:BB12"/>
    <mergeCell ref="BC12:BD12"/>
    <mergeCell ref="BE12:BF12"/>
    <mergeCell ref="BG12:BH12"/>
    <mergeCell ref="AG12:AH12"/>
    <mergeCell ref="AI12:AJ12"/>
    <mergeCell ref="AK12:AL12"/>
    <mergeCell ref="AM12:AN12"/>
    <mergeCell ref="AO12:AR12"/>
    <mergeCell ref="BA13:BB13"/>
    <mergeCell ref="BC13:BD13"/>
    <mergeCell ref="BE13:BF13"/>
    <mergeCell ref="BG13:BH13"/>
    <mergeCell ref="AG13:AH13"/>
    <mergeCell ref="AI13:AJ13"/>
    <mergeCell ref="AK13:AL13"/>
    <mergeCell ref="AM13:AN13"/>
    <mergeCell ref="AO13:AR13"/>
    <mergeCell ref="AS13:AU13"/>
    <mergeCell ref="S13:T13"/>
    <mergeCell ref="U13:W13"/>
    <mergeCell ref="X13:Z13"/>
    <mergeCell ref="AA13:AB13"/>
    <mergeCell ref="AC13:AD13"/>
    <mergeCell ref="AE13:AF13"/>
    <mergeCell ref="CP12:CR12"/>
    <mergeCell ref="AS12:AU12"/>
    <mergeCell ref="S12:T12"/>
    <mergeCell ref="U12:W12"/>
    <mergeCell ref="X12:Z12"/>
    <mergeCell ref="AA12:AB12"/>
    <mergeCell ref="AC12:AD12"/>
    <mergeCell ref="AE12:AF12"/>
    <mergeCell ref="AO14:AR14"/>
    <mergeCell ref="AS14:AU14"/>
    <mergeCell ref="S14:T14"/>
    <mergeCell ref="U14:W14"/>
    <mergeCell ref="X14:Z14"/>
    <mergeCell ref="AA14:AB14"/>
    <mergeCell ref="AC14:AD14"/>
    <mergeCell ref="AE14:AF14"/>
    <mergeCell ref="CP13:CR13"/>
    <mergeCell ref="CS13:CU13"/>
    <mergeCell ref="CW13:CZ13"/>
    <mergeCell ref="B14:E14"/>
    <mergeCell ref="F14:H14"/>
    <mergeCell ref="I14:J14"/>
    <mergeCell ref="K14:L14"/>
    <mergeCell ref="M14:N14"/>
    <mergeCell ref="O14:P14"/>
    <mergeCell ref="Q14:R14"/>
    <mergeCell ref="BZ13:CA13"/>
    <mergeCell ref="CB13:CD13"/>
    <mergeCell ref="CE13:CG13"/>
    <mergeCell ref="CH13:CJ13"/>
    <mergeCell ref="CK13:CM13"/>
    <mergeCell ref="CN13:CO13"/>
    <mergeCell ref="BI13:BL13"/>
    <mergeCell ref="BM13:BO13"/>
    <mergeCell ref="BP13:BQ13"/>
    <mergeCell ref="BR13:BS13"/>
    <mergeCell ref="BU13:BW13"/>
    <mergeCell ref="BX13:BY13"/>
    <mergeCell ref="AV13:AW13"/>
    <mergeCell ref="AX13:AY13"/>
    <mergeCell ref="CP14:CR14"/>
    <mergeCell ref="CS14:CU14"/>
    <mergeCell ref="CW14:CZ14"/>
    <mergeCell ref="B15:E15"/>
    <mergeCell ref="F15:H15"/>
    <mergeCell ref="I15:J15"/>
    <mergeCell ref="K15:L15"/>
    <mergeCell ref="M15:N15"/>
    <mergeCell ref="O15:P15"/>
    <mergeCell ref="Q15:R15"/>
    <mergeCell ref="BZ14:CA14"/>
    <mergeCell ref="CB14:CD14"/>
    <mergeCell ref="CE14:CG14"/>
    <mergeCell ref="CH14:CJ14"/>
    <mergeCell ref="CK14:CM14"/>
    <mergeCell ref="CN14:CO14"/>
    <mergeCell ref="BI14:BL14"/>
    <mergeCell ref="BM14:BO14"/>
    <mergeCell ref="BP14:BQ14"/>
    <mergeCell ref="BR14:BS14"/>
    <mergeCell ref="BU14:BW14"/>
    <mergeCell ref="BX14:BY14"/>
    <mergeCell ref="AV14:AW14"/>
    <mergeCell ref="AX14:AY14"/>
    <mergeCell ref="BA14:BB14"/>
    <mergeCell ref="BC14:BD14"/>
    <mergeCell ref="BE14:BF14"/>
    <mergeCell ref="BG14:BH14"/>
    <mergeCell ref="AG14:AH14"/>
    <mergeCell ref="AI14:AJ14"/>
    <mergeCell ref="AK14:AL14"/>
    <mergeCell ref="AM14:AN14"/>
    <mergeCell ref="CS15:CU15"/>
    <mergeCell ref="CW15:CZ15"/>
    <mergeCell ref="B16:E16"/>
    <mergeCell ref="F16:H16"/>
    <mergeCell ref="I16:J16"/>
    <mergeCell ref="K16:L16"/>
    <mergeCell ref="M16:N16"/>
    <mergeCell ref="O16:P16"/>
    <mergeCell ref="Q16:R16"/>
    <mergeCell ref="BZ15:CA15"/>
    <mergeCell ref="CB15:CD15"/>
    <mergeCell ref="CE15:CG15"/>
    <mergeCell ref="CH15:CJ15"/>
    <mergeCell ref="CK15:CM15"/>
    <mergeCell ref="CN15:CO15"/>
    <mergeCell ref="BI15:BL15"/>
    <mergeCell ref="BM15:BO15"/>
    <mergeCell ref="BP15:BQ15"/>
    <mergeCell ref="BR15:BS15"/>
    <mergeCell ref="BU15:BW15"/>
    <mergeCell ref="BX15:BY15"/>
    <mergeCell ref="AV15:AW15"/>
    <mergeCell ref="AX15:AY15"/>
    <mergeCell ref="BA15:BB15"/>
    <mergeCell ref="BC15:BD15"/>
    <mergeCell ref="BE15:BF15"/>
    <mergeCell ref="BG15:BH15"/>
    <mergeCell ref="AG15:AH15"/>
    <mergeCell ref="AI15:AJ15"/>
    <mergeCell ref="AK15:AL15"/>
    <mergeCell ref="AM15:AN15"/>
    <mergeCell ref="AO15:AR15"/>
    <mergeCell ref="BA16:BB16"/>
    <mergeCell ref="BC16:BD16"/>
    <mergeCell ref="BE16:BF16"/>
    <mergeCell ref="BG16:BH16"/>
    <mergeCell ref="AG16:AH16"/>
    <mergeCell ref="AI16:AJ16"/>
    <mergeCell ref="AK16:AL16"/>
    <mergeCell ref="AM16:AN16"/>
    <mergeCell ref="AO16:AR16"/>
    <mergeCell ref="AS16:AU16"/>
    <mergeCell ref="S16:T16"/>
    <mergeCell ref="U16:W16"/>
    <mergeCell ref="X16:Z16"/>
    <mergeCell ref="AA16:AB16"/>
    <mergeCell ref="AC16:AD16"/>
    <mergeCell ref="AE16:AF16"/>
    <mergeCell ref="CP15:CR15"/>
    <mergeCell ref="AS15:AU15"/>
    <mergeCell ref="S15:T15"/>
    <mergeCell ref="U15:W15"/>
    <mergeCell ref="X15:Z15"/>
    <mergeCell ref="AA15:AB15"/>
    <mergeCell ref="AC15:AD15"/>
    <mergeCell ref="AE15:AF15"/>
    <mergeCell ref="AO17:AR17"/>
    <mergeCell ref="AS17:AU17"/>
    <mergeCell ref="S17:T17"/>
    <mergeCell ref="U17:W17"/>
    <mergeCell ref="X17:Z17"/>
    <mergeCell ref="AA17:AB17"/>
    <mergeCell ref="AC17:AD17"/>
    <mergeCell ref="AE17:AF17"/>
    <mergeCell ref="CP16:CR16"/>
    <mergeCell ref="CS16:CU16"/>
    <mergeCell ref="CW16:CZ16"/>
    <mergeCell ref="B17:E17"/>
    <mergeCell ref="F17:H17"/>
    <mergeCell ref="I17:J17"/>
    <mergeCell ref="K17:L17"/>
    <mergeCell ref="M17:N17"/>
    <mergeCell ref="O17:P17"/>
    <mergeCell ref="Q17:R17"/>
    <mergeCell ref="BZ16:CA16"/>
    <mergeCell ref="CB16:CD16"/>
    <mergeCell ref="CE16:CG16"/>
    <mergeCell ref="CH16:CJ16"/>
    <mergeCell ref="CK16:CM16"/>
    <mergeCell ref="CN16:CO16"/>
    <mergeCell ref="BI16:BL16"/>
    <mergeCell ref="BM16:BO16"/>
    <mergeCell ref="BP16:BQ16"/>
    <mergeCell ref="BR16:BS16"/>
    <mergeCell ref="BU16:BW16"/>
    <mergeCell ref="BX16:BY16"/>
    <mergeCell ref="AV16:AW16"/>
    <mergeCell ref="AX16:AY16"/>
    <mergeCell ref="CP17:CR17"/>
    <mergeCell ref="CS17:CU17"/>
    <mergeCell ref="CW17:CZ17"/>
    <mergeCell ref="B18:E18"/>
    <mergeCell ref="F18:H18"/>
    <mergeCell ref="I18:J18"/>
    <mergeCell ref="K18:L18"/>
    <mergeCell ref="M18:N18"/>
    <mergeCell ref="O18:P18"/>
    <mergeCell ref="Q18:R18"/>
    <mergeCell ref="BZ17:CA17"/>
    <mergeCell ref="CB17:CD17"/>
    <mergeCell ref="CE17:CG17"/>
    <mergeCell ref="CH17:CJ17"/>
    <mergeCell ref="CK17:CM17"/>
    <mergeCell ref="CN17:CO17"/>
    <mergeCell ref="BI17:BL17"/>
    <mergeCell ref="BM17:BO17"/>
    <mergeCell ref="BP17:BQ17"/>
    <mergeCell ref="BR17:BS17"/>
    <mergeCell ref="BU17:BW17"/>
    <mergeCell ref="BX17:BY17"/>
    <mergeCell ref="AV17:AW17"/>
    <mergeCell ref="AX17:AY17"/>
    <mergeCell ref="BA17:BB17"/>
    <mergeCell ref="BC17:BD17"/>
    <mergeCell ref="BE17:BF17"/>
    <mergeCell ref="BG17:BH17"/>
    <mergeCell ref="AG17:AH17"/>
    <mergeCell ref="AI17:AJ17"/>
    <mergeCell ref="AK17:AL17"/>
    <mergeCell ref="AM17:AN17"/>
    <mergeCell ref="CS18:CU18"/>
    <mergeCell ref="CW18:CZ18"/>
    <mergeCell ref="B19:E19"/>
    <mergeCell ref="F19:H19"/>
    <mergeCell ref="I19:J19"/>
    <mergeCell ref="K19:L19"/>
    <mergeCell ref="M19:N19"/>
    <mergeCell ref="O19:P19"/>
    <mergeCell ref="Q19:R19"/>
    <mergeCell ref="BZ18:CA18"/>
    <mergeCell ref="CB18:CD18"/>
    <mergeCell ref="CE18:CG18"/>
    <mergeCell ref="CH18:CJ18"/>
    <mergeCell ref="CK18:CM18"/>
    <mergeCell ref="CN18:CO18"/>
    <mergeCell ref="BI18:BL18"/>
    <mergeCell ref="BM18:BO18"/>
    <mergeCell ref="BP18:BQ18"/>
    <mergeCell ref="BR18:BS18"/>
    <mergeCell ref="BU18:BW18"/>
    <mergeCell ref="BX18:BY18"/>
    <mergeCell ref="AV18:AW18"/>
    <mergeCell ref="AX18:AY18"/>
    <mergeCell ref="BA18:BB18"/>
    <mergeCell ref="BC18:BD18"/>
    <mergeCell ref="BE18:BF18"/>
    <mergeCell ref="BG18:BH18"/>
    <mergeCell ref="AG18:AH18"/>
    <mergeCell ref="AI18:AJ18"/>
    <mergeCell ref="AK18:AL18"/>
    <mergeCell ref="AM18:AN18"/>
    <mergeCell ref="AO18:AR18"/>
    <mergeCell ref="BA19:BB19"/>
    <mergeCell ref="BC19:BD19"/>
    <mergeCell ref="BE19:BF19"/>
    <mergeCell ref="BG19:BH19"/>
    <mergeCell ref="AG19:AH19"/>
    <mergeCell ref="AI19:AJ19"/>
    <mergeCell ref="AK19:AL19"/>
    <mergeCell ref="AM19:AN19"/>
    <mergeCell ref="AO19:AR19"/>
    <mergeCell ref="AS19:AU19"/>
    <mergeCell ref="S19:T19"/>
    <mergeCell ref="U19:W19"/>
    <mergeCell ref="X19:Z19"/>
    <mergeCell ref="AA19:AB19"/>
    <mergeCell ref="AC19:AD19"/>
    <mergeCell ref="AE19:AF19"/>
    <mergeCell ref="CP18:CR18"/>
    <mergeCell ref="AS18:AU18"/>
    <mergeCell ref="S18:T18"/>
    <mergeCell ref="U18:W18"/>
    <mergeCell ref="X18:Z18"/>
    <mergeCell ref="AA18:AB18"/>
    <mergeCell ref="AC18:AD18"/>
    <mergeCell ref="AE18:AF18"/>
    <mergeCell ref="AO20:AR20"/>
    <mergeCell ref="AS20:AU20"/>
    <mergeCell ref="S20:T20"/>
    <mergeCell ref="U20:W20"/>
    <mergeCell ref="X20:Z20"/>
    <mergeCell ref="AA20:AB20"/>
    <mergeCell ref="AC20:AD20"/>
    <mergeCell ref="AE20:AF20"/>
    <mergeCell ref="CP19:CR19"/>
    <mergeCell ref="CS19:CU19"/>
    <mergeCell ref="CW19:CZ19"/>
    <mergeCell ref="B20:E20"/>
    <mergeCell ref="F20:H20"/>
    <mergeCell ref="I20:J20"/>
    <mergeCell ref="K20:L20"/>
    <mergeCell ref="M20:N20"/>
    <mergeCell ref="O20:P20"/>
    <mergeCell ref="Q20:R20"/>
    <mergeCell ref="BZ19:CA19"/>
    <mergeCell ref="CB19:CD19"/>
    <mergeCell ref="CE19:CG19"/>
    <mergeCell ref="CH19:CJ19"/>
    <mergeCell ref="CK19:CM19"/>
    <mergeCell ref="CN19:CO19"/>
    <mergeCell ref="BI19:BL19"/>
    <mergeCell ref="BM19:BO19"/>
    <mergeCell ref="BP19:BQ19"/>
    <mergeCell ref="BR19:BS19"/>
    <mergeCell ref="BU19:BW19"/>
    <mergeCell ref="BX19:BY19"/>
    <mergeCell ref="AV19:AW19"/>
    <mergeCell ref="AX19:AY19"/>
    <mergeCell ref="CP20:CR20"/>
    <mergeCell ref="CS20:CU20"/>
    <mergeCell ref="CW20:CZ20"/>
    <mergeCell ref="B21:E21"/>
    <mergeCell ref="F21:H21"/>
    <mergeCell ref="I21:J21"/>
    <mergeCell ref="K21:L21"/>
    <mergeCell ref="M21:N21"/>
    <mergeCell ref="O21:P21"/>
    <mergeCell ref="Q21:R21"/>
    <mergeCell ref="BZ20:CA20"/>
    <mergeCell ref="CB20:CD20"/>
    <mergeCell ref="CE20:CG20"/>
    <mergeCell ref="CH20:CJ20"/>
    <mergeCell ref="CK20:CM20"/>
    <mergeCell ref="CN20:CO20"/>
    <mergeCell ref="BI20:BL20"/>
    <mergeCell ref="BM20:BO20"/>
    <mergeCell ref="BP20:BQ20"/>
    <mergeCell ref="BR20:BS20"/>
    <mergeCell ref="BU20:BW20"/>
    <mergeCell ref="BX20:BY20"/>
    <mergeCell ref="AV20:AW20"/>
    <mergeCell ref="AX20:AY20"/>
    <mergeCell ref="BA20:BB20"/>
    <mergeCell ref="BC20:BD20"/>
    <mergeCell ref="BE20:BF20"/>
    <mergeCell ref="BG20:BH20"/>
    <mergeCell ref="AG20:AH20"/>
    <mergeCell ref="AI20:AJ20"/>
    <mergeCell ref="AK20:AL20"/>
    <mergeCell ref="AM20:AN20"/>
    <mergeCell ref="CS21:CU21"/>
    <mergeCell ref="CW21:CZ21"/>
    <mergeCell ref="B22:E22"/>
    <mergeCell ref="F22:H22"/>
    <mergeCell ref="I22:J22"/>
    <mergeCell ref="K22:L22"/>
    <mergeCell ref="M22:N22"/>
    <mergeCell ref="O22:P22"/>
    <mergeCell ref="Q22:R22"/>
    <mergeCell ref="BZ21:CA21"/>
    <mergeCell ref="CB21:CD21"/>
    <mergeCell ref="CE21:CG21"/>
    <mergeCell ref="CH21:CJ21"/>
    <mergeCell ref="CK21:CM21"/>
    <mergeCell ref="CN21:CO21"/>
    <mergeCell ref="BI21:BL21"/>
    <mergeCell ref="BM21:BO21"/>
    <mergeCell ref="BP21:BQ21"/>
    <mergeCell ref="BR21:BS21"/>
    <mergeCell ref="BU21:BW21"/>
    <mergeCell ref="BX21:BY21"/>
    <mergeCell ref="AV21:AW21"/>
    <mergeCell ref="AX21:AY21"/>
    <mergeCell ref="BA21:BB21"/>
    <mergeCell ref="BC21:BD21"/>
    <mergeCell ref="BE21:BF21"/>
    <mergeCell ref="BG21:BH21"/>
    <mergeCell ref="AG21:AH21"/>
    <mergeCell ref="AI21:AJ21"/>
    <mergeCell ref="AK21:AL21"/>
    <mergeCell ref="AM21:AN21"/>
    <mergeCell ref="AO21:AR21"/>
    <mergeCell ref="BA22:BB22"/>
    <mergeCell ref="BC22:BD22"/>
    <mergeCell ref="BE22:BF22"/>
    <mergeCell ref="BG22:BH22"/>
    <mergeCell ref="AG22:AH22"/>
    <mergeCell ref="AI22:AJ22"/>
    <mergeCell ref="AK22:AL22"/>
    <mergeCell ref="AM22:AN22"/>
    <mergeCell ref="AO22:AR22"/>
    <mergeCell ref="AS22:AU22"/>
    <mergeCell ref="S22:T22"/>
    <mergeCell ref="U22:W22"/>
    <mergeCell ref="X22:Z22"/>
    <mergeCell ref="AA22:AB22"/>
    <mergeCell ref="AC22:AD22"/>
    <mergeCell ref="AE22:AF22"/>
    <mergeCell ref="CP21:CR21"/>
    <mergeCell ref="AS21:AU21"/>
    <mergeCell ref="S21:T21"/>
    <mergeCell ref="U21:W21"/>
    <mergeCell ref="X21:Z21"/>
    <mergeCell ref="AA21:AB21"/>
    <mergeCell ref="AC21:AD21"/>
    <mergeCell ref="AE21:AF21"/>
    <mergeCell ref="AO23:AR23"/>
    <mergeCell ref="AS23:AU23"/>
    <mergeCell ref="S23:T23"/>
    <mergeCell ref="U23:W23"/>
    <mergeCell ref="X23:Z23"/>
    <mergeCell ref="AA23:AB23"/>
    <mergeCell ref="AC23:AD23"/>
    <mergeCell ref="AE23:AF23"/>
    <mergeCell ref="CP22:CR22"/>
    <mergeCell ref="CS22:CU22"/>
    <mergeCell ref="CW22:CZ22"/>
    <mergeCell ref="B23:E23"/>
    <mergeCell ref="F23:H23"/>
    <mergeCell ref="I23:J23"/>
    <mergeCell ref="K23:L23"/>
    <mergeCell ref="M23:N23"/>
    <mergeCell ref="O23:P23"/>
    <mergeCell ref="Q23:R23"/>
    <mergeCell ref="BZ22:CA22"/>
    <mergeCell ref="CB22:CD22"/>
    <mergeCell ref="CE22:CG22"/>
    <mergeCell ref="CH22:CJ22"/>
    <mergeCell ref="CK22:CM22"/>
    <mergeCell ref="CN22:CO22"/>
    <mergeCell ref="BI22:BL22"/>
    <mergeCell ref="BM22:BO22"/>
    <mergeCell ref="BP22:BQ22"/>
    <mergeCell ref="BR22:BS22"/>
    <mergeCell ref="BU22:BW22"/>
    <mergeCell ref="BX22:BY22"/>
    <mergeCell ref="AV22:AW22"/>
    <mergeCell ref="AX22:AY22"/>
    <mergeCell ref="CP23:CR23"/>
    <mergeCell ref="CS23:CU23"/>
    <mergeCell ref="CW23:CZ23"/>
    <mergeCell ref="B24:E24"/>
    <mergeCell ref="F24:H24"/>
    <mergeCell ref="I24:J24"/>
    <mergeCell ref="K24:L24"/>
    <mergeCell ref="M24:N24"/>
    <mergeCell ref="O24:P24"/>
    <mergeCell ref="Q24:R24"/>
    <mergeCell ref="BZ23:CA23"/>
    <mergeCell ref="CB23:CD23"/>
    <mergeCell ref="CE23:CG23"/>
    <mergeCell ref="CH23:CJ23"/>
    <mergeCell ref="CK23:CM23"/>
    <mergeCell ref="CN23:CO23"/>
    <mergeCell ref="BI23:BL23"/>
    <mergeCell ref="BM23:BO23"/>
    <mergeCell ref="BP23:BQ23"/>
    <mergeCell ref="BR23:BS23"/>
    <mergeCell ref="BU23:BW23"/>
    <mergeCell ref="BX23:BY23"/>
    <mergeCell ref="AV23:AW23"/>
    <mergeCell ref="AX23:AY23"/>
    <mergeCell ref="BA23:BB23"/>
    <mergeCell ref="BC23:BD23"/>
    <mergeCell ref="BE23:BF23"/>
    <mergeCell ref="BG23:BH23"/>
    <mergeCell ref="AG23:AH23"/>
    <mergeCell ref="AI23:AJ23"/>
    <mergeCell ref="AK23:AL23"/>
    <mergeCell ref="AM23:AN23"/>
    <mergeCell ref="CS24:CU24"/>
    <mergeCell ref="CW24:CZ24"/>
    <mergeCell ref="B25:E25"/>
    <mergeCell ref="F25:H25"/>
    <mergeCell ref="I25:J25"/>
    <mergeCell ref="K25:L25"/>
    <mergeCell ref="M25:N25"/>
    <mergeCell ref="O25:P25"/>
    <mergeCell ref="Q25:R25"/>
    <mergeCell ref="BZ24:CA24"/>
    <mergeCell ref="CB24:CD24"/>
    <mergeCell ref="CE24:CG24"/>
    <mergeCell ref="CH24:CJ24"/>
    <mergeCell ref="CK24:CM24"/>
    <mergeCell ref="CN24:CO24"/>
    <mergeCell ref="BI24:BL24"/>
    <mergeCell ref="BM24:BO24"/>
    <mergeCell ref="BP24:BQ24"/>
    <mergeCell ref="BR24:BS24"/>
    <mergeCell ref="BU24:BW24"/>
    <mergeCell ref="BX24:BY24"/>
    <mergeCell ref="AV24:AW24"/>
    <mergeCell ref="AX24:AY24"/>
    <mergeCell ref="BA24:BB24"/>
    <mergeCell ref="BC24:BD24"/>
    <mergeCell ref="BE24:BF24"/>
    <mergeCell ref="BG24:BH24"/>
    <mergeCell ref="AG24:AH24"/>
    <mergeCell ref="AI24:AJ24"/>
    <mergeCell ref="AK24:AL24"/>
    <mergeCell ref="AM24:AN24"/>
    <mergeCell ref="AO24:AR24"/>
    <mergeCell ref="BA25:BB25"/>
    <mergeCell ref="BC25:BD25"/>
    <mergeCell ref="BE25:BF25"/>
    <mergeCell ref="BG25:BH25"/>
    <mergeCell ref="AG25:AH25"/>
    <mergeCell ref="AI25:AJ25"/>
    <mergeCell ref="AK25:AL25"/>
    <mergeCell ref="AM25:AN25"/>
    <mergeCell ref="AO25:AR25"/>
    <mergeCell ref="AS25:AU25"/>
    <mergeCell ref="S25:T25"/>
    <mergeCell ref="U25:W25"/>
    <mergeCell ref="X25:Z25"/>
    <mergeCell ref="AA25:AB25"/>
    <mergeCell ref="AC25:AD25"/>
    <mergeCell ref="AE25:AF25"/>
    <mergeCell ref="CP24:CR24"/>
    <mergeCell ref="AS24:AU24"/>
    <mergeCell ref="S24:T24"/>
    <mergeCell ref="U24:W24"/>
    <mergeCell ref="X24:Z24"/>
    <mergeCell ref="AA24:AB24"/>
    <mergeCell ref="AC24:AD24"/>
    <mergeCell ref="AE24:AF24"/>
    <mergeCell ref="AO26:AR26"/>
    <mergeCell ref="AS26:AU26"/>
    <mergeCell ref="S26:T26"/>
    <mergeCell ref="U26:W26"/>
    <mergeCell ref="X26:Z26"/>
    <mergeCell ref="AA26:AB26"/>
    <mergeCell ref="AC26:AD26"/>
    <mergeCell ref="AE26:AF26"/>
    <mergeCell ref="CP25:CR25"/>
    <mergeCell ref="CS25:CU25"/>
    <mergeCell ref="CW25:CZ25"/>
    <mergeCell ref="B26:E26"/>
    <mergeCell ref="F26:H26"/>
    <mergeCell ref="I26:J26"/>
    <mergeCell ref="K26:L26"/>
    <mergeCell ref="M26:N26"/>
    <mergeCell ref="O26:P26"/>
    <mergeCell ref="Q26:R26"/>
    <mergeCell ref="BZ25:CA25"/>
    <mergeCell ref="CB25:CD25"/>
    <mergeCell ref="CE25:CG25"/>
    <mergeCell ref="CH25:CJ25"/>
    <mergeCell ref="CK25:CM25"/>
    <mergeCell ref="CN25:CO25"/>
    <mergeCell ref="BI25:BL25"/>
    <mergeCell ref="BM25:BO25"/>
    <mergeCell ref="BP25:BQ25"/>
    <mergeCell ref="BR25:BS25"/>
    <mergeCell ref="BU25:BW25"/>
    <mergeCell ref="BX25:BY25"/>
    <mergeCell ref="AV25:AW25"/>
    <mergeCell ref="AX25:AY25"/>
    <mergeCell ref="CP26:CR26"/>
    <mergeCell ref="CS26:CU26"/>
    <mergeCell ref="CW26:CZ26"/>
    <mergeCell ref="B27:E27"/>
    <mergeCell ref="F27:H27"/>
    <mergeCell ref="I27:J27"/>
    <mergeCell ref="K27:L27"/>
    <mergeCell ref="M27:N27"/>
    <mergeCell ref="O27:P27"/>
    <mergeCell ref="Q27:R27"/>
    <mergeCell ref="BZ26:CA26"/>
    <mergeCell ref="CB26:CD26"/>
    <mergeCell ref="CE26:CG26"/>
    <mergeCell ref="CH26:CJ26"/>
    <mergeCell ref="CK26:CM26"/>
    <mergeCell ref="CN26:CO26"/>
    <mergeCell ref="BI26:BL26"/>
    <mergeCell ref="BM26:BO26"/>
    <mergeCell ref="BP26:BQ26"/>
    <mergeCell ref="BR26:BS26"/>
    <mergeCell ref="BU26:BW26"/>
    <mergeCell ref="BX26:BY26"/>
    <mergeCell ref="AV26:AW26"/>
    <mergeCell ref="AX26:AY26"/>
    <mergeCell ref="BA26:BB26"/>
    <mergeCell ref="BC26:BD26"/>
    <mergeCell ref="BE26:BF26"/>
    <mergeCell ref="BG26:BH26"/>
    <mergeCell ref="AG26:AH26"/>
    <mergeCell ref="AI26:AJ26"/>
    <mergeCell ref="AK26:AL26"/>
    <mergeCell ref="AM26:AN26"/>
    <mergeCell ref="CS27:CU27"/>
    <mergeCell ref="CW27:CZ27"/>
    <mergeCell ref="B28:E28"/>
    <mergeCell ref="F28:H28"/>
    <mergeCell ref="I28:J28"/>
    <mergeCell ref="K28:L28"/>
    <mergeCell ref="M28:N28"/>
    <mergeCell ref="O28:P28"/>
    <mergeCell ref="Q28:R28"/>
    <mergeCell ref="BZ27:CA27"/>
    <mergeCell ref="CB27:CD27"/>
    <mergeCell ref="CE27:CG27"/>
    <mergeCell ref="CH27:CJ27"/>
    <mergeCell ref="CK27:CM27"/>
    <mergeCell ref="CN27:CO27"/>
    <mergeCell ref="BI27:BL27"/>
    <mergeCell ref="BM27:BO27"/>
    <mergeCell ref="BP27:BQ27"/>
    <mergeCell ref="BR27:BS27"/>
    <mergeCell ref="BU27:BW27"/>
    <mergeCell ref="BX27:BY27"/>
    <mergeCell ref="AV27:AW27"/>
    <mergeCell ref="AX27:AY27"/>
    <mergeCell ref="BA27:BB27"/>
    <mergeCell ref="BC27:BD27"/>
    <mergeCell ref="BE27:BF27"/>
    <mergeCell ref="BG27:BH27"/>
    <mergeCell ref="AG27:AH27"/>
    <mergeCell ref="AI27:AJ27"/>
    <mergeCell ref="AK27:AL27"/>
    <mergeCell ref="AM27:AN27"/>
    <mergeCell ref="AO27:AR27"/>
    <mergeCell ref="BA28:BB28"/>
    <mergeCell ref="BC28:BD28"/>
    <mergeCell ref="BE28:BF28"/>
    <mergeCell ref="BG28:BH28"/>
    <mergeCell ref="AG28:AH28"/>
    <mergeCell ref="AI28:AJ28"/>
    <mergeCell ref="AK28:AL28"/>
    <mergeCell ref="AM28:AN28"/>
    <mergeCell ref="AO28:AR28"/>
    <mergeCell ref="AS28:AU28"/>
    <mergeCell ref="S28:T28"/>
    <mergeCell ref="U28:W28"/>
    <mergeCell ref="X28:Z28"/>
    <mergeCell ref="AA28:AB28"/>
    <mergeCell ref="AC28:AD28"/>
    <mergeCell ref="AE28:AF28"/>
    <mergeCell ref="CP27:CR27"/>
    <mergeCell ref="AS27:AU27"/>
    <mergeCell ref="S27:T27"/>
    <mergeCell ref="U27:W27"/>
    <mergeCell ref="X27:Z27"/>
    <mergeCell ref="AA27:AB27"/>
    <mergeCell ref="AC27:AD27"/>
    <mergeCell ref="AE27:AF27"/>
    <mergeCell ref="AO29:AR29"/>
    <mergeCell ref="AS29:AU29"/>
    <mergeCell ref="S29:T29"/>
    <mergeCell ref="U29:W29"/>
    <mergeCell ref="X29:Z29"/>
    <mergeCell ref="AA29:AB29"/>
    <mergeCell ref="AC29:AD29"/>
    <mergeCell ref="AE29:AF29"/>
    <mergeCell ref="CP28:CR28"/>
    <mergeCell ref="CS28:CU28"/>
    <mergeCell ref="CW28:CZ28"/>
    <mergeCell ref="B29:E29"/>
    <mergeCell ref="F29:H29"/>
    <mergeCell ref="I29:J29"/>
    <mergeCell ref="K29:L29"/>
    <mergeCell ref="M29:N29"/>
    <mergeCell ref="O29:P29"/>
    <mergeCell ref="Q29:R29"/>
    <mergeCell ref="BZ28:CA28"/>
    <mergeCell ref="CB28:CD28"/>
    <mergeCell ref="CE28:CG28"/>
    <mergeCell ref="CH28:CJ28"/>
    <mergeCell ref="CK28:CM28"/>
    <mergeCell ref="CN28:CO28"/>
    <mergeCell ref="BI28:BL28"/>
    <mergeCell ref="BM28:BO28"/>
    <mergeCell ref="BP28:BQ28"/>
    <mergeCell ref="BR28:BS28"/>
    <mergeCell ref="BU28:BW28"/>
    <mergeCell ref="BX28:BY28"/>
    <mergeCell ref="AV28:AW28"/>
    <mergeCell ref="AX28:AY28"/>
    <mergeCell ref="CP29:CR29"/>
    <mergeCell ref="CS29:CU29"/>
    <mergeCell ref="CW29:CZ29"/>
    <mergeCell ref="B30:E30"/>
    <mergeCell ref="F30:H30"/>
    <mergeCell ref="I30:J30"/>
    <mergeCell ref="K30:L30"/>
    <mergeCell ref="M30:N30"/>
    <mergeCell ref="O30:P30"/>
    <mergeCell ref="Q30:R30"/>
    <mergeCell ref="BZ29:CA29"/>
    <mergeCell ref="CB29:CD29"/>
    <mergeCell ref="CE29:CG29"/>
    <mergeCell ref="CH29:CJ29"/>
    <mergeCell ref="CK29:CM29"/>
    <mergeCell ref="CN29:CO29"/>
    <mergeCell ref="BI29:BL29"/>
    <mergeCell ref="BM29:BO29"/>
    <mergeCell ref="BP29:BQ29"/>
    <mergeCell ref="BR29:BS29"/>
    <mergeCell ref="BU29:BW29"/>
    <mergeCell ref="BX29:BY29"/>
    <mergeCell ref="AV29:AW29"/>
    <mergeCell ref="AX29:AY29"/>
    <mergeCell ref="BA29:BB29"/>
    <mergeCell ref="BC29:BD29"/>
    <mergeCell ref="BE29:BF29"/>
    <mergeCell ref="BG29:BH29"/>
    <mergeCell ref="AG29:AH29"/>
    <mergeCell ref="AI29:AJ29"/>
    <mergeCell ref="AK29:AL29"/>
    <mergeCell ref="AM29:AN29"/>
    <mergeCell ref="CS30:CU30"/>
    <mergeCell ref="CW30:CZ30"/>
    <mergeCell ref="B31:E31"/>
    <mergeCell ref="F31:H31"/>
    <mergeCell ref="I31:J31"/>
    <mergeCell ref="K31:L31"/>
    <mergeCell ref="M31:N31"/>
    <mergeCell ref="O31:P31"/>
    <mergeCell ref="Q31:R31"/>
    <mergeCell ref="BZ30:CA30"/>
    <mergeCell ref="CB30:CD30"/>
    <mergeCell ref="CE30:CG30"/>
    <mergeCell ref="CH30:CJ30"/>
    <mergeCell ref="CK30:CM30"/>
    <mergeCell ref="CN30:CO30"/>
    <mergeCell ref="BI30:BL30"/>
    <mergeCell ref="BM30:BO30"/>
    <mergeCell ref="BP30:BQ30"/>
    <mergeCell ref="BR30:BS30"/>
    <mergeCell ref="BU30:BW30"/>
    <mergeCell ref="BX30:BY30"/>
    <mergeCell ref="AV30:AW30"/>
    <mergeCell ref="AX30:AY30"/>
    <mergeCell ref="BA30:BB30"/>
    <mergeCell ref="BC30:BD30"/>
    <mergeCell ref="BE30:BF30"/>
    <mergeCell ref="BG30:BH30"/>
    <mergeCell ref="AG30:AH30"/>
    <mergeCell ref="AI30:AJ30"/>
    <mergeCell ref="AK30:AL30"/>
    <mergeCell ref="AM30:AN30"/>
    <mergeCell ref="AO30:AR30"/>
    <mergeCell ref="BA31:BB31"/>
    <mergeCell ref="BC31:BD31"/>
    <mergeCell ref="BE31:BF31"/>
    <mergeCell ref="BG31:BH31"/>
    <mergeCell ref="AG31:AH31"/>
    <mergeCell ref="AI31:AJ31"/>
    <mergeCell ref="AK31:AL31"/>
    <mergeCell ref="AM31:AN31"/>
    <mergeCell ref="AO31:AR31"/>
    <mergeCell ref="AS31:AU31"/>
    <mergeCell ref="S31:T31"/>
    <mergeCell ref="U31:W31"/>
    <mergeCell ref="X31:Z31"/>
    <mergeCell ref="AA31:AB31"/>
    <mergeCell ref="AC31:AD31"/>
    <mergeCell ref="AE31:AF31"/>
    <mergeCell ref="CP30:CR30"/>
    <mergeCell ref="AS30:AU30"/>
    <mergeCell ref="S30:T30"/>
    <mergeCell ref="U30:W30"/>
    <mergeCell ref="X30:Z30"/>
    <mergeCell ref="AA30:AB30"/>
    <mergeCell ref="AC30:AD30"/>
    <mergeCell ref="AE30:AF30"/>
    <mergeCell ref="AO32:AR32"/>
    <mergeCell ref="AS32:AU32"/>
    <mergeCell ref="S32:T32"/>
    <mergeCell ref="U32:W32"/>
    <mergeCell ref="X32:Z32"/>
    <mergeCell ref="AA32:AB32"/>
    <mergeCell ref="AC32:AD32"/>
    <mergeCell ref="AE32:AF32"/>
    <mergeCell ref="CP31:CR31"/>
    <mergeCell ref="CS31:CU31"/>
    <mergeCell ref="CW31:CZ31"/>
    <mergeCell ref="B32:E32"/>
    <mergeCell ref="F32:H32"/>
    <mergeCell ref="I32:J32"/>
    <mergeCell ref="K32:L32"/>
    <mergeCell ref="M32:N32"/>
    <mergeCell ref="O32:P32"/>
    <mergeCell ref="Q32:R32"/>
    <mergeCell ref="BZ31:CA31"/>
    <mergeCell ref="CB31:CD31"/>
    <mergeCell ref="CE31:CG31"/>
    <mergeCell ref="CH31:CJ31"/>
    <mergeCell ref="CK31:CM31"/>
    <mergeCell ref="CN31:CO31"/>
    <mergeCell ref="BI31:BL31"/>
    <mergeCell ref="BM31:BO31"/>
    <mergeCell ref="BP31:BQ31"/>
    <mergeCell ref="BR31:BS31"/>
    <mergeCell ref="BU31:BW31"/>
    <mergeCell ref="BX31:BY31"/>
    <mergeCell ref="AV31:AW31"/>
    <mergeCell ref="AX31:AY31"/>
    <mergeCell ref="CP32:CR32"/>
    <mergeCell ref="CS32:CU32"/>
    <mergeCell ref="CW32:CZ32"/>
    <mergeCell ref="B33:E33"/>
    <mergeCell ref="F33:H33"/>
    <mergeCell ref="I33:J33"/>
    <mergeCell ref="K33:L33"/>
    <mergeCell ref="M33:N33"/>
    <mergeCell ref="O33:P33"/>
    <mergeCell ref="Q33:R33"/>
    <mergeCell ref="BZ32:CA32"/>
    <mergeCell ref="CB32:CD32"/>
    <mergeCell ref="CE32:CG32"/>
    <mergeCell ref="CH32:CJ32"/>
    <mergeCell ref="CK32:CM32"/>
    <mergeCell ref="CN32:CO32"/>
    <mergeCell ref="BI32:BL32"/>
    <mergeCell ref="BM32:BO32"/>
    <mergeCell ref="BP32:BQ32"/>
    <mergeCell ref="BR32:BS32"/>
    <mergeCell ref="BU32:BW32"/>
    <mergeCell ref="BX32:BY32"/>
    <mergeCell ref="AV32:AW32"/>
    <mergeCell ref="AX32:AY32"/>
    <mergeCell ref="BA32:BB32"/>
    <mergeCell ref="BC32:BD32"/>
    <mergeCell ref="BE32:BF32"/>
    <mergeCell ref="BG32:BH32"/>
    <mergeCell ref="AG32:AH32"/>
    <mergeCell ref="AI32:AJ32"/>
    <mergeCell ref="AK32:AL32"/>
    <mergeCell ref="AM32:AN32"/>
    <mergeCell ref="CS33:CU33"/>
    <mergeCell ref="CW33:CZ33"/>
    <mergeCell ref="B34:E34"/>
    <mergeCell ref="F34:H34"/>
    <mergeCell ref="I34:J34"/>
    <mergeCell ref="K34:L34"/>
    <mergeCell ref="M34:N34"/>
    <mergeCell ref="O34:P34"/>
    <mergeCell ref="Q34:R34"/>
    <mergeCell ref="BZ33:CA33"/>
    <mergeCell ref="CB33:CD33"/>
    <mergeCell ref="CE33:CG33"/>
    <mergeCell ref="CH33:CJ33"/>
    <mergeCell ref="CK33:CM33"/>
    <mergeCell ref="CN33:CO33"/>
    <mergeCell ref="BI33:BL33"/>
    <mergeCell ref="BM33:BO33"/>
    <mergeCell ref="BP33:BQ33"/>
    <mergeCell ref="BR33:BS33"/>
    <mergeCell ref="BU33:BW33"/>
    <mergeCell ref="BX33:BY33"/>
    <mergeCell ref="AV33:AW33"/>
    <mergeCell ref="AX33:AY33"/>
    <mergeCell ref="BA33:BB33"/>
    <mergeCell ref="BC33:BD33"/>
    <mergeCell ref="BE33:BF33"/>
    <mergeCell ref="BG33:BH33"/>
    <mergeCell ref="AG33:AH33"/>
    <mergeCell ref="AI33:AJ33"/>
    <mergeCell ref="AK33:AL33"/>
    <mergeCell ref="AM33:AN33"/>
    <mergeCell ref="AO33:AR33"/>
    <mergeCell ref="BA34:BB34"/>
    <mergeCell ref="BC34:BD34"/>
    <mergeCell ref="BE34:BF34"/>
    <mergeCell ref="BG34:BH34"/>
    <mergeCell ref="AG34:AH34"/>
    <mergeCell ref="AI34:AJ34"/>
    <mergeCell ref="AK34:AL34"/>
    <mergeCell ref="AM34:AN34"/>
    <mergeCell ref="AO34:AR34"/>
    <mergeCell ref="AS34:AU34"/>
    <mergeCell ref="S34:T34"/>
    <mergeCell ref="U34:W34"/>
    <mergeCell ref="X34:Z34"/>
    <mergeCell ref="AA34:AB34"/>
    <mergeCell ref="AC34:AD34"/>
    <mergeCell ref="AE34:AF34"/>
    <mergeCell ref="CP33:CR33"/>
    <mergeCell ref="AS33:AU33"/>
    <mergeCell ref="S33:T33"/>
    <mergeCell ref="U33:W33"/>
    <mergeCell ref="X33:Z33"/>
    <mergeCell ref="AA33:AB33"/>
    <mergeCell ref="AC33:AD33"/>
    <mergeCell ref="AE33:AF33"/>
    <mergeCell ref="AO35:AR35"/>
    <mergeCell ref="AS35:AU35"/>
    <mergeCell ref="S35:T35"/>
    <mergeCell ref="U35:W35"/>
    <mergeCell ref="X35:Z35"/>
    <mergeCell ref="AA35:AB35"/>
    <mergeCell ref="AC35:AD35"/>
    <mergeCell ref="AE35:AF35"/>
    <mergeCell ref="CP34:CR34"/>
    <mergeCell ref="CS34:CU34"/>
    <mergeCell ref="CW34:CZ34"/>
    <mergeCell ref="B35:E35"/>
    <mergeCell ref="F35:H35"/>
    <mergeCell ref="I35:J35"/>
    <mergeCell ref="K35:L35"/>
    <mergeCell ref="M35:N35"/>
    <mergeCell ref="O35:P35"/>
    <mergeCell ref="Q35:R35"/>
    <mergeCell ref="BZ34:CA34"/>
    <mergeCell ref="CB34:CD34"/>
    <mergeCell ref="CE34:CG34"/>
    <mergeCell ref="CH34:CJ34"/>
    <mergeCell ref="CK34:CM34"/>
    <mergeCell ref="CN34:CO34"/>
    <mergeCell ref="BI34:BL34"/>
    <mergeCell ref="BM34:BO34"/>
    <mergeCell ref="BP34:BQ34"/>
    <mergeCell ref="BR34:BS34"/>
    <mergeCell ref="BU34:BW34"/>
    <mergeCell ref="BX34:BY34"/>
    <mergeCell ref="AV34:AW34"/>
    <mergeCell ref="AX34:AY34"/>
    <mergeCell ref="CP35:CR35"/>
    <mergeCell ref="CS35:CU35"/>
    <mergeCell ref="CW35:CZ35"/>
    <mergeCell ref="B36:E36"/>
    <mergeCell ref="F36:H36"/>
    <mergeCell ref="I36:J36"/>
    <mergeCell ref="K36:L36"/>
    <mergeCell ref="M36:N36"/>
    <mergeCell ref="O36:P36"/>
    <mergeCell ref="Q36:R36"/>
    <mergeCell ref="BZ35:CA35"/>
    <mergeCell ref="CB35:CD35"/>
    <mergeCell ref="CE35:CG35"/>
    <mergeCell ref="CH35:CJ35"/>
    <mergeCell ref="CK35:CM35"/>
    <mergeCell ref="CN35:CO35"/>
    <mergeCell ref="BI35:BL35"/>
    <mergeCell ref="BM35:BO35"/>
    <mergeCell ref="BP35:BQ35"/>
    <mergeCell ref="BR35:BS35"/>
    <mergeCell ref="BU35:BW35"/>
    <mergeCell ref="BX35:BY35"/>
    <mergeCell ref="AV35:AW35"/>
    <mergeCell ref="AX35:AY35"/>
    <mergeCell ref="BA35:BB35"/>
    <mergeCell ref="BC35:BD35"/>
    <mergeCell ref="BE35:BF35"/>
    <mergeCell ref="BG35:BH35"/>
    <mergeCell ref="AG35:AH35"/>
    <mergeCell ref="AI35:AJ35"/>
    <mergeCell ref="AK35:AL35"/>
    <mergeCell ref="AM35:AN35"/>
    <mergeCell ref="CS36:CU36"/>
    <mergeCell ref="CW36:CZ36"/>
    <mergeCell ref="B37:E37"/>
    <mergeCell ref="F37:H37"/>
    <mergeCell ref="I37:J37"/>
    <mergeCell ref="K37:L37"/>
    <mergeCell ref="M37:N37"/>
    <mergeCell ref="O37:P37"/>
    <mergeCell ref="Q37:R37"/>
    <mergeCell ref="BZ36:CA36"/>
    <mergeCell ref="CB36:CD36"/>
    <mergeCell ref="CE36:CG36"/>
    <mergeCell ref="CH36:CJ36"/>
    <mergeCell ref="CK36:CM36"/>
    <mergeCell ref="CN36:CO36"/>
    <mergeCell ref="BI36:BL36"/>
    <mergeCell ref="BM36:BO36"/>
    <mergeCell ref="BP36:BQ36"/>
    <mergeCell ref="BR36:BS36"/>
    <mergeCell ref="BU36:BW36"/>
    <mergeCell ref="BX36:BY36"/>
    <mergeCell ref="AV36:AW36"/>
    <mergeCell ref="AX36:AY36"/>
    <mergeCell ref="BA36:BB36"/>
    <mergeCell ref="BC36:BD36"/>
    <mergeCell ref="BE36:BF36"/>
    <mergeCell ref="BG36:BH36"/>
    <mergeCell ref="AG36:AH36"/>
    <mergeCell ref="AI36:AJ36"/>
    <mergeCell ref="AK36:AL36"/>
    <mergeCell ref="AM36:AN36"/>
    <mergeCell ref="AO36:AR36"/>
    <mergeCell ref="BA37:BB37"/>
    <mergeCell ref="BC37:BD37"/>
    <mergeCell ref="BE37:BF37"/>
    <mergeCell ref="BG37:BH37"/>
    <mergeCell ref="AG37:AH37"/>
    <mergeCell ref="AI37:AJ37"/>
    <mergeCell ref="AK37:AL37"/>
    <mergeCell ref="AM37:AN37"/>
    <mergeCell ref="AO37:AR37"/>
    <mergeCell ref="AS37:AU37"/>
    <mergeCell ref="S37:T37"/>
    <mergeCell ref="U37:W37"/>
    <mergeCell ref="X37:Z37"/>
    <mergeCell ref="AA37:AB37"/>
    <mergeCell ref="AC37:AD37"/>
    <mergeCell ref="AE37:AF37"/>
    <mergeCell ref="CP36:CR36"/>
    <mergeCell ref="AS36:AU36"/>
    <mergeCell ref="S36:T36"/>
    <mergeCell ref="U36:W36"/>
    <mergeCell ref="X36:Z36"/>
    <mergeCell ref="AA36:AB36"/>
    <mergeCell ref="AC36:AD36"/>
    <mergeCell ref="AE36:AF36"/>
    <mergeCell ref="AO38:AR38"/>
    <mergeCell ref="AS38:AU38"/>
    <mergeCell ref="S38:T38"/>
    <mergeCell ref="U38:W38"/>
    <mergeCell ref="X38:Z38"/>
    <mergeCell ref="AA38:AB38"/>
    <mergeCell ref="AC38:AD38"/>
    <mergeCell ref="AE38:AF38"/>
    <mergeCell ref="CP37:CR37"/>
    <mergeCell ref="CS37:CU37"/>
    <mergeCell ref="CW37:CZ37"/>
    <mergeCell ref="B38:E38"/>
    <mergeCell ref="F38:H38"/>
    <mergeCell ref="I38:J38"/>
    <mergeCell ref="K38:L38"/>
    <mergeCell ref="M38:N38"/>
    <mergeCell ref="O38:P38"/>
    <mergeCell ref="Q38:R38"/>
    <mergeCell ref="BZ37:CA37"/>
    <mergeCell ref="CB37:CD37"/>
    <mergeCell ref="CE37:CG37"/>
    <mergeCell ref="CH37:CJ37"/>
    <mergeCell ref="CK37:CM37"/>
    <mergeCell ref="CN37:CO37"/>
    <mergeCell ref="BI37:BL37"/>
    <mergeCell ref="BM37:BO37"/>
    <mergeCell ref="BP37:BQ37"/>
    <mergeCell ref="BR37:BS37"/>
    <mergeCell ref="BU37:BW37"/>
    <mergeCell ref="BX37:BY37"/>
    <mergeCell ref="AV37:AW37"/>
    <mergeCell ref="AX37:AY37"/>
    <mergeCell ref="CP38:CR38"/>
    <mergeCell ref="CS38:CU38"/>
    <mergeCell ref="CW38:CZ38"/>
    <mergeCell ref="B39:E39"/>
    <mergeCell ref="F39:H39"/>
    <mergeCell ref="I39:J39"/>
    <mergeCell ref="K39:L39"/>
    <mergeCell ref="M39:N39"/>
    <mergeCell ref="O39:P39"/>
    <mergeCell ref="Q39:R39"/>
    <mergeCell ref="BZ38:CA38"/>
    <mergeCell ref="CB38:CD38"/>
    <mergeCell ref="CE38:CG38"/>
    <mergeCell ref="CH38:CJ38"/>
    <mergeCell ref="CK38:CM38"/>
    <mergeCell ref="CN38:CO38"/>
    <mergeCell ref="BI38:BL38"/>
    <mergeCell ref="BM38:BO38"/>
    <mergeCell ref="BP38:BQ38"/>
    <mergeCell ref="BR38:BS38"/>
    <mergeCell ref="BU38:BW38"/>
    <mergeCell ref="BX38:BY38"/>
    <mergeCell ref="AV38:AW38"/>
    <mergeCell ref="AX38:AY38"/>
    <mergeCell ref="BA38:BB38"/>
    <mergeCell ref="BC38:BD38"/>
    <mergeCell ref="BE38:BF38"/>
    <mergeCell ref="BG38:BH38"/>
    <mergeCell ref="AG38:AH38"/>
    <mergeCell ref="AI38:AJ38"/>
    <mergeCell ref="AK38:AL38"/>
    <mergeCell ref="AM38:AN38"/>
    <mergeCell ref="CS39:CU39"/>
    <mergeCell ref="CW39:CZ39"/>
    <mergeCell ref="B40:E40"/>
    <mergeCell ref="F40:H40"/>
    <mergeCell ref="I40:J40"/>
    <mergeCell ref="K40:L40"/>
    <mergeCell ref="M40:N40"/>
    <mergeCell ref="O40:P40"/>
    <mergeCell ref="Q40:R40"/>
    <mergeCell ref="BZ39:CA39"/>
    <mergeCell ref="CB39:CD39"/>
    <mergeCell ref="CE39:CG39"/>
    <mergeCell ref="CH39:CJ39"/>
    <mergeCell ref="CK39:CM39"/>
    <mergeCell ref="CN39:CO39"/>
    <mergeCell ref="BI39:BL39"/>
    <mergeCell ref="BM39:BO39"/>
    <mergeCell ref="BP39:BQ39"/>
    <mergeCell ref="BR39:BS39"/>
    <mergeCell ref="BU39:BW39"/>
    <mergeCell ref="BX39:BY39"/>
    <mergeCell ref="AV39:AW39"/>
    <mergeCell ref="AX39:AY39"/>
    <mergeCell ref="BA39:BB39"/>
    <mergeCell ref="BC39:BD39"/>
    <mergeCell ref="BE39:BF39"/>
    <mergeCell ref="BG39:BH39"/>
    <mergeCell ref="AG39:AH39"/>
    <mergeCell ref="AI39:AJ39"/>
    <mergeCell ref="AK39:AL39"/>
    <mergeCell ref="AM39:AN39"/>
    <mergeCell ref="AO39:AR39"/>
    <mergeCell ref="BA40:BB40"/>
    <mergeCell ref="BC40:BD40"/>
    <mergeCell ref="BE40:BF40"/>
    <mergeCell ref="BG40:BH40"/>
    <mergeCell ref="AG40:AH40"/>
    <mergeCell ref="AI40:AJ40"/>
    <mergeCell ref="AK40:AL40"/>
    <mergeCell ref="AM40:AN40"/>
    <mergeCell ref="AO40:AR40"/>
    <mergeCell ref="AS40:AU40"/>
    <mergeCell ref="S40:T40"/>
    <mergeCell ref="U40:W40"/>
    <mergeCell ref="X40:Z40"/>
    <mergeCell ref="AA40:AB40"/>
    <mergeCell ref="AC40:AD40"/>
    <mergeCell ref="AE40:AF40"/>
    <mergeCell ref="CP39:CR39"/>
    <mergeCell ref="AS39:AU39"/>
    <mergeCell ref="S39:T39"/>
    <mergeCell ref="U39:W39"/>
    <mergeCell ref="X39:Z39"/>
    <mergeCell ref="AA39:AB39"/>
    <mergeCell ref="AC39:AD39"/>
    <mergeCell ref="AE39:AF39"/>
    <mergeCell ref="AO41:AR41"/>
    <mergeCell ref="AS41:AU41"/>
    <mergeCell ref="S41:T41"/>
    <mergeCell ref="U41:W41"/>
    <mergeCell ref="X41:Z41"/>
    <mergeCell ref="AA41:AB41"/>
    <mergeCell ref="AC41:AD41"/>
    <mergeCell ref="AE41:AF41"/>
    <mergeCell ref="CP40:CR40"/>
    <mergeCell ref="CS40:CU40"/>
    <mergeCell ref="CW40:CZ40"/>
    <mergeCell ref="B41:E41"/>
    <mergeCell ref="F41:H41"/>
    <mergeCell ref="I41:J41"/>
    <mergeCell ref="K41:L41"/>
    <mergeCell ref="M41:N41"/>
    <mergeCell ref="O41:P41"/>
    <mergeCell ref="Q41:R41"/>
    <mergeCell ref="BZ40:CA40"/>
    <mergeCell ref="CB40:CD40"/>
    <mergeCell ref="CE40:CG40"/>
    <mergeCell ref="CH40:CJ40"/>
    <mergeCell ref="CK40:CM40"/>
    <mergeCell ref="CN40:CO40"/>
    <mergeCell ref="BI40:BL40"/>
    <mergeCell ref="BM40:BO40"/>
    <mergeCell ref="BP40:BQ40"/>
    <mergeCell ref="BR40:BS40"/>
    <mergeCell ref="BU40:BW40"/>
    <mergeCell ref="BX40:BY40"/>
    <mergeCell ref="AV40:AW40"/>
    <mergeCell ref="AX40:AY40"/>
    <mergeCell ref="CP41:CR41"/>
    <mergeCell ref="CS41:CU41"/>
    <mergeCell ref="CW41:CZ41"/>
    <mergeCell ref="B42:E42"/>
    <mergeCell ref="F42:H42"/>
    <mergeCell ref="I42:J42"/>
    <mergeCell ref="K42:L42"/>
    <mergeCell ref="M42:N42"/>
    <mergeCell ref="O42:P42"/>
    <mergeCell ref="Q42:R42"/>
    <mergeCell ref="BZ41:CA41"/>
    <mergeCell ref="CB41:CD41"/>
    <mergeCell ref="CE41:CG41"/>
    <mergeCell ref="CH41:CJ41"/>
    <mergeCell ref="CK41:CM41"/>
    <mergeCell ref="CN41:CO41"/>
    <mergeCell ref="BI41:BL41"/>
    <mergeCell ref="BM41:BO41"/>
    <mergeCell ref="BP41:BQ41"/>
    <mergeCell ref="BR41:BS41"/>
    <mergeCell ref="BU41:BW41"/>
    <mergeCell ref="BX41:BY41"/>
    <mergeCell ref="AV41:AW41"/>
    <mergeCell ref="AX41:AY41"/>
    <mergeCell ref="BA41:BB41"/>
    <mergeCell ref="BC41:BD41"/>
    <mergeCell ref="BE41:BF41"/>
    <mergeCell ref="BG41:BH41"/>
    <mergeCell ref="AG41:AH41"/>
    <mergeCell ref="AI41:AJ41"/>
    <mergeCell ref="AK41:AL41"/>
    <mergeCell ref="AM41:AN41"/>
    <mergeCell ref="CS42:CU42"/>
    <mergeCell ref="CW42:CZ42"/>
    <mergeCell ref="B43:E43"/>
    <mergeCell ref="F43:H43"/>
    <mergeCell ref="I43:J43"/>
    <mergeCell ref="K43:L43"/>
    <mergeCell ref="M43:N43"/>
    <mergeCell ref="O43:P43"/>
    <mergeCell ref="Q43:R43"/>
    <mergeCell ref="BZ42:CA42"/>
    <mergeCell ref="CB42:CD42"/>
    <mergeCell ref="CE42:CG42"/>
    <mergeCell ref="CH42:CJ42"/>
    <mergeCell ref="CK42:CM42"/>
    <mergeCell ref="CN42:CO42"/>
    <mergeCell ref="BI42:BL42"/>
    <mergeCell ref="BM42:BO42"/>
    <mergeCell ref="BP42:BQ42"/>
    <mergeCell ref="BR42:BS42"/>
    <mergeCell ref="BU42:BW42"/>
    <mergeCell ref="BX42:BY42"/>
    <mergeCell ref="AV42:AW42"/>
    <mergeCell ref="AX42:AY42"/>
    <mergeCell ref="BA42:BB42"/>
    <mergeCell ref="BC42:BD42"/>
    <mergeCell ref="BE42:BF42"/>
    <mergeCell ref="BG42:BH42"/>
    <mergeCell ref="AG42:AH42"/>
    <mergeCell ref="AI42:AJ42"/>
    <mergeCell ref="AK42:AL42"/>
    <mergeCell ref="AM42:AN42"/>
    <mergeCell ref="AO42:AR42"/>
    <mergeCell ref="BA43:BB43"/>
    <mergeCell ref="BC43:BD43"/>
    <mergeCell ref="BE43:BF43"/>
    <mergeCell ref="BG43:BH43"/>
    <mergeCell ref="AG43:AH43"/>
    <mergeCell ref="AI43:AJ43"/>
    <mergeCell ref="AK43:AL43"/>
    <mergeCell ref="AM43:AN43"/>
    <mergeCell ref="AO43:AR43"/>
    <mergeCell ref="AS43:AU43"/>
    <mergeCell ref="S43:T43"/>
    <mergeCell ref="U43:W43"/>
    <mergeCell ref="X43:Z43"/>
    <mergeCell ref="AA43:AB43"/>
    <mergeCell ref="AC43:AD43"/>
    <mergeCell ref="AE43:AF43"/>
    <mergeCell ref="CP42:CR42"/>
    <mergeCell ref="AS42:AU42"/>
    <mergeCell ref="S42:T42"/>
    <mergeCell ref="U42:W42"/>
    <mergeCell ref="X42:Z42"/>
    <mergeCell ref="AA42:AB42"/>
    <mergeCell ref="AC42:AD42"/>
    <mergeCell ref="AE42:AF42"/>
    <mergeCell ref="AO44:AR44"/>
    <mergeCell ref="AS44:AU44"/>
    <mergeCell ref="S44:T44"/>
    <mergeCell ref="U44:W44"/>
    <mergeCell ref="X44:Z44"/>
    <mergeCell ref="AA44:AB44"/>
    <mergeCell ref="AC44:AD44"/>
    <mergeCell ref="AE44:AF44"/>
    <mergeCell ref="CP43:CR43"/>
    <mergeCell ref="CS43:CU43"/>
    <mergeCell ref="CW43:CZ43"/>
    <mergeCell ref="B44:E44"/>
    <mergeCell ref="F44:H44"/>
    <mergeCell ref="I44:J44"/>
    <mergeCell ref="K44:L44"/>
    <mergeCell ref="M44:N44"/>
    <mergeCell ref="O44:P44"/>
    <mergeCell ref="Q44:R44"/>
    <mergeCell ref="BZ43:CA43"/>
    <mergeCell ref="CB43:CD43"/>
    <mergeCell ref="CE43:CG43"/>
    <mergeCell ref="CH43:CJ43"/>
    <mergeCell ref="CK43:CM43"/>
    <mergeCell ref="CN43:CO43"/>
    <mergeCell ref="BI43:BL43"/>
    <mergeCell ref="BM43:BO43"/>
    <mergeCell ref="BP43:BQ43"/>
    <mergeCell ref="BR43:BS43"/>
    <mergeCell ref="BU43:BW43"/>
    <mergeCell ref="BX43:BY43"/>
    <mergeCell ref="AV43:AW43"/>
    <mergeCell ref="AX43:AY43"/>
    <mergeCell ref="CP44:CR44"/>
    <mergeCell ref="CS44:CU44"/>
    <mergeCell ref="CW44:CZ44"/>
    <mergeCell ref="B45:E45"/>
    <mergeCell ref="F45:H45"/>
    <mergeCell ref="I45:J45"/>
    <mergeCell ref="K45:L45"/>
    <mergeCell ref="M45:N45"/>
    <mergeCell ref="O45:P45"/>
    <mergeCell ref="Q45:R45"/>
    <mergeCell ref="BZ44:CA44"/>
    <mergeCell ref="CB44:CD44"/>
    <mergeCell ref="CE44:CG44"/>
    <mergeCell ref="CH44:CJ44"/>
    <mergeCell ref="CK44:CM44"/>
    <mergeCell ref="CN44:CO44"/>
    <mergeCell ref="BI44:BL44"/>
    <mergeCell ref="BM44:BO44"/>
    <mergeCell ref="BP44:BQ44"/>
    <mergeCell ref="BR44:BS44"/>
    <mergeCell ref="BU44:BW44"/>
    <mergeCell ref="BX44:BY44"/>
    <mergeCell ref="AV44:AW44"/>
    <mergeCell ref="AX44:AY44"/>
    <mergeCell ref="BA44:BB44"/>
    <mergeCell ref="BC44:BD44"/>
    <mergeCell ref="BE44:BF44"/>
    <mergeCell ref="BG44:BH44"/>
    <mergeCell ref="AG44:AH44"/>
    <mergeCell ref="AI44:AJ44"/>
    <mergeCell ref="AK44:AL44"/>
    <mergeCell ref="AM44:AN44"/>
    <mergeCell ref="CS45:CU45"/>
    <mergeCell ref="CW45:CZ45"/>
    <mergeCell ref="B46:E46"/>
    <mergeCell ref="F46:H46"/>
    <mergeCell ref="I46:J46"/>
    <mergeCell ref="K46:L46"/>
    <mergeCell ref="M46:N46"/>
    <mergeCell ref="O46:P46"/>
    <mergeCell ref="Q46:R46"/>
    <mergeCell ref="BZ45:CA45"/>
    <mergeCell ref="CB45:CD45"/>
    <mergeCell ref="CE45:CG45"/>
    <mergeCell ref="CH45:CJ45"/>
    <mergeCell ref="CK45:CM45"/>
    <mergeCell ref="CN45:CO45"/>
    <mergeCell ref="BI45:BL45"/>
    <mergeCell ref="BM45:BO45"/>
    <mergeCell ref="BP45:BQ45"/>
    <mergeCell ref="BR45:BS45"/>
    <mergeCell ref="BU45:BW45"/>
    <mergeCell ref="BX45:BY45"/>
    <mergeCell ref="AV45:AW45"/>
    <mergeCell ref="AX45:AY45"/>
    <mergeCell ref="BA45:BB45"/>
    <mergeCell ref="BC45:BD45"/>
    <mergeCell ref="BE45:BF45"/>
    <mergeCell ref="BG45:BH45"/>
    <mergeCell ref="AG45:AH45"/>
    <mergeCell ref="AI45:AJ45"/>
    <mergeCell ref="AK45:AL45"/>
    <mergeCell ref="AM45:AN45"/>
    <mergeCell ref="AO45:AR45"/>
    <mergeCell ref="BA46:BB46"/>
    <mergeCell ref="BC46:BD46"/>
    <mergeCell ref="BE46:BF46"/>
    <mergeCell ref="BG46:BH46"/>
    <mergeCell ref="AG46:AH46"/>
    <mergeCell ref="AI46:AJ46"/>
    <mergeCell ref="AK46:AL46"/>
    <mergeCell ref="AM46:AN46"/>
    <mergeCell ref="AO46:AR46"/>
    <mergeCell ref="AS46:AU46"/>
    <mergeCell ref="S46:T46"/>
    <mergeCell ref="U46:W46"/>
    <mergeCell ref="X46:Z46"/>
    <mergeCell ref="AA46:AB46"/>
    <mergeCell ref="AC46:AD46"/>
    <mergeCell ref="AE46:AF46"/>
    <mergeCell ref="CP45:CR45"/>
    <mergeCell ref="AS45:AU45"/>
    <mergeCell ref="S45:T45"/>
    <mergeCell ref="U45:W45"/>
    <mergeCell ref="X45:Z45"/>
    <mergeCell ref="AA45:AB45"/>
    <mergeCell ref="AC45:AD45"/>
    <mergeCell ref="AE45:AF45"/>
    <mergeCell ref="AO47:AR47"/>
    <mergeCell ref="AS47:AU47"/>
    <mergeCell ref="S47:T47"/>
    <mergeCell ref="U47:W47"/>
    <mergeCell ref="X47:Z47"/>
    <mergeCell ref="AA47:AB47"/>
    <mergeCell ref="AC47:AD47"/>
    <mergeCell ref="AE47:AF47"/>
    <mergeCell ref="CP46:CR46"/>
    <mergeCell ref="CS46:CU46"/>
    <mergeCell ref="CW46:CZ46"/>
    <mergeCell ref="B47:E47"/>
    <mergeCell ref="F47:H47"/>
    <mergeCell ref="I47:J47"/>
    <mergeCell ref="K47:L47"/>
    <mergeCell ref="M47:N47"/>
    <mergeCell ref="O47:P47"/>
    <mergeCell ref="Q47:R47"/>
    <mergeCell ref="BZ46:CA46"/>
    <mergeCell ref="CB46:CD46"/>
    <mergeCell ref="CE46:CG46"/>
    <mergeCell ref="CH46:CJ46"/>
    <mergeCell ref="CK46:CM46"/>
    <mergeCell ref="CN46:CO46"/>
    <mergeCell ref="BI46:BL46"/>
    <mergeCell ref="BM46:BO46"/>
    <mergeCell ref="BP46:BQ46"/>
    <mergeCell ref="BR46:BS46"/>
    <mergeCell ref="BU46:BW46"/>
    <mergeCell ref="BX46:BY46"/>
    <mergeCell ref="AV46:AW46"/>
    <mergeCell ref="AX46:AY46"/>
    <mergeCell ref="CP47:CR47"/>
    <mergeCell ref="CS47:CU47"/>
    <mergeCell ref="CW47:CZ47"/>
    <mergeCell ref="B48:E48"/>
    <mergeCell ref="F48:H48"/>
    <mergeCell ref="I48:J48"/>
    <mergeCell ref="K48:L48"/>
    <mergeCell ref="M48:N48"/>
    <mergeCell ref="O48:P48"/>
    <mergeCell ref="Q48:R48"/>
    <mergeCell ref="BZ47:CA47"/>
    <mergeCell ref="CB47:CD47"/>
    <mergeCell ref="CE47:CG47"/>
    <mergeCell ref="CH47:CJ47"/>
    <mergeCell ref="CK47:CM47"/>
    <mergeCell ref="CN47:CO47"/>
    <mergeCell ref="BI47:BL47"/>
    <mergeCell ref="BM47:BO47"/>
    <mergeCell ref="BP47:BQ47"/>
    <mergeCell ref="BR47:BS47"/>
    <mergeCell ref="BU47:BW47"/>
    <mergeCell ref="BX47:BY47"/>
    <mergeCell ref="AV47:AW47"/>
    <mergeCell ref="AX47:AY47"/>
    <mergeCell ref="BA47:BB47"/>
    <mergeCell ref="BC47:BD47"/>
    <mergeCell ref="BE47:BF47"/>
    <mergeCell ref="BG47:BH47"/>
    <mergeCell ref="AG47:AH47"/>
    <mergeCell ref="AI47:AJ47"/>
    <mergeCell ref="AK47:AL47"/>
    <mergeCell ref="AM47:AN47"/>
    <mergeCell ref="CS48:CU48"/>
    <mergeCell ref="CW48:CZ48"/>
    <mergeCell ref="B49:E49"/>
    <mergeCell ref="F49:H49"/>
    <mergeCell ref="I49:J49"/>
    <mergeCell ref="K49:L49"/>
    <mergeCell ref="M49:N49"/>
    <mergeCell ref="O49:P49"/>
    <mergeCell ref="Q49:R49"/>
    <mergeCell ref="BZ48:CA48"/>
    <mergeCell ref="CB48:CD48"/>
    <mergeCell ref="CE48:CG48"/>
    <mergeCell ref="CH48:CJ48"/>
    <mergeCell ref="CK48:CM48"/>
    <mergeCell ref="CN48:CO48"/>
    <mergeCell ref="BI48:BL48"/>
    <mergeCell ref="BM48:BO48"/>
    <mergeCell ref="BP48:BQ48"/>
    <mergeCell ref="BR48:BS48"/>
    <mergeCell ref="BU48:BW48"/>
    <mergeCell ref="BX48:BY48"/>
    <mergeCell ref="AV48:AW48"/>
    <mergeCell ref="AX48:AY48"/>
    <mergeCell ref="BA48:BB48"/>
    <mergeCell ref="BC48:BD48"/>
    <mergeCell ref="BE48:BF48"/>
    <mergeCell ref="BG48:BH48"/>
    <mergeCell ref="AG48:AH48"/>
    <mergeCell ref="AI48:AJ48"/>
    <mergeCell ref="AK48:AL48"/>
    <mergeCell ref="AM48:AN48"/>
    <mergeCell ref="AO48:AR48"/>
    <mergeCell ref="BA49:BB49"/>
    <mergeCell ref="BC49:BD49"/>
    <mergeCell ref="BE49:BF49"/>
    <mergeCell ref="BG49:BH49"/>
    <mergeCell ref="AG49:AH49"/>
    <mergeCell ref="AI49:AJ49"/>
    <mergeCell ref="AK49:AL49"/>
    <mergeCell ref="AM49:AN49"/>
    <mergeCell ref="AO49:AR49"/>
    <mergeCell ref="AS49:AU49"/>
    <mergeCell ref="S49:T49"/>
    <mergeCell ref="U49:W49"/>
    <mergeCell ref="X49:Z49"/>
    <mergeCell ref="AA49:AB49"/>
    <mergeCell ref="AC49:AD49"/>
    <mergeCell ref="AE49:AF49"/>
    <mergeCell ref="CP48:CR48"/>
    <mergeCell ref="AS48:AU48"/>
    <mergeCell ref="S48:T48"/>
    <mergeCell ref="U48:W48"/>
    <mergeCell ref="X48:Z48"/>
    <mergeCell ref="AA48:AB48"/>
    <mergeCell ref="AC48:AD48"/>
    <mergeCell ref="AE48:AF48"/>
    <mergeCell ref="AO50:AR50"/>
    <mergeCell ref="AS50:AU50"/>
    <mergeCell ref="S50:T50"/>
    <mergeCell ref="U50:W50"/>
    <mergeCell ref="X50:Z50"/>
    <mergeCell ref="AA50:AB50"/>
    <mergeCell ref="AC50:AD50"/>
    <mergeCell ref="AE50:AF50"/>
    <mergeCell ref="CP49:CR49"/>
    <mergeCell ref="CS49:CU49"/>
    <mergeCell ref="CW49:CZ49"/>
    <mergeCell ref="B50:E50"/>
    <mergeCell ref="F50:H50"/>
    <mergeCell ref="I50:J50"/>
    <mergeCell ref="K50:L50"/>
    <mergeCell ref="M50:N50"/>
    <mergeCell ref="O50:P50"/>
    <mergeCell ref="Q50:R50"/>
    <mergeCell ref="BZ49:CA49"/>
    <mergeCell ref="CB49:CD49"/>
    <mergeCell ref="CE49:CG49"/>
    <mergeCell ref="CH49:CJ49"/>
    <mergeCell ref="CK49:CM49"/>
    <mergeCell ref="CN49:CO49"/>
    <mergeCell ref="BI49:BL49"/>
    <mergeCell ref="BM49:BO49"/>
    <mergeCell ref="BP49:BQ49"/>
    <mergeCell ref="BR49:BS49"/>
    <mergeCell ref="BU49:BW49"/>
    <mergeCell ref="BX49:BY49"/>
    <mergeCell ref="AV49:AW49"/>
    <mergeCell ref="AX49:AY49"/>
    <mergeCell ref="CP50:CR50"/>
    <mergeCell ref="CS50:CU50"/>
    <mergeCell ref="CW50:CZ50"/>
    <mergeCell ref="B51:E51"/>
    <mergeCell ref="F51:H51"/>
    <mergeCell ref="I51:J51"/>
    <mergeCell ref="K51:L51"/>
    <mergeCell ref="M51:N51"/>
    <mergeCell ref="O51:P51"/>
    <mergeCell ref="Q51:R51"/>
    <mergeCell ref="BZ50:CA50"/>
    <mergeCell ref="CB50:CD50"/>
    <mergeCell ref="CE50:CG50"/>
    <mergeCell ref="CH50:CJ50"/>
    <mergeCell ref="CK50:CM50"/>
    <mergeCell ref="CN50:CO50"/>
    <mergeCell ref="BI50:BL50"/>
    <mergeCell ref="BM50:BO50"/>
    <mergeCell ref="BP50:BQ50"/>
    <mergeCell ref="BR50:BS50"/>
    <mergeCell ref="BU50:BW50"/>
    <mergeCell ref="BX50:BY50"/>
    <mergeCell ref="AV50:AW50"/>
    <mergeCell ref="AX50:AY50"/>
    <mergeCell ref="BA50:BB50"/>
    <mergeCell ref="BC50:BD50"/>
    <mergeCell ref="BE50:BF50"/>
    <mergeCell ref="BG50:BH50"/>
    <mergeCell ref="AG50:AH50"/>
    <mergeCell ref="AI50:AJ50"/>
    <mergeCell ref="AK50:AL50"/>
    <mergeCell ref="AM50:AN50"/>
    <mergeCell ref="CW51:CZ51"/>
    <mergeCell ref="B52:E52"/>
    <mergeCell ref="F52:H52"/>
    <mergeCell ref="I52:J52"/>
    <mergeCell ref="K52:L52"/>
    <mergeCell ref="M52:N52"/>
    <mergeCell ref="O52:P52"/>
    <mergeCell ref="Q52:R52"/>
    <mergeCell ref="BZ51:CA51"/>
    <mergeCell ref="CB51:CD51"/>
    <mergeCell ref="CE51:CG51"/>
    <mergeCell ref="CH51:CJ51"/>
    <mergeCell ref="CK51:CM51"/>
    <mergeCell ref="CN51:CO51"/>
    <mergeCell ref="BI51:BL51"/>
    <mergeCell ref="BM51:BO51"/>
    <mergeCell ref="BP51:BQ51"/>
    <mergeCell ref="BR51:BS51"/>
    <mergeCell ref="BU51:BW51"/>
    <mergeCell ref="BX51:BY51"/>
    <mergeCell ref="AV51:AW51"/>
    <mergeCell ref="AX51:AY51"/>
    <mergeCell ref="BA51:BB51"/>
    <mergeCell ref="BC51:BD51"/>
    <mergeCell ref="BE51:BF51"/>
    <mergeCell ref="BG51:BH51"/>
    <mergeCell ref="AG51:AH51"/>
    <mergeCell ref="AI51:AJ51"/>
    <mergeCell ref="AK51:AL51"/>
    <mergeCell ref="AM51:AN51"/>
    <mergeCell ref="AO51:AR51"/>
    <mergeCell ref="AO52:AR52"/>
    <mergeCell ref="S52:T52"/>
    <mergeCell ref="U52:W52"/>
    <mergeCell ref="X52:Z52"/>
    <mergeCell ref="AA52:AB52"/>
    <mergeCell ref="AC52:AD52"/>
    <mergeCell ref="AE52:AF52"/>
    <mergeCell ref="CP51:CR51"/>
    <mergeCell ref="AS51:AU51"/>
    <mergeCell ref="S51:T51"/>
    <mergeCell ref="U51:W51"/>
    <mergeCell ref="X51:Z51"/>
    <mergeCell ref="AA51:AB51"/>
    <mergeCell ref="AC51:AD51"/>
    <mergeCell ref="AE51:AF51"/>
    <mergeCell ref="CS51:CU51"/>
    <mergeCell ref="CP52:CR52"/>
    <mergeCell ref="CS52:CU52"/>
    <mergeCell ref="CW52:CZ52"/>
    <mergeCell ref="B53:E53"/>
    <mergeCell ref="F53:H53"/>
    <mergeCell ref="I53:J53"/>
    <mergeCell ref="K53:L53"/>
    <mergeCell ref="M53:N53"/>
    <mergeCell ref="O53:P53"/>
    <mergeCell ref="Q53:R53"/>
    <mergeCell ref="BZ52:CA52"/>
    <mergeCell ref="CB52:CD52"/>
    <mergeCell ref="CE52:CG52"/>
    <mergeCell ref="CH52:CJ52"/>
    <mergeCell ref="CK52:CM52"/>
    <mergeCell ref="CN52:CO52"/>
    <mergeCell ref="BI52:BL52"/>
    <mergeCell ref="BM52:BO52"/>
    <mergeCell ref="BP52:BQ52"/>
    <mergeCell ref="BR52:BS52"/>
    <mergeCell ref="BU52:BW52"/>
    <mergeCell ref="BX52:BY52"/>
    <mergeCell ref="AV52:AW52"/>
    <mergeCell ref="AX52:AY52"/>
    <mergeCell ref="BA52:BB52"/>
    <mergeCell ref="BC52:BD52"/>
    <mergeCell ref="BE52:BF52"/>
    <mergeCell ref="BG52:BH52"/>
    <mergeCell ref="AG52:AH52"/>
    <mergeCell ref="AI52:AJ52"/>
    <mergeCell ref="AK52:AL52"/>
    <mergeCell ref="AM52:AN52"/>
    <mergeCell ref="CW53:CZ53"/>
    <mergeCell ref="AS52:AU52"/>
    <mergeCell ref="B54:E54"/>
    <mergeCell ref="F54:H54"/>
    <mergeCell ref="I54:J54"/>
    <mergeCell ref="K54:L54"/>
    <mergeCell ref="M54:N54"/>
    <mergeCell ref="O54:P54"/>
    <mergeCell ref="Q54:R54"/>
    <mergeCell ref="BZ53:CA53"/>
    <mergeCell ref="CB53:CD53"/>
    <mergeCell ref="CE53:CG53"/>
    <mergeCell ref="CH53:CJ53"/>
    <mergeCell ref="CK53:CM53"/>
    <mergeCell ref="CN53:CO53"/>
    <mergeCell ref="BI53:BL53"/>
    <mergeCell ref="BM53:BO53"/>
    <mergeCell ref="BP53:BQ53"/>
    <mergeCell ref="BR53:BS53"/>
    <mergeCell ref="BU53:BW53"/>
    <mergeCell ref="BX53:BY53"/>
    <mergeCell ref="AV53:AW53"/>
    <mergeCell ref="AX53:AY53"/>
    <mergeCell ref="BA53:BB53"/>
    <mergeCell ref="BC53:BD53"/>
    <mergeCell ref="BE53:BF53"/>
    <mergeCell ref="BG53:BH53"/>
    <mergeCell ref="AG53:AH53"/>
    <mergeCell ref="AI53:AJ53"/>
    <mergeCell ref="AK53:AL53"/>
    <mergeCell ref="AM53:AN53"/>
    <mergeCell ref="AO53:AR53"/>
    <mergeCell ref="AS53:AU53"/>
    <mergeCell ref="BC54:BD54"/>
    <mergeCell ref="BE54:BF54"/>
    <mergeCell ref="BG54:BH54"/>
    <mergeCell ref="AG54:AH54"/>
    <mergeCell ref="AI54:AJ54"/>
    <mergeCell ref="AK54:AL54"/>
    <mergeCell ref="AM54:AN54"/>
    <mergeCell ref="AO54:AR54"/>
    <mergeCell ref="AS54:AU54"/>
    <mergeCell ref="S54:T54"/>
    <mergeCell ref="U54:W54"/>
    <mergeCell ref="X54:Z54"/>
    <mergeCell ref="AA54:AB54"/>
    <mergeCell ref="AC54:AD54"/>
    <mergeCell ref="AE54:AF54"/>
    <mergeCell ref="CP53:CR53"/>
    <mergeCell ref="CS53:CU53"/>
    <mergeCell ref="S53:T53"/>
    <mergeCell ref="U53:W53"/>
    <mergeCell ref="X53:Z53"/>
    <mergeCell ref="AA53:AB53"/>
    <mergeCell ref="AC53:AD53"/>
    <mergeCell ref="AE53:AF53"/>
    <mergeCell ref="AS55:AU55"/>
    <mergeCell ref="S55:T55"/>
    <mergeCell ref="U55:W55"/>
    <mergeCell ref="X55:Z55"/>
    <mergeCell ref="AA55:AB55"/>
    <mergeCell ref="AC55:AD55"/>
    <mergeCell ref="AE55:AF55"/>
    <mergeCell ref="CP54:CR54"/>
    <mergeCell ref="CS54:CU54"/>
    <mergeCell ref="CW54:CZ54"/>
    <mergeCell ref="B55:E55"/>
    <mergeCell ref="F55:H55"/>
    <mergeCell ref="I55:J55"/>
    <mergeCell ref="K55:L55"/>
    <mergeCell ref="M55:N55"/>
    <mergeCell ref="O55:P55"/>
    <mergeCell ref="Q55:R55"/>
    <mergeCell ref="BZ54:CA54"/>
    <mergeCell ref="CB54:CD54"/>
    <mergeCell ref="CE54:CG54"/>
    <mergeCell ref="CH54:CJ54"/>
    <mergeCell ref="CK54:CM54"/>
    <mergeCell ref="CN54:CO54"/>
    <mergeCell ref="BI54:BL54"/>
    <mergeCell ref="BM54:BO54"/>
    <mergeCell ref="BP54:BQ54"/>
    <mergeCell ref="BR54:BS54"/>
    <mergeCell ref="BU54:BW54"/>
    <mergeCell ref="BX54:BY54"/>
    <mergeCell ref="AV54:AW54"/>
    <mergeCell ref="AX54:AY54"/>
    <mergeCell ref="BA54:BB54"/>
    <mergeCell ref="A56:CN56"/>
    <mergeCell ref="A57:CN57"/>
    <mergeCell ref="A1:DD1"/>
    <mergeCell ref="A2:DD2"/>
    <mergeCell ref="A3:DD3"/>
    <mergeCell ref="A4:DD4"/>
    <mergeCell ref="CP55:CR55"/>
    <mergeCell ref="CS55:CU55"/>
    <mergeCell ref="CW55:CZ55"/>
    <mergeCell ref="BZ55:CA55"/>
    <mergeCell ref="CB55:CD55"/>
    <mergeCell ref="CE55:CG55"/>
    <mergeCell ref="CH55:CJ55"/>
    <mergeCell ref="CK55:CM55"/>
    <mergeCell ref="CN55:CO55"/>
    <mergeCell ref="BI55:BL55"/>
    <mergeCell ref="BM55:BO55"/>
    <mergeCell ref="BP55:BQ55"/>
    <mergeCell ref="BR55:BS55"/>
    <mergeCell ref="BU55:BW55"/>
    <mergeCell ref="BX55:BY55"/>
    <mergeCell ref="AV55:AW55"/>
    <mergeCell ref="AX55:AY55"/>
    <mergeCell ref="BA55:BB55"/>
    <mergeCell ref="BC55:BD55"/>
    <mergeCell ref="BE55:BF55"/>
    <mergeCell ref="BG55:BH55"/>
    <mergeCell ref="AG55:AH55"/>
    <mergeCell ref="AI55:AJ55"/>
    <mergeCell ref="AK55:AL55"/>
    <mergeCell ref="AM55:AN55"/>
    <mergeCell ref="AO55:AR55"/>
  </mergeCells>
  <pageMargins left="0.7" right="0.7" top="0.75" bottom="0.75" header="0.3" footer="0.3"/>
  <pageSetup paperSize="9" scale="4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view="pageBreakPreview" topLeftCell="A20" zoomScale="85" zoomScaleNormal="85" zoomScaleSheetLayoutView="85" workbookViewId="0">
      <selection activeCell="A3" sqref="A3:XFD3"/>
    </sheetView>
  </sheetViews>
  <sheetFormatPr defaultRowHeight="15"/>
  <cols>
    <col min="1" max="1" width="8" style="383" customWidth="1"/>
    <col min="2" max="2" width="160.1640625" style="383" customWidth="1"/>
    <col min="3" max="3" width="15.6640625" style="383" customWidth="1"/>
    <col min="4" max="16384" width="9.33203125" style="383"/>
  </cols>
  <sheetData>
    <row r="1" spans="1:2" ht="33.75">
      <c r="A1" s="1263" t="s">
        <v>566</v>
      </c>
      <c r="B1" s="1263"/>
    </row>
    <row r="2" spans="1:2" ht="33.75">
      <c r="A2" s="1263" t="s">
        <v>561</v>
      </c>
      <c r="B2" s="1263"/>
    </row>
    <row r="3" spans="1:2" ht="33.75">
      <c r="A3" s="1264" t="s">
        <v>550</v>
      </c>
      <c r="B3" s="1264"/>
    </row>
    <row r="4" spans="1:2" s="384" customFormat="1" ht="15" customHeight="1">
      <c r="A4" s="1265" t="s">
        <v>0</v>
      </c>
      <c r="B4" s="1267" t="s">
        <v>551</v>
      </c>
    </row>
    <row r="5" spans="1:2" s="384" customFormat="1" ht="48.75" customHeight="1">
      <c r="A5" s="1266"/>
      <c r="B5" s="1268"/>
    </row>
    <row r="6" spans="1:2" s="386" customFormat="1" ht="17.100000000000001" customHeight="1">
      <c r="A6" s="385"/>
      <c r="B6" s="654" t="s">
        <v>567</v>
      </c>
    </row>
    <row r="7" spans="1:2" s="389" customFormat="1" ht="17.25">
      <c r="A7" s="385">
        <v>1</v>
      </c>
      <c r="B7" s="387" t="s">
        <v>195</v>
      </c>
    </row>
    <row r="8" spans="1:2" s="389" customFormat="1" ht="17.25">
      <c r="A8" s="385">
        <v>2</v>
      </c>
      <c r="B8" s="387" t="s">
        <v>198</v>
      </c>
    </row>
    <row r="9" spans="1:2" s="389" customFormat="1" ht="17.25">
      <c r="A9" s="385">
        <v>3</v>
      </c>
      <c r="B9" s="387" t="s">
        <v>200</v>
      </c>
    </row>
    <row r="10" spans="1:2" s="389" customFormat="1" ht="17.25">
      <c r="A10" s="385">
        <v>4</v>
      </c>
      <c r="B10" s="387" t="s">
        <v>202</v>
      </c>
    </row>
    <row r="11" spans="1:2" s="389" customFormat="1" ht="17.25">
      <c r="A11" s="385">
        <v>5</v>
      </c>
      <c r="B11" s="387" t="s">
        <v>204</v>
      </c>
    </row>
    <row r="12" spans="1:2" s="389" customFormat="1" ht="17.25">
      <c r="A12" s="385">
        <v>6</v>
      </c>
      <c r="B12" s="387" t="s">
        <v>205</v>
      </c>
    </row>
    <row r="13" spans="1:2" s="389" customFormat="1" ht="17.25">
      <c r="A13" s="385">
        <v>7</v>
      </c>
      <c r="B13" s="387" t="s">
        <v>206</v>
      </c>
    </row>
    <row r="14" spans="1:2" s="386" customFormat="1" ht="17.25">
      <c r="A14" s="385"/>
      <c r="B14" s="392" t="s">
        <v>568</v>
      </c>
    </row>
    <row r="15" spans="1:2" s="389" customFormat="1" ht="17.25">
      <c r="A15" s="385">
        <v>8</v>
      </c>
      <c r="B15" s="387" t="s">
        <v>208</v>
      </c>
    </row>
    <row r="16" spans="1:2" s="389" customFormat="1" ht="17.25">
      <c r="A16" s="385">
        <v>9</v>
      </c>
      <c r="B16" s="387" t="s">
        <v>209</v>
      </c>
    </row>
    <row r="17" spans="1:2" s="389" customFormat="1" ht="17.25">
      <c r="A17" s="385">
        <v>10</v>
      </c>
      <c r="B17" s="387" t="s">
        <v>211</v>
      </c>
    </row>
    <row r="18" spans="1:2" s="389" customFormat="1" ht="17.25">
      <c r="A18" s="385">
        <v>11</v>
      </c>
      <c r="B18" s="387" t="s">
        <v>212</v>
      </c>
    </row>
    <row r="19" spans="1:2" s="389" customFormat="1" ht="17.25">
      <c r="A19" s="385">
        <v>12</v>
      </c>
      <c r="B19" s="387" t="s">
        <v>213</v>
      </c>
    </row>
    <row r="20" spans="1:2" s="389" customFormat="1" ht="17.25">
      <c r="A20" s="385">
        <v>13</v>
      </c>
      <c r="B20" s="387" t="s">
        <v>214</v>
      </c>
    </row>
    <row r="21" spans="1:2" s="389" customFormat="1" ht="17.25">
      <c r="A21" s="385">
        <v>14</v>
      </c>
      <c r="B21" s="387" t="s">
        <v>216</v>
      </c>
    </row>
    <row r="22" spans="1:2" s="389" customFormat="1" ht="17.25">
      <c r="A22" s="385"/>
      <c r="B22" s="392" t="s">
        <v>569</v>
      </c>
    </row>
    <row r="23" spans="1:2" s="389" customFormat="1" ht="17.25">
      <c r="A23" s="385">
        <v>15</v>
      </c>
      <c r="B23" s="387" t="s">
        <v>217</v>
      </c>
    </row>
    <row r="24" spans="1:2" s="389" customFormat="1" ht="17.25">
      <c r="A24" s="385">
        <v>16</v>
      </c>
      <c r="B24" s="387" t="s">
        <v>218</v>
      </c>
    </row>
    <row r="25" spans="1:2" s="389" customFormat="1" ht="17.25">
      <c r="A25" s="385">
        <v>17</v>
      </c>
      <c r="B25" s="387" t="s">
        <v>220</v>
      </c>
    </row>
    <row r="26" spans="1:2" s="389" customFormat="1" ht="17.25">
      <c r="A26" s="385">
        <v>18</v>
      </c>
      <c r="B26" s="387" t="s">
        <v>222</v>
      </c>
    </row>
    <row r="27" spans="1:2" s="389" customFormat="1" ht="17.25">
      <c r="A27" s="385">
        <v>19</v>
      </c>
      <c r="B27" s="387" t="s">
        <v>223</v>
      </c>
    </row>
    <row r="28" spans="1:2" s="389" customFormat="1" ht="17.25">
      <c r="A28" s="385">
        <v>20</v>
      </c>
      <c r="B28" s="387" t="s">
        <v>225</v>
      </c>
    </row>
    <row r="29" spans="1:2" s="389" customFormat="1" ht="17.25">
      <c r="A29" s="385">
        <v>21</v>
      </c>
      <c r="B29" s="387" t="s">
        <v>227</v>
      </c>
    </row>
    <row r="30" spans="1:2" s="389" customFormat="1" ht="17.25">
      <c r="A30" s="385">
        <v>22</v>
      </c>
      <c r="B30" s="387" t="s">
        <v>229</v>
      </c>
    </row>
    <row r="31" spans="1:2" s="389" customFormat="1" ht="17.25">
      <c r="A31" s="385">
        <v>23</v>
      </c>
      <c r="B31" s="390" t="s">
        <v>570</v>
      </c>
    </row>
    <row r="32" spans="1:2" s="391" customFormat="1" ht="36">
      <c r="A32" s="388"/>
      <c r="B32" s="393"/>
    </row>
    <row r="33" spans="2:2" ht="36" customHeight="1">
      <c r="B33" s="555">
        <f>COUNTA(A7:A31)</f>
        <v>23</v>
      </c>
    </row>
  </sheetData>
  <mergeCells count="5">
    <mergeCell ref="A1:B1"/>
    <mergeCell ref="A2:B2"/>
    <mergeCell ref="A3:B3"/>
    <mergeCell ref="A4:A5"/>
    <mergeCell ref="B4:B5"/>
  </mergeCells>
  <pageMargins left="0.23" right="0.21" top="0.31" bottom="0.31" header="0.3" footer="0.3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5"/>
  <sheetViews>
    <sheetView view="pageBreakPreview" zoomScale="30" zoomScaleSheetLayoutView="30" workbookViewId="0">
      <selection sqref="A1:DG1"/>
    </sheetView>
  </sheetViews>
  <sheetFormatPr defaultRowHeight="12.75"/>
  <cols>
    <col min="1" max="1" width="14.83203125" customWidth="1"/>
    <col min="7" max="7" width="255.5" customWidth="1"/>
    <col min="8" max="94" width="0" hidden="1" customWidth="1"/>
    <col min="95" max="95" width="41.1640625" hidden="1" customWidth="1"/>
    <col min="96" max="96" width="10.1640625" bestFit="1" customWidth="1"/>
    <col min="101" max="101" width="26.5" customWidth="1"/>
    <col min="103" max="103" width="22.1640625" customWidth="1"/>
    <col min="104" max="110" width="0" hidden="1" customWidth="1"/>
    <col min="111" max="111" width="109.1640625" customWidth="1"/>
  </cols>
  <sheetData>
    <row r="1" spans="1:111" s="51" customFormat="1" ht="90">
      <c r="A1" s="1269" t="s">
        <v>409</v>
      </c>
      <c r="B1" s="1270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  <c r="O1" s="1270"/>
      <c r="P1" s="1270"/>
      <c r="Q1" s="1270"/>
      <c r="R1" s="1270"/>
      <c r="S1" s="1270"/>
      <c r="T1" s="1270"/>
      <c r="U1" s="1270"/>
      <c r="V1" s="1270"/>
      <c r="W1" s="1270"/>
      <c r="X1" s="1270"/>
      <c r="Y1" s="1270"/>
      <c r="Z1" s="1270"/>
      <c r="AA1" s="1270"/>
      <c r="AB1" s="1270"/>
      <c r="AC1" s="1270"/>
      <c r="AD1" s="1270"/>
      <c r="AE1" s="1270"/>
      <c r="AF1" s="1270"/>
      <c r="AG1" s="1270"/>
      <c r="AH1" s="1270"/>
      <c r="AI1" s="1270"/>
      <c r="AJ1" s="1270"/>
      <c r="AK1" s="1270"/>
      <c r="AL1" s="1270"/>
      <c r="AM1" s="1270"/>
      <c r="AN1" s="1270"/>
      <c r="AO1" s="1270"/>
      <c r="AP1" s="1270"/>
      <c r="AQ1" s="1270"/>
      <c r="AR1" s="1270"/>
      <c r="AS1" s="1270"/>
      <c r="AT1" s="1270"/>
      <c r="AU1" s="1270"/>
      <c r="AV1" s="1270"/>
      <c r="AW1" s="1270"/>
      <c r="AX1" s="1270"/>
      <c r="AY1" s="1270"/>
      <c r="AZ1" s="1270"/>
      <c r="BA1" s="1270"/>
      <c r="BB1" s="1270"/>
      <c r="BC1" s="1270"/>
      <c r="BD1" s="1270"/>
      <c r="BE1" s="1270"/>
      <c r="BF1" s="1270"/>
      <c r="BG1" s="1270"/>
      <c r="BH1" s="1270"/>
      <c r="BI1" s="1270"/>
      <c r="BJ1" s="1270"/>
      <c r="BK1" s="1270"/>
      <c r="BL1" s="1270"/>
      <c r="BM1" s="1270"/>
      <c r="BN1" s="1270"/>
      <c r="BO1" s="1270"/>
      <c r="BP1" s="1270"/>
      <c r="BQ1" s="1270"/>
      <c r="BR1" s="1270"/>
      <c r="BS1" s="1270"/>
      <c r="BT1" s="1270"/>
      <c r="BU1" s="1270"/>
      <c r="BV1" s="1270"/>
      <c r="BW1" s="1270"/>
      <c r="BX1" s="1270"/>
      <c r="BY1" s="1270"/>
      <c r="BZ1" s="1270"/>
      <c r="CA1" s="1270"/>
      <c r="CB1" s="1270"/>
      <c r="CC1" s="1270"/>
      <c r="CD1" s="1270"/>
      <c r="CE1" s="1270"/>
      <c r="CF1" s="1270"/>
      <c r="CG1" s="1270"/>
      <c r="CH1" s="1270"/>
      <c r="CI1" s="1270"/>
      <c r="CJ1" s="1270"/>
      <c r="CK1" s="1270"/>
      <c r="CL1" s="1270"/>
      <c r="CM1" s="1270"/>
      <c r="CN1" s="1270"/>
      <c r="CO1" s="1270"/>
      <c r="CP1" s="1270"/>
      <c r="CQ1" s="1270"/>
      <c r="CR1" s="1270"/>
      <c r="CS1" s="1270"/>
      <c r="CT1" s="1270"/>
      <c r="CU1" s="1270"/>
      <c r="CV1" s="1270"/>
      <c r="CW1" s="1270"/>
      <c r="CX1" s="1270"/>
      <c r="CY1" s="1270"/>
      <c r="CZ1" s="1270"/>
      <c r="DA1" s="1270"/>
      <c r="DB1" s="1270"/>
      <c r="DC1" s="1270"/>
      <c r="DD1" s="1270"/>
      <c r="DE1" s="1270"/>
      <c r="DF1" s="1270"/>
      <c r="DG1" s="1271"/>
    </row>
    <row r="2" spans="1:111" s="51" customFormat="1" ht="90">
      <c r="A2" s="1272" t="s">
        <v>522</v>
      </c>
      <c r="B2" s="1273"/>
      <c r="C2" s="1273"/>
      <c r="D2" s="1273"/>
      <c r="E2" s="1273"/>
      <c r="F2" s="1273"/>
      <c r="G2" s="1273"/>
      <c r="H2" s="1273"/>
      <c r="I2" s="1273"/>
      <c r="J2" s="1273"/>
      <c r="K2" s="1273"/>
      <c r="L2" s="1273"/>
      <c r="M2" s="1273"/>
      <c r="N2" s="1273"/>
      <c r="O2" s="1273"/>
      <c r="P2" s="1273"/>
      <c r="Q2" s="1273"/>
      <c r="R2" s="1273"/>
      <c r="S2" s="1273"/>
      <c r="T2" s="1273"/>
      <c r="U2" s="1273"/>
      <c r="V2" s="1273"/>
      <c r="W2" s="1273"/>
      <c r="X2" s="1273"/>
      <c r="Y2" s="1273"/>
      <c r="Z2" s="1273"/>
      <c r="AA2" s="1273"/>
      <c r="AB2" s="1273"/>
      <c r="AC2" s="1273"/>
      <c r="AD2" s="1273"/>
      <c r="AE2" s="1273"/>
      <c r="AF2" s="1273"/>
      <c r="AG2" s="1273"/>
      <c r="AH2" s="1273"/>
      <c r="AI2" s="1273"/>
      <c r="AJ2" s="1273"/>
      <c r="AK2" s="1273"/>
      <c r="AL2" s="1273"/>
      <c r="AM2" s="1273"/>
      <c r="AN2" s="1273"/>
      <c r="AO2" s="1273"/>
      <c r="AP2" s="1273"/>
      <c r="AQ2" s="1273"/>
      <c r="AR2" s="1273"/>
      <c r="AS2" s="1273"/>
      <c r="AT2" s="1273"/>
      <c r="AU2" s="1273"/>
      <c r="AV2" s="1273"/>
      <c r="AW2" s="1273"/>
      <c r="AX2" s="1273"/>
      <c r="AY2" s="1273"/>
      <c r="AZ2" s="1273"/>
      <c r="BA2" s="1273"/>
      <c r="BB2" s="1273"/>
      <c r="BC2" s="1273"/>
      <c r="BD2" s="1273"/>
      <c r="BE2" s="1273"/>
      <c r="BF2" s="1273"/>
      <c r="BG2" s="1273"/>
      <c r="BH2" s="1273"/>
      <c r="BI2" s="1273"/>
      <c r="BJ2" s="1273"/>
      <c r="BK2" s="1273"/>
      <c r="BL2" s="1273"/>
      <c r="BM2" s="1273"/>
      <c r="BN2" s="1273"/>
      <c r="BO2" s="1273"/>
      <c r="BP2" s="1273"/>
      <c r="BQ2" s="1273"/>
      <c r="BR2" s="1273"/>
      <c r="BS2" s="1273"/>
      <c r="BT2" s="1273"/>
      <c r="BU2" s="1273"/>
      <c r="BV2" s="1273"/>
      <c r="BW2" s="1273"/>
      <c r="BX2" s="1273"/>
      <c r="BY2" s="1273"/>
      <c r="BZ2" s="1273"/>
      <c r="CA2" s="1273"/>
      <c r="CB2" s="1273"/>
      <c r="CC2" s="1273"/>
      <c r="CD2" s="1273"/>
      <c r="CE2" s="1273"/>
      <c r="CF2" s="1273"/>
      <c r="CG2" s="1273"/>
      <c r="CH2" s="1273"/>
      <c r="CI2" s="1273"/>
      <c r="CJ2" s="1273"/>
      <c r="CK2" s="1273"/>
      <c r="CL2" s="1273"/>
      <c r="CM2" s="1273"/>
      <c r="CN2" s="1273"/>
      <c r="CO2" s="1273"/>
      <c r="CP2" s="1273"/>
      <c r="CQ2" s="1273"/>
      <c r="CR2" s="1273"/>
      <c r="CS2" s="1273"/>
      <c r="CT2" s="1273"/>
      <c r="CU2" s="1273"/>
      <c r="CV2" s="1273"/>
      <c r="CW2" s="1273"/>
      <c r="CX2" s="1273"/>
      <c r="CY2" s="1273"/>
      <c r="CZ2" s="1273"/>
      <c r="DA2" s="1273"/>
      <c r="DB2" s="1273"/>
      <c r="DC2" s="1273"/>
      <c r="DD2" s="1273"/>
      <c r="DE2" s="1273"/>
      <c r="DF2" s="1273"/>
      <c r="DG2" s="1274"/>
    </row>
    <row r="3" spans="1:111" s="51" customFormat="1" ht="90">
      <c r="A3" s="1272" t="s">
        <v>523</v>
      </c>
      <c r="B3" s="1273"/>
      <c r="C3" s="1273"/>
      <c r="D3" s="1273"/>
      <c r="E3" s="1273"/>
      <c r="F3" s="1273"/>
      <c r="G3" s="1273"/>
      <c r="H3" s="1273"/>
      <c r="I3" s="1273"/>
      <c r="J3" s="1273"/>
      <c r="K3" s="1273"/>
      <c r="L3" s="1273"/>
      <c r="M3" s="1273"/>
      <c r="N3" s="1273"/>
      <c r="O3" s="1273"/>
      <c r="P3" s="1273"/>
      <c r="Q3" s="1273"/>
      <c r="R3" s="1273"/>
      <c r="S3" s="1273"/>
      <c r="T3" s="1273"/>
      <c r="U3" s="1273"/>
      <c r="V3" s="1273"/>
      <c r="W3" s="1273"/>
      <c r="X3" s="1273"/>
      <c r="Y3" s="1273"/>
      <c r="Z3" s="1273"/>
      <c r="AA3" s="1273"/>
      <c r="AB3" s="1273"/>
      <c r="AC3" s="1273"/>
      <c r="AD3" s="1273"/>
      <c r="AE3" s="1273"/>
      <c r="AF3" s="1273"/>
      <c r="AG3" s="1273"/>
      <c r="AH3" s="1273"/>
      <c r="AI3" s="1273"/>
      <c r="AJ3" s="1273"/>
      <c r="AK3" s="1273"/>
      <c r="AL3" s="1273"/>
      <c r="AM3" s="1273"/>
      <c r="AN3" s="1273"/>
      <c r="AO3" s="1273"/>
      <c r="AP3" s="1273"/>
      <c r="AQ3" s="1273"/>
      <c r="AR3" s="1273"/>
      <c r="AS3" s="1273"/>
      <c r="AT3" s="1273"/>
      <c r="AU3" s="1273"/>
      <c r="AV3" s="1273"/>
      <c r="AW3" s="1273"/>
      <c r="AX3" s="1273"/>
      <c r="AY3" s="1273"/>
      <c r="AZ3" s="1273"/>
      <c r="BA3" s="1273"/>
      <c r="BB3" s="1273"/>
      <c r="BC3" s="1273"/>
      <c r="BD3" s="1273"/>
      <c r="BE3" s="1273"/>
      <c r="BF3" s="1273"/>
      <c r="BG3" s="1273"/>
      <c r="BH3" s="1273"/>
      <c r="BI3" s="1273"/>
      <c r="BJ3" s="1273"/>
      <c r="BK3" s="1273"/>
      <c r="BL3" s="1273"/>
      <c r="BM3" s="1273"/>
      <c r="BN3" s="1273"/>
      <c r="BO3" s="1273"/>
      <c r="BP3" s="1273"/>
      <c r="BQ3" s="1273"/>
      <c r="BR3" s="1273"/>
      <c r="BS3" s="1273"/>
      <c r="BT3" s="1273"/>
      <c r="BU3" s="1273"/>
      <c r="BV3" s="1273"/>
      <c r="BW3" s="1273"/>
      <c r="BX3" s="1273"/>
      <c r="BY3" s="1273"/>
      <c r="BZ3" s="1273"/>
      <c r="CA3" s="1273"/>
      <c r="CB3" s="1273"/>
      <c r="CC3" s="1273"/>
      <c r="CD3" s="1273"/>
      <c r="CE3" s="1273"/>
      <c r="CF3" s="1273"/>
      <c r="CG3" s="1273"/>
      <c r="CH3" s="1273"/>
      <c r="CI3" s="1273"/>
      <c r="CJ3" s="1273"/>
      <c r="CK3" s="1273"/>
      <c r="CL3" s="1273"/>
      <c r="CM3" s="1273"/>
      <c r="CN3" s="1273"/>
      <c r="CO3" s="1273"/>
      <c r="CP3" s="1273"/>
      <c r="CQ3" s="1273"/>
      <c r="CR3" s="1273"/>
      <c r="CS3" s="1273"/>
      <c r="CT3" s="1273"/>
      <c r="CU3" s="1273"/>
      <c r="CV3" s="1273"/>
      <c r="CW3" s="1273"/>
      <c r="CX3" s="1273"/>
      <c r="CY3" s="1273"/>
      <c r="CZ3" s="1273"/>
      <c r="DA3" s="1273"/>
      <c r="DB3" s="1273"/>
      <c r="DC3" s="1273"/>
      <c r="DD3" s="1273"/>
      <c r="DE3" s="1273"/>
      <c r="DF3" s="1273"/>
      <c r="DG3" s="1274"/>
    </row>
    <row r="4" spans="1:111" s="51" customFormat="1" ht="90">
      <c r="A4" s="1275" t="s">
        <v>550</v>
      </c>
      <c r="B4" s="1276"/>
      <c r="C4" s="1276"/>
      <c r="D4" s="1276"/>
      <c r="E4" s="1276"/>
      <c r="F4" s="1276"/>
      <c r="G4" s="1276"/>
      <c r="H4" s="1276"/>
      <c r="I4" s="1276"/>
      <c r="J4" s="1276"/>
      <c r="K4" s="1276"/>
      <c r="L4" s="1276"/>
      <c r="M4" s="1276"/>
      <c r="N4" s="1276"/>
      <c r="O4" s="1276"/>
      <c r="P4" s="1276"/>
      <c r="Q4" s="1276"/>
      <c r="R4" s="1276"/>
      <c r="S4" s="1276"/>
      <c r="T4" s="1276"/>
      <c r="U4" s="1276"/>
      <c r="V4" s="1276"/>
      <c r="W4" s="1276"/>
      <c r="X4" s="1276"/>
      <c r="Y4" s="1276"/>
      <c r="Z4" s="1276"/>
      <c r="AA4" s="1276"/>
      <c r="AB4" s="1276"/>
      <c r="AC4" s="1276"/>
      <c r="AD4" s="1276"/>
      <c r="AE4" s="1276"/>
      <c r="AF4" s="1276"/>
      <c r="AG4" s="1276"/>
      <c r="AH4" s="1276"/>
      <c r="AI4" s="1276"/>
      <c r="AJ4" s="1276"/>
      <c r="AK4" s="1276"/>
      <c r="AL4" s="1276"/>
      <c r="AM4" s="1276"/>
      <c r="AN4" s="1276"/>
      <c r="AO4" s="1276"/>
      <c r="AP4" s="1276"/>
      <c r="AQ4" s="1276"/>
      <c r="AR4" s="1276"/>
      <c r="AS4" s="1276"/>
      <c r="AT4" s="1276"/>
      <c r="AU4" s="1276"/>
      <c r="AV4" s="1276"/>
      <c r="AW4" s="1276"/>
      <c r="AX4" s="1276"/>
      <c r="AY4" s="1276"/>
      <c r="AZ4" s="1276"/>
      <c r="BA4" s="1276"/>
      <c r="BB4" s="1276"/>
      <c r="BC4" s="1276"/>
      <c r="BD4" s="1276"/>
      <c r="BE4" s="1276"/>
      <c r="BF4" s="1276"/>
      <c r="BG4" s="1276"/>
      <c r="BH4" s="1276"/>
      <c r="BI4" s="1276"/>
      <c r="BJ4" s="1276"/>
      <c r="BK4" s="1276"/>
      <c r="BL4" s="1276"/>
      <c r="BM4" s="1276"/>
      <c r="BN4" s="1276"/>
      <c r="BO4" s="1276"/>
      <c r="BP4" s="1276"/>
      <c r="BQ4" s="1276"/>
      <c r="BR4" s="1276"/>
      <c r="BS4" s="1276"/>
      <c r="BT4" s="1276"/>
      <c r="BU4" s="1276"/>
      <c r="BV4" s="1276"/>
      <c r="BW4" s="1276"/>
      <c r="BX4" s="1276"/>
      <c r="BY4" s="1276"/>
      <c r="BZ4" s="1276"/>
      <c r="CA4" s="1276"/>
      <c r="CB4" s="1276"/>
      <c r="CC4" s="1276"/>
      <c r="CD4" s="1276"/>
      <c r="CE4" s="1276"/>
      <c r="CF4" s="1276"/>
      <c r="CG4" s="1276"/>
      <c r="CH4" s="1276"/>
      <c r="CI4" s="1276"/>
      <c r="CJ4" s="1276"/>
      <c r="CK4" s="1276"/>
      <c r="CL4" s="1276"/>
      <c r="CM4" s="1276"/>
      <c r="CN4" s="1276"/>
      <c r="CO4" s="1276"/>
      <c r="CP4" s="1276"/>
      <c r="CQ4" s="1276"/>
      <c r="CR4" s="1276"/>
      <c r="CS4" s="1276"/>
      <c r="CT4" s="1276"/>
      <c r="CU4" s="1276"/>
      <c r="CV4" s="1276"/>
      <c r="CW4" s="1276"/>
      <c r="CX4" s="1276"/>
      <c r="CY4" s="1276"/>
      <c r="CZ4" s="1276"/>
      <c r="DA4" s="1276"/>
      <c r="DB4" s="1276"/>
      <c r="DC4" s="1276"/>
      <c r="DD4" s="1276"/>
      <c r="DE4" s="1276"/>
      <c r="DF4" s="1276"/>
      <c r="DG4" s="1277"/>
    </row>
    <row r="5" spans="1:111" ht="25.5" customHeight="1">
      <c r="A5" s="1347" t="s">
        <v>0</v>
      </c>
      <c r="B5" s="1348" t="s">
        <v>517</v>
      </c>
      <c r="C5" s="1349"/>
      <c r="D5" s="1349"/>
      <c r="E5" s="1349"/>
      <c r="F5" s="1349"/>
      <c r="G5" s="1350"/>
      <c r="H5" s="1354" t="s">
        <v>29</v>
      </c>
      <c r="I5" s="1355"/>
      <c r="J5" s="1355"/>
      <c r="K5" s="1356"/>
      <c r="L5" s="1354" t="s">
        <v>30</v>
      </c>
      <c r="M5" s="1356"/>
      <c r="N5" s="1208" t="s">
        <v>1</v>
      </c>
      <c r="O5" s="1209"/>
      <c r="P5" s="1209"/>
      <c r="Q5" s="1209"/>
      <c r="R5" s="1209"/>
      <c r="S5" s="1209"/>
      <c r="T5" s="1209"/>
      <c r="U5" s="1209"/>
      <c r="V5" s="1210"/>
      <c r="W5" s="1208" t="s">
        <v>2</v>
      </c>
      <c r="X5" s="1209"/>
      <c r="Y5" s="1209"/>
      <c r="Z5" s="1209"/>
      <c r="AA5" s="1209"/>
      <c r="AB5" s="1209"/>
      <c r="AC5" s="1209"/>
      <c r="AD5" s="1209"/>
      <c r="AE5" s="1209"/>
      <c r="AF5" s="1210"/>
      <c r="AG5" s="1208" t="s">
        <v>3</v>
      </c>
      <c r="AH5" s="1209"/>
      <c r="AI5" s="1209"/>
      <c r="AJ5" s="1209"/>
      <c r="AK5" s="1209"/>
      <c r="AL5" s="1209"/>
      <c r="AM5" s="1209"/>
      <c r="AN5" s="1210"/>
      <c r="AO5" s="1337" t="s">
        <v>31</v>
      </c>
      <c r="AP5" s="1338"/>
      <c r="AQ5" s="1338"/>
      <c r="AR5" s="1338"/>
      <c r="AS5" s="1338"/>
      <c r="AT5" s="1338"/>
      <c r="AU5" s="1338"/>
      <c r="AV5" s="1338"/>
      <c r="AW5" s="1338"/>
      <c r="AX5" s="1338"/>
      <c r="AY5" s="1338"/>
      <c r="AZ5" s="1339"/>
      <c r="BA5" s="1208" t="s">
        <v>4</v>
      </c>
      <c r="BB5" s="1209"/>
      <c r="BC5" s="1209"/>
      <c r="BD5" s="1209"/>
      <c r="BE5" s="1209"/>
      <c r="BF5" s="1209"/>
      <c r="BG5" s="1209"/>
      <c r="BH5" s="1210"/>
      <c r="BI5" s="1208" t="s">
        <v>5</v>
      </c>
      <c r="BJ5" s="1209"/>
      <c r="BK5" s="1209"/>
      <c r="BL5" s="1209"/>
      <c r="BM5" s="1209"/>
      <c r="BN5" s="1209"/>
      <c r="BO5" s="1209"/>
      <c r="BP5" s="1209"/>
      <c r="BQ5" s="1209"/>
      <c r="BR5" s="1209"/>
      <c r="BS5" s="1210"/>
      <c r="BT5" s="1208" t="s">
        <v>6</v>
      </c>
      <c r="BU5" s="1209"/>
      <c r="BV5" s="1209"/>
      <c r="BW5" s="1209"/>
      <c r="BX5" s="1209"/>
      <c r="BY5" s="1209"/>
      <c r="BZ5" s="1209"/>
      <c r="CA5" s="1210"/>
      <c r="CB5" s="1212" t="s">
        <v>32</v>
      </c>
      <c r="CC5" s="1213"/>
      <c r="CD5" s="1213"/>
      <c r="CE5" s="1213"/>
      <c r="CF5" s="1213"/>
      <c r="CG5" s="1213"/>
      <c r="CH5" s="1213"/>
      <c r="CI5" s="1213"/>
      <c r="CJ5" s="1213"/>
      <c r="CK5" s="1213"/>
      <c r="CL5" s="1213"/>
      <c r="CM5" s="1213"/>
      <c r="CN5" s="1214"/>
      <c r="CO5" s="1343"/>
      <c r="CP5" s="1344"/>
      <c r="CQ5" s="1344"/>
      <c r="CR5" s="1344"/>
      <c r="CS5" s="1344"/>
      <c r="CT5" s="1344"/>
      <c r="CU5" s="1344"/>
      <c r="CV5" s="1344"/>
      <c r="CW5" s="1344"/>
      <c r="CX5" s="1344"/>
      <c r="CY5" s="1345"/>
      <c r="CZ5" s="1212" t="s">
        <v>7</v>
      </c>
      <c r="DA5" s="1213"/>
      <c r="DB5" s="1213"/>
      <c r="DC5" s="1213"/>
      <c r="DD5" s="1213"/>
      <c r="DE5" s="1214"/>
      <c r="DF5" s="1346" t="s">
        <v>33</v>
      </c>
      <c r="DG5" s="1297" t="s">
        <v>537</v>
      </c>
    </row>
    <row r="6" spans="1:111" ht="121.5" customHeight="1">
      <c r="A6" s="1233"/>
      <c r="B6" s="1351"/>
      <c r="C6" s="1352"/>
      <c r="D6" s="1352"/>
      <c r="E6" s="1352"/>
      <c r="F6" s="1352"/>
      <c r="G6" s="1353"/>
      <c r="H6" s="1243"/>
      <c r="I6" s="1244"/>
      <c r="J6" s="1244"/>
      <c r="K6" s="1245"/>
      <c r="L6" s="1243"/>
      <c r="M6" s="1245"/>
      <c r="N6" s="1226" t="s">
        <v>8</v>
      </c>
      <c r="O6" s="1227"/>
      <c r="P6" s="1208" t="s">
        <v>9</v>
      </c>
      <c r="Q6" s="1210"/>
      <c r="R6" s="1208" t="s">
        <v>10</v>
      </c>
      <c r="S6" s="1210"/>
      <c r="T6" s="1208" t="s">
        <v>11</v>
      </c>
      <c r="U6" s="1209"/>
      <c r="V6" s="1210"/>
      <c r="W6" s="1208" t="s">
        <v>8</v>
      </c>
      <c r="X6" s="1210"/>
      <c r="Y6" s="1208" t="s">
        <v>9</v>
      </c>
      <c r="Z6" s="1209"/>
      <c r="AA6" s="1210"/>
      <c r="AB6" s="1208" t="s">
        <v>10</v>
      </c>
      <c r="AC6" s="1209"/>
      <c r="AD6" s="1210"/>
      <c r="AE6" s="1340" t="s">
        <v>11</v>
      </c>
      <c r="AF6" s="1341"/>
      <c r="AG6" s="1208" t="s">
        <v>8</v>
      </c>
      <c r="AH6" s="1210"/>
      <c r="AI6" s="1208" t="s">
        <v>9</v>
      </c>
      <c r="AJ6" s="1210"/>
      <c r="AK6" s="1212" t="s">
        <v>10</v>
      </c>
      <c r="AL6" s="1214"/>
      <c r="AM6" s="1337" t="s">
        <v>11</v>
      </c>
      <c r="AN6" s="1339"/>
      <c r="AO6" s="1212" t="s">
        <v>8</v>
      </c>
      <c r="AP6" s="1213"/>
      <c r="AQ6" s="1214"/>
      <c r="AR6" s="1337" t="s">
        <v>9</v>
      </c>
      <c r="AS6" s="1338"/>
      <c r="AT6" s="1339"/>
      <c r="AU6" s="1208" t="s">
        <v>10</v>
      </c>
      <c r="AV6" s="1209"/>
      <c r="AW6" s="1210"/>
      <c r="AX6" s="1337" t="s">
        <v>11</v>
      </c>
      <c r="AY6" s="1338"/>
      <c r="AZ6" s="1339"/>
      <c r="BA6" s="164" t="s">
        <v>8</v>
      </c>
      <c r="BB6" s="1340" t="s">
        <v>9</v>
      </c>
      <c r="BC6" s="1341"/>
      <c r="BD6" s="1208" t="s">
        <v>10</v>
      </c>
      <c r="BE6" s="1210"/>
      <c r="BF6" s="1208" t="s">
        <v>11</v>
      </c>
      <c r="BG6" s="1209"/>
      <c r="BH6" s="1210"/>
      <c r="BI6" s="1208" t="s">
        <v>8</v>
      </c>
      <c r="BJ6" s="1210"/>
      <c r="BK6" s="1212" t="s">
        <v>9</v>
      </c>
      <c r="BL6" s="1214"/>
      <c r="BM6" s="1340" t="s">
        <v>10</v>
      </c>
      <c r="BN6" s="1342"/>
      <c r="BO6" s="1342"/>
      <c r="BP6" s="1341"/>
      <c r="BQ6" s="1337" t="s">
        <v>11</v>
      </c>
      <c r="BR6" s="1338"/>
      <c r="BS6" s="1339"/>
      <c r="BT6" s="164" t="s">
        <v>8</v>
      </c>
      <c r="BU6" s="1208" t="s">
        <v>9</v>
      </c>
      <c r="BV6" s="1209"/>
      <c r="BW6" s="1210"/>
      <c r="BX6" s="1208" t="s">
        <v>10</v>
      </c>
      <c r="BY6" s="1210"/>
      <c r="BZ6" s="1208" t="s">
        <v>11</v>
      </c>
      <c r="CA6" s="1210"/>
      <c r="CB6" s="1208" t="s">
        <v>8</v>
      </c>
      <c r="CC6" s="1209"/>
      <c r="CD6" s="1210"/>
      <c r="CE6" s="1337" t="s">
        <v>9</v>
      </c>
      <c r="CF6" s="1338"/>
      <c r="CG6" s="1339"/>
      <c r="CH6" s="1337" t="s">
        <v>10</v>
      </c>
      <c r="CI6" s="1338"/>
      <c r="CJ6" s="1339"/>
      <c r="CK6" s="1337" t="s">
        <v>11</v>
      </c>
      <c r="CL6" s="1338"/>
      <c r="CM6" s="1338"/>
      <c r="CN6" s="1339"/>
      <c r="CO6" s="1208" t="s">
        <v>8</v>
      </c>
      <c r="CP6" s="1209"/>
      <c r="CQ6" s="1210"/>
      <c r="CR6" s="1337" t="s">
        <v>9</v>
      </c>
      <c r="CS6" s="1338"/>
      <c r="CT6" s="1338"/>
      <c r="CU6" s="1339"/>
      <c r="CV6" s="1337" t="s">
        <v>10</v>
      </c>
      <c r="CW6" s="1339"/>
      <c r="CX6" s="1208" t="s">
        <v>11</v>
      </c>
      <c r="CY6" s="1210"/>
      <c r="CZ6" s="1337" t="s">
        <v>9</v>
      </c>
      <c r="DA6" s="1338"/>
      <c r="DB6" s="1339"/>
      <c r="DC6" s="1337" t="s">
        <v>10</v>
      </c>
      <c r="DD6" s="1339"/>
      <c r="DE6" s="141" t="s">
        <v>11</v>
      </c>
      <c r="DF6" s="1249"/>
      <c r="DG6" s="1298"/>
    </row>
    <row r="7" spans="1:111" ht="50.1" customHeight="1">
      <c r="A7" s="320">
        <v>1</v>
      </c>
      <c r="B7" s="1331" t="s">
        <v>195</v>
      </c>
      <c r="C7" s="1332"/>
      <c r="D7" s="1332"/>
      <c r="E7" s="1332"/>
      <c r="F7" s="1332"/>
      <c r="G7" s="1333"/>
      <c r="H7" s="1322" t="s">
        <v>196</v>
      </c>
      <c r="I7" s="1323"/>
      <c r="J7" s="1323"/>
      <c r="K7" s="1324"/>
      <c r="L7" s="1319" t="s">
        <v>197</v>
      </c>
      <c r="M7" s="1321"/>
      <c r="N7" s="1317">
        <v>7</v>
      </c>
      <c r="O7" s="1318"/>
      <c r="P7" s="1300">
        <v>281</v>
      </c>
      <c r="Q7" s="1302"/>
      <c r="R7" s="1300">
        <v>299</v>
      </c>
      <c r="S7" s="1302"/>
      <c r="T7" s="1300">
        <v>580</v>
      </c>
      <c r="U7" s="1301"/>
      <c r="V7" s="1302"/>
      <c r="W7" s="1300">
        <v>8</v>
      </c>
      <c r="X7" s="1302"/>
      <c r="Y7" s="1300">
        <v>324</v>
      </c>
      <c r="Z7" s="1301"/>
      <c r="AA7" s="1302"/>
      <c r="AB7" s="1300">
        <v>341</v>
      </c>
      <c r="AC7" s="1301"/>
      <c r="AD7" s="1302"/>
      <c r="AE7" s="1317">
        <v>665</v>
      </c>
      <c r="AF7" s="1318"/>
      <c r="AG7" s="1300">
        <v>8</v>
      </c>
      <c r="AH7" s="1302"/>
      <c r="AI7" s="1300">
        <v>313</v>
      </c>
      <c r="AJ7" s="1302"/>
      <c r="AK7" s="1294">
        <v>292</v>
      </c>
      <c r="AL7" s="1296"/>
      <c r="AM7" s="1294">
        <v>605</v>
      </c>
      <c r="AN7" s="1296"/>
      <c r="AO7" s="1294">
        <v>23</v>
      </c>
      <c r="AP7" s="1295"/>
      <c r="AQ7" s="1296"/>
      <c r="AR7" s="1294">
        <v>918</v>
      </c>
      <c r="AS7" s="1295"/>
      <c r="AT7" s="1296"/>
      <c r="AU7" s="1300">
        <v>932</v>
      </c>
      <c r="AV7" s="1301"/>
      <c r="AW7" s="1302"/>
      <c r="AX7" s="1294">
        <v>1850</v>
      </c>
      <c r="AY7" s="1295"/>
      <c r="AZ7" s="1296"/>
      <c r="BA7" s="167">
        <v>0</v>
      </c>
      <c r="BB7" s="1317">
        <v>0</v>
      </c>
      <c r="BC7" s="1318"/>
      <c r="BD7" s="1300">
        <v>0</v>
      </c>
      <c r="BE7" s="1302"/>
      <c r="BF7" s="1300">
        <v>0</v>
      </c>
      <c r="BG7" s="1301"/>
      <c r="BH7" s="1302"/>
      <c r="BI7" s="1300">
        <v>0</v>
      </c>
      <c r="BJ7" s="1302"/>
      <c r="BK7" s="1294">
        <v>0</v>
      </c>
      <c r="BL7" s="1296"/>
      <c r="BM7" s="1317">
        <v>0</v>
      </c>
      <c r="BN7" s="1330"/>
      <c r="BO7" s="1330"/>
      <c r="BP7" s="1318"/>
      <c r="BQ7" s="1327">
        <v>0</v>
      </c>
      <c r="BR7" s="1328"/>
      <c r="BS7" s="1329"/>
      <c r="BT7" s="167">
        <v>0</v>
      </c>
      <c r="BU7" s="1300">
        <v>0</v>
      </c>
      <c r="BV7" s="1301"/>
      <c r="BW7" s="1302"/>
      <c r="BX7" s="1300">
        <v>0</v>
      </c>
      <c r="BY7" s="1302"/>
      <c r="BZ7" s="1300">
        <v>0</v>
      </c>
      <c r="CA7" s="1302"/>
      <c r="CB7" s="1300">
        <v>0</v>
      </c>
      <c r="CC7" s="1301"/>
      <c r="CD7" s="1302"/>
      <c r="CE7" s="1327">
        <v>0</v>
      </c>
      <c r="CF7" s="1328"/>
      <c r="CG7" s="1329"/>
      <c r="CH7" s="1327">
        <v>0</v>
      </c>
      <c r="CI7" s="1328"/>
      <c r="CJ7" s="1329"/>
      <c r="CK7" s="1327">
        <v>0</v>
      </c>
      <c r="CL7" s="1328"/>
      <c r="CM7" s="1328"/>
      <c r="CN7" s="1329"/>
      <c r="CO7" s="1300">
        <v>23</v>
      </c>
      <c r="CP7" s="1301"/>
      <c r="CQ7" s="1302"/>
      <c r="CR7" s="1300"/>
      <c r="CS7" s="1301"/>
      <c r="CT7" s="1301"/>
      <c r="CU7" s="1302"/>
      <c r="CV7" s="1300"/>
      <c r="CW7" s="1302"/>
      <c r="CX7" s="1300">
        <f>CR7+CV7</f>
        <v>0</v>
      </c>
      <c r="CY7" s="1302"/>
      <c r="CZ7" s="1294">
        <v>10</v>
      </c>
      <c r="DA7" s="1295"/>
      <c r="DB7" s="1296"/>
      <c r="DC7" s="1294">
        <v>16</v>
      </c>
      <c r="DD7" s="1296"/>
      <c r="DE7" s="166">
        <v>26</v>
      </c>
      <c r="DF7" s="168" t="s">
        <v>35</v>
      </c>
      <c r="DG7" s="321">
        <f>IF(CX7=0,0,IF(CX7&lt;1001,30000 * 3,IF(CX7="","",50000*3)))</f>
        <v>0</v>
      </c>
    </row>
    <row r="8" spans="1:111" ht="50.1" customHeight="1">
      <c r="A8" s="320">
        <v>2</v>
      </c>
      <c r="B8" s="1331" t="s">
        <v>198</v>
      </c>
      <c r="C8" s="1332"/>
      <c r="D8" s="1332"/>
      <c r="E8" s="1332"/>
      <c r="F8" s="1332"/>
      <c r="G8" s="1333"/>
      <c r="H8" s="1322" t="s">
        <v>196</v>
      </c>
      <c r="I8" s="1323"/>
      <c r="J8" s="1323"/>
      <c r="K8" s="1324"/>
      <c r="L8" s="1319" t="s">
        <v>199</v>
      </c>
      <c r="M8" s="1321"/>
      <c r="N8" s="1317">
        <v>2</v>
      </c>
      <c r="O8" s="1318"/>
      <c r="P8" s="1300">
        <v>63</v>
      </c>
      <c r="Q8" s="1302"/>
      <c r="R8" s="1300">
        <v>47</v>
      </c>
      <c r="S8" s="1302"/>
      <c r="T8" s="1300">
        <v>110</v>
      </c>
      <c r="U8" s="1301"/>
      <c r="V8" s="1302"/>
      <c r="W8" s="1300">
        <v>2</v>
      </c>
      <c r="X8" s="1302"/>
      <c r="Y8" s="1300">
        <v>61</v>
      </c>
      <c r="Z8" s="1301"/>
      <c r="AA8" s="1302"/>
      <c r="AB8" s="1300">
        <v>56</v>
      </c>
      <c r="AC8" s="1301"/>
      <c r="AD8" s="1302"/>
      <c r="AE8" s="1317">
        <v>117</v>
      </c>
      <c r="AF8" s="1318"/>
      <c r="AG8" s="1300">
        <v>2</v>
      </c>
      <c r="AH8" s="1302"/>
      <c r="AI8" s="1300">
        <v>51</v>
      </c>
      <c r="AJ8" s="1302"/>
      <c r="AK8" s="1294">
        <v>43</v>
      </c>
      <c r="AL8" s="1296"/>
      <c r="AM8" s="1294">
        <v>94</v>
      </c>
      <c r="AN8" s="1296"/>
      <c r="AO8" s="1294">
        <v>6</v>
      </c>
      <c r="AP8" s="1295"/>
      <c r="AQ8" s="1296"/>
      <c r="AR8" s="1294">
        <v>175</v>
      </c>
      <c r="AS8" s="1295"/>
      <c r="AT8" s="1296"/>
      <c r="AU8" s="1300">
        <v>146</v>
      </c>
      <c r="AV8" s="1301"/>
      <c r="AW8" s="1302"/>
      <c r="AX8" s="1294">
        <v>321</v>
      </c>
      <c r="AY8" s="1295"/>
      <c r="AZ8" s="1296"/>
      <c r="BA8" s="167">
        <v>0</v>
      </c>
      <c r="BB8" s="1317">
        <v>0</v>
      </c>
      <c r="BC8" s="1318"/>
      <c r="BD8" s="1300">
        <v>0</v>
      </c>
      <c r="BE8" s="1302"/>
      <c r="BF8" s="1300">
        <v>0</v>
      </c>
      <c r="BG8" s="1301"/>
      <c r="BH8" s="1302"/>
      <c r="BI8" s="1300">
        <v>0</v>
      </c>
      <c r="BJ8" s="1302"/>
      <c r="BK8" s="1294">
        <v>0</v>
      </c>
      <c r="BL8" s="1296"/>
      <c r="BM8" s="1317">
        <v>0</v>
      </c>
      <c r="BN8" s="1330"/>
      <c r="BO8" s="1330"/>
      <c r="BP8" s="1318"/>
      <c r="BQ8" s="1327">
        <v>0</v>
      </c>
      <c r="BR8" s="1328"/>
      <c r="BS8" s="1329"/>
      <c r="BT8" s="167">
        <v>0</v>
      </c>
      <c r="BU8" s="1300">
        <v>0</v>
      </c>
      <c r="BV8" s="1301"/>
      <c r="BW8" s="1302"/>
      <c r="BX8" s="1300">
        <v>0</v>
      </c>
      <c r="BY8" s="1302"/>
      <c r="BZ8" s="1300">
        <v>0</v>
      </c>
      <c r="CA8" s="1302"/>
      <c r="CB8" s="1300">
        <v>0</v>
      </c>
      <c r="CC8" s="1301"/>
      <c r="CD8" s="1302"/>
      <c r="CE8" s="1327">
        <v>0</v>
      </c>
      <c r="CF8" s="1328"/>
      <c r="CG8" s="1329"/>
      <c r="CH8" s="1327">
        <v>0</v>
      </c>
      <c r="CI8" s="1328"/>
      <c r="CJ8" s="1329"/>
      <c r="CK8" s="1327">
        <v>0</v>
      </c>
      <c r="CL8" s="1328"/>
      <c r="CM8" s="1328"/>
      <c r="CN8" s="1329"/>
      <c r="CO8" s="1300">
        <v>6</v>
      </c>
      <c r="CP8" s="1301"/>
      <c r="CQ8" s="1302"/>
      <c r="CR8" s="1300"/>
      <c r="CS8" s="1301"/>
      <c r="CT8" s="1301"/>
      <c r="CU8" s="1302"/>
      <c r="CV8" s="1300"/>
      <c r="CW8" s="1302"/>
      <c r="CX8" s="1300">
        <f t="shared" ref="CX8:CX28" si="0">CR8+CV8</f>
        <v>0</v>
      </c>
      <c r="CY8" s="1302"/>
      <c r="CZ8" s="1327">
        <v>5</v>
      </c>
      <c r="DA8" s="1328"/>
      <c r="DB8" s="1329"/>
      <c r="DC8" s="1294">
        <v>11</v>
      </c>
      <c r="DD8" s="1296"/>
      <c r="DE8" s="166">
        <v>16</v>
      </c>
      <c r="DF8" s="168" t="s">
        <v>35</v>
      </c>
      <c r="DG8" s="321">
        <f t="shared" ref="DG8:DG28" si="1">IF(CX8=0,0,IF(CX8&lt;1001,30000 * 3,IF(CX8="","",50000*3)))</f>
        <v>0</v>
      </c>
    </row>
    <row r="9" spans="1:111" ht="50.1" customHeight="1">
      <c r="A9" s="320">
        <v>3</v>
      </c>
      <c r="B9" s="1331" t="s">
        <v>200</v>
      </c>
      <c r="C9" s="1332"/>
      <c r="D9" s="1332"/>
      <c r="E9" s="1332"/>
      <c r="F9" s="1332"/>
      <c r="G9" s="1333"/>
      <c r="H9" s="1334" t="s">
        <v>196</v>
      </c>
      <c r="I9" s="1335"/>
      <c r="J9" s="1335"/>
      <c r="K9" s="1336"/>
      <c r="L9" s="1331" t="s">
        <v>201</v>
      </c>
      <c r="M9" s="1333"/>
      <c r="N9" s="1317">
        <v>3</v>
      </c>
      <c r="O9" s="1318"/>
      <c r="P9" s="1300">
        <v>202</v>
      </c>
      <c r="Q9" s="1302"/>
      <c r="R9" s="1300">
        <v>154</v>
      </c>
      <c r="S9" s="1302"/>
      <c r="T9" s="1300">
        <v>356</v>
      </c>
      <c r="U9" s="1301"/>
      <c r="V9" s="1302"/>
      <c r="W9" s="1300">
        <v>3</v>
      </c>
      <c r="X9" s="1302"/>
      <c r="Y9" s="1300">
        <v>239</v>
      </c>
      <c r="Z9" s="1301"/>
      <c r="AA9" s="1302"/>
      <c r="AB9" s="1300">
        <v>194</v>
      </c>
      <c r="AC9" s="1301"/>
      <c r="AD9" s="1302"/>
      <c r="AE9" s="1317">
        <v>433</v>
      </c>
      <c r="AF9" s="1318"/>
      <c r="AG9" s="1300">
        <v>3</v>
      </c>
      <c r="AH9" s="1302"/>
      <c r="AI9" s="1300">
        <v>163</v>
      </c>
      <c r="AJ9" s="1302"/>
      <c r="AK9" s="1294">
        <v>158</v>
      </c>
      <c r="AL9" s="1296"/>
      <c r="AM9" s="1294">
        <v>321</v>
      </c>
      <c r="AN9" s="1296"/>
      <c r="AO9" s="1294">
        <v>9</v>
      </c>
      <c r="AP9" s="1295"/>
      <c r="AQ9" s="1296"/>
      <c r="AR9" s="1294">
        <v>604</v>
      </c>
      <c r="AS9" s="1295"/>
      <c r="AT9" s="1296"/>
      <c r="AU9" s="1300">
        <v>506</v>
      </c>
      <c r="AV9" s="1301"/>
      <c r="AW9" s="1302"/>
      <c r="AX9" s="1294">
        <v>1110</v>
      </c>
      <c r="AY9" s="1295"/>
      <c r="AZ9" s="1296"/>
      <c r="BA9" s="167">
        <v>0</v>
      </c>
      <c r="BB9" s="1317">
        <v>0</v>
      </c>
      <c r="BC9" s="1318"/>
      <c r="BD9" s="1300">
        <v>0</v>
      </c>
      <c r="BE9" s="1302"/>
      <c r="BF9" s="1300">
        <v>0</v>
      </c>
      <c r="BG9" s="1301"/>
      <c r="BH9" s="1302"/>
      <c r="BI9" s="1300">
        <v>0</v>
      </c>
      <c r="BJ9" s="1302"/>
      <c r="BK9" s="1294">
        <v>0</v>
      </c>
      <c r="BL9" s="1296"/>
      <c r="BM9" s="1317">
        <v>0</v>
      </c>
      <c r="BN9" s="1330"/>
      <c r="BO9" s="1330"/>
      <c r="BP9" s="1318"/>
      <c r="BQ9" s="1327">
        <v>0</v>
      </c>
      <c r="BR9" s="1328"/>
      <c r="BS9" s="1329"/>
      <c r="BT9" s="167">
        <v>0</v>
      </c>
      <c r="BU9" s="1300">
        <v>0</v>
      </c>
      <c r="BV9" s="1301"/>
      <c r="BW9" s="1302"/>
      <c r="BX9" s="1300">
        <v>0</v>
      </c>
      <c r="BY9" s="1302"/>
      <c r="BZ9" s="1300">
        <v>0</v>
      </c>
      <c r="CA9" s="1302"/>
      <c r="CB9" s="1300">
        <v>0</v>
      </c>
      <c r="CC9" s="1301"/>
      <c r="CD9" s="1302"/>
      <c r="CE9" s="1327">
        <v>0</v>
      </c>
      <c r="CF9" s="1328"/>
      <c r="CG9" s="1329"/>
      <c r="CH9" s="1327">
        <v>0</v>
      </c>
      <c r="CI9" s="1328"/>
      <c r="CJ9" s="1329"/>
      <c r="CK9" s="1327">
        <v>0</v>
      </c>
      <c r="CL9" s="1328"/>
      <c r="CM9" s="1328"/>
      <c r="CN9" s="1329"/>
      <c r="CO9" s="1300">
        <v>9</v>
      </c>
      <c r="CP9" s="1301"/>
      <c r="CQ9" s="1302"/>
      <c r="CR9" s="1300"/>
      <c r="CS9" s="1301"/>
      <c r="CT9" s="1301"/>
      <c r="CU9" s="1302"/>
      <c r="CV9" s="1300"/>
      <c r="CW9" s="1302"/>
      <c r="CX9" s="1300">
        <f t="shared" si="0"/>
        <v>0</v>
      </c>
      <c r="CY9" s="1302"/>
      <c r="CZ9" s="1327">
        <v>7</v>
      </c>
      <c r="DA9" s="1328"/>
      <c r="DB9" s="1329"/>
      <c r="DC9" s="1327">
        <v>5</v>
      </c>
      <c r="DD9" s="1329"/>
      <c r="DE9" s="166">
        <v>12</v>
      </c>
      <c r="DF9" s="168" t="s">
        <v>35</v>
      </c>
      <c r="DG9" s="321">
        <f t="shared" si="1"/>
        <v>0</v>
      </c>
    </row>
    <row r="10" spans="1:111" ht="50.1" customHeight="1">
      <c r="A10" s="320">
        <v>4</v>
      </c>
      <c r="B10" s="1319" t="s">
        <v>202</v>
      </c>
      <c r="C10" s="1320"/>
      <c r="D10" s="1320"/>
      <c r="E10" s="1320"/>
      <c r="F10" s="1320"/>
      <c r="G10" s="1321"/>
      <c r="H10" s="1322" t="s">
        <v>196</v>
      </c>
      <c r="I10" s="1323"/>
      <c r="J10" s="1323"/>
      <c r="K10" s="1324"/>
      <c r="L10" s="1319" t="s">
        <v>203</v>
      </c>
      <c r="M10" s="1321"/>
      <c r="N10" s="1317">
        <v>2</v>
      </c>
      <c r="O10" s="1318"/>
      <c r="P10" s="1300">
        <v>80</v>
      </c>
      <c r="Q10" s="1302"/>
      <c r="R10" s="1300">
        <v>67</v>
      </c>
      <c r="S10" s="1302"/>
      <c r="T10" s="1300">
        <v>147</v>
      </c>
      <c r="U10" s="1301"/>
      <c r="V10" s="1302"/>
      <c r="W10" s="1300">
        <v>2</v>
      </c>
      <c r="X10" s="1302"/>
      <c r="Y10" s="1300">
        <v>58</v>
      </c>
      <c r="Z10" s="1301"/>
      <c r="AA10" s="1302"/>
      <c r="AB10" s="1300">
        <v>39</v>
      </c>
      <c r="AC10" s="1301"/>
      <c r="AD10" s="1302"/>
      <c r="AE10" s="1317">
        <v>97</v>
      </c>
      <c r="AF10" s="1318"/>
      <c r="AG10" s="1300">
        <v>2</v>
      </c>
      <c r="AH10" s="1302"/>
      <c r="AI10" s="1300">
        <v>56</v>
      </c>
      <c r="AJ10" s="1302"/>
      <c r="AK10" s="1294">
        <v>50</v>
      </c>
      <c r="AL10" s="1296"/>
      <c r="AM10" s="1294">
        <v>106</v>
      </c>
      <c r="AN10" s="1296"/>
      <c r="AO10" s="1294">
        <v>6</v>
      </c>
      <c r="AP10" s="1295"/>
      <c r="AQ10" s="1296"/>
      <c r="AR10" s="1294">
        <v>194</v>
      </c>
      <c r="AS10" s="1295"/>
      <c r="AT10" s="1296"/>
      <c r="AU10" s="1300">
        <v>156</v>
      </c>
      <c r="AV10" s="1301"/>
      <c r="AW10" s="1302"/>
      <c r="AX10" s="1294">
        <v>350</v>
      </c>
      <c r="AY10" s="1295"/>
      <c r="AZ10" s="1296"/>
      <c r="BA10" s="167">
        <v>0</v>
      </c>
      <c r="BB10" s="1317">
        <v>0</v>
      </c>
      <c r="BC10" s="1318"/>
      <c r="BD10" s="1300">
        <v>0</v>
      </c>
      <c r="BE10" s="1302"/>
      <c r="BF10" s="1300">
        <v>0</v>
      </c>
      <c r="BG10" s="1301"/>
      <c r="BH10" s="1302"/>
      <c r="BI10" s="1300">
        <v>0</v>
      </c>
      <c r="BJ10" s="1302"/>
      <c r="BK10" s="1294">
        <v>0</v>
      </c>
      <c r="BL10" s="1296"/>
      <c r="BM10" s="1317">
        <v>0</v>
      </c>
      <c r="BN10" s="1330"/>
      <c r="BO10" s="1330"/>
      <c r="BP10" s="1318"/>
      <c r="BQ10" s="1327">
        <v>0</v>
      </c>
      <c r="BR10" s="1328"/>
      <c r="BS10" s="1329"/>
      <c r="BT10" s="167">
        <v>0</v>
      </c>
      <c r="BU10" s="1300">
        <v>0</v>
      </c>
      <c r="BV10" s="1301"/>
      <c r="BW10" s="1302"/>
      <c r="BX10" s="1300">
        <v>0</v>
      </c>
      <c r="BY10" s="1302"/>
      <c r="BZ10" s="1300">
        <v>0</v>
      </c>
      <c r="CA10" s="1302"/>
      <c r="CB10" s="1300">
        <v>0</v>
      </c>
      <c r="CC10" s="1301"/>
      <c r="CD10" s="1302"/>
      <c r="CE10" s="1327">
        <v>0</v>
      </c>
      <c r="CF10" s="1328"/>
      <c r="CG10" s="1329"/>
      <c r="CH10" s="1327">
        <v>0</v>
      </c>
      <c r="CI10" s="1328"/>
      <c r="CJ10" s="1329"/>
      <c r="CK10" s="1327">
        <v>0</v>
      </c>
      <c r="CL10" s="1328"/>
      <c r="CM10" s="1328"/>
      <c r="CN10" s="1329"/>
      <c r="CO10" s="1300">
        <v>6</v>
      </c>
      <c r="CP10" s="1301"/>
      <c r="CQ10" s="1302"/>
      <c r="CR10" s="1300"/>
      <c r="CS10" s="1301"/>
      <c r="CT10" s="1301"/>
      <c r="CU10" s="1302"/>
      <c r="CV10" s="1300"/>
      <c r="CW10" s="1302"/>
      <c r="CX10" s="1300">
        <f t="shared" si="0"/>
        <v>0</v>
      </c>
      <c r="CY10" s="1302"/>
      <c r="CZ10" s="1327">
        <v>3</v>
      </c>
      <c r="DA10" s="1328"/>
      <c r="DB10" s="1329"/>
      <c r="DC10" s="1327">
        <v>7</v>
      </c>
      <c r="DD10" s="1329"/>
      <c r="DE10" s="166">
        <v>10</v>
      </c>
      <c r="DF10" s="168" t="s">
        <v>35</v>
      </c>
      <c r="DG10" s="321">
        <f t="shared" si="1"/>
        <v>0</v>
      </c>
    </row>
    <row r="11" spans="1:111" ht="50.1" customHeight="1">
      <c r="A11" s="320">
        <v>5</v>
      </c>
      <c r="B11" s="1319" t="s">
        <v>204</v>
      </c>
      <c r="C11" s="1320"/>
      <c r="D11" s="1320"/>
      <c r="E11" s="1320"/>
      <c r="F11" s="1320"/>
      <c r="G11" s="1321"/>
      <c r="H11" s="1322" t="s">
        <v>196</v>
      </c>
      <c r="I11" s="1323"/>
      <c r="J11" s="1323"/>
      <c r="K11" s="1324"/>
      <c r="L11" s="1319" t="s">
        <v>201</v>
      </c>
      <c r="M11" s="1321"/>
      <c r="N11" s="1317">
        <v>4</v>
      </c>
      <c r="O11" s="1318"/>
      <c r="P11" s="1300">
        <v>97</v>
      </c>
      <c r="Q11" s="1302"/>
      <c r="R11" s="1300">
        <v>91</v>
      </c>
      <c r="S11" s="1302"/>
      <c r="T11" s="1300">
        <v>188</v>
      </c>
      <c r="U11" s="1301"/>
      <c r="V11" s="1302"/>
      <c r="W11" s="1300">
        <v>4</v>
      </c>
      <c r="X11" s="1302"/>
      <c r="Y11" s="1300">
        <v>94</v>
      </c>
      <c r="Z11" s="1301"/>
      <c r="AA11" s="1302"/>
      <c r="AB11" s="1300">
        <v>99</v>
      </c>
      <c r="AC11" s="1301"/>
      <c r="AD11" s="1302"/>
      <c r="AE11" s="1317">
        <v>193</v>
      </c>
      <c r="AF11" s="1318"/>
      <c r="AG11" s="1300">
        <v>4</v>
      </c>
      <c r="AH11" s="1302"/>
      <c r="AI11" s="1300">
        <v>100</v>
      </c>
      <c r="AJ11" s="1302"/>
      <c r="AK11" s="1294">
        <v>76</v>
      </c>
      <c r="AL11" s="1296"/>
      <c r="AM11" s="1294">
        <v>176</v>
      </c>
      <c r="AN11" s="1296"/>
      <c r="AO11" s="1294">
        <v>12</v>
      </c>
      <c r="AP11" s="1295"/>
      <c r="AQ11" s="1296"/>
      <c r="AR11" s="1294">
        <v>291</v>
      </c>
      <c r="AS11" s="1295"/>
      <c r="AT11" s="1296"/>
      <c r="AU11" s="1300">
        <v>266</v>
      </c>
      <c r="AV11" s="1301"/>
      <c r="AW11" s="1302"/>
      <c r="AX11" s="1294">
        <v>557</v>
      </c>
      <c r="AY11" s="1295"/>
      <c r="AZ11" s="1296"/>
      <c r="BA11" s="167">
        <v>0</v>
      </c>
      <c r="BB11" s="1317">
        <v>0</v>
      </c>
      <c r="BC11" s="1318"/>
      <c r="BD11" s="1300">
        <v>0</v>
      </c>
      <c r="BE11" s="1302"/>
      <c r="BF11" s="1300">
        <v>0</v>
      </c>
      <c r="BG11" s="1301"/>
      <c r="BH11" s="1302"/>
      <c r="BI11" s="1300">
        <v>0</v>
      </c>
      <c r="BJ11" s="1302"/>
      <c r="BK11" s="1294">
        <v>0</v>
      </c>
      <c r="BL11" s="1296"/>
      <c r="BM11" s="1317">
        <v>0</v>
      </c>
      <c r="BN11" s="1330"/>
      <c r="BO11" s="1330"/>
      <c r="BP11" s="1318"/>
      <c r="BQ11" s="1327">
        <v>0</v>
      </c>
      <c r="BR11" s="1328"/>
      <c r="BS11" s="1329"/>
      <c r="BT11" s="167">
        <v>0</v>
      </c>
      <c r="BU11" s="1300">
        <v>0</v>
      </c>
      <c r="BV11" s="1301"/>
      <c r="BW11" s="1302"/>
      <c r="BX11" s="1300">
        <v>0</v>
      </c>
      <c r="BY11" s="1302"/>
      <c r="BZ11" s="1300">
        <v>0</v>
      </c>
      <c r="CA11" s="1302"/>
      <c r="CB11" s="1300">
        <v>0</v>
      </c>
      <c r="CC11" s="1301"/>
      <c r="CD11" s="1302"/>
      <c r="CE11" s="1327">
        <v>0</v>
      </c>
      <c r="CF11" s="1328"/>
      <c r="CG11" s="1329"/>
      <c r="CH11" s="1327">
        <v>0</v>
      </c>
      <c r="CI11" s="1328"/>
      <c r="CJ11" s="1329"/>
      <c r="CK11" s="1327">
        <v>0</v>
      </c>
      <c r="CL11" s="1328"/>
      <c r="CM11" s="1328"/>
      <c r="CN11" s="1329"/>
      <c r="CO11" s="1300">
        <v>12</v>
      </c>
      <c r="CP11" s="1301"/>
      <c r="CQ11" s="1302"/>
      <c r="CR11" s="1300"/>
      <c r="CS11" s="1301"/>
      <c r="CT11" s="1301"/>
      <c r="CU11" s="1302"/>
      <c r="CV11" s="1300"/>
      <c r="CW11" s="1302"/>
      <c r="CX11" s="1300">
        <f t="shared" si="0"/>
        <v>0</v>
      </c>
      <c r="CY11" s="1302"/>
      <c r="CZ11" s="1327">
        <v>6</v>
      </c>
      <c r="DA11" s="1328"/>
      <c r="DB11" s="1329"/>
      <c r="DC11" s="1294">
        <v>10</v>
      </c>
      <c r="DD11" s="1296"/>
      <c r="DE11" s="166">
        <v>16</v>
      </c>
      <c r="DF11" s="168" t="s">
        <v>35</v>
      </c>
      <c r="DG11" s="321">
        <f t="shared" si="1"/>
        <v>0</v>
      </c>
    </row>
    <row r="12" spans="1:111" ht="50.1" customHeight="1">
      <c r="A12" s="320">
        <v>6</v>
      </c>
      <c r="B12" s="1319" t="s">
        <v>205</v>
      </c>
      <c r="C12" s="1320"/>
      <c r="D12" s="1320"/>
      <c r="E12" s="1320"/>
      <c r="F12" s="1320"/>
      <c r="G12" s="1321"/>
      <c r="H12" s="1322" t="s">
        <v>196</v>
      </c>
      <c r="I12" s="1323"/>
      <c r="J12" s="1323"/>
      <c r="K12" s="1324"/>
      <c r="L12" s="1319" t="s">
        <v>199</v>
      </c>
      <c r="M12" s="1321"/>
      <c r="N12" s="1313">
        <v>2</v>
      </c>
      <c r="O12" s="1315"/>
      <c r="P12" s="1309">
        <v>56</v>
      </c>
      <c r="Q12" s="1310"/>
      <c r="R12" s="1309">
        <v>57</v>
      </c>
      <c r="S12" s="1310"/>
      <c r="T12" s="1300">
        <v>113</v>
      </c>
      <c r="U12" s="1301"/>
      <c r="V12" s="1302"/>
      <c r="W12" s="1309">
        <v>2</v>
      </c>
      <c r="X12" s="1310"/>
      <c r="Y12" s="1309">
        <v>44</v>
      </c>
      <c r="Z12" s="1316"/>
      <c r="AA12" s="1310"/>
      <c r="AB12" s="1309">
        <v>53</v>
      </c>
      <c r="AC12" s="1316"/>
      <c r="AD12" s="1310"/>
      <c r="AE12" s="1317">
        <v>97</v>
      </c>
      <c r="AF12" s="1318"/>
      <c r="AG12" s="1309">
        <v>2</v>
      </c>
      <c r="AH12" s="1310"/>
      <c r="AI12" s="1309">
        <v>48</v>
      </c>
      <c r="AJ12" s="1310"/>
      <c r="AK12" s="1311">
        <v>39</v>
      </c>
      <c r="AL12" s="1312"/>
      <c r="AM12" s="1294">
        <v>87</v>
      </c>
      <c r="AN12" s="1296"/>
      <c r="AO12" s="1294">
        <v>6</v>
      </c>
      <c r="AP12" s="1295"/>
      <c r="AQ12" s="1296"/>
      <c r="AR12" s="1294">
        <v>148</v>
      </c>
      <c r="AS12" s="1295"/>
      <c r="AT12" s="1296"/>
      <c r="AU12" s="1300">
        <v>149</v>
      </c>
      <c r="AV12" s="1301"/>
      <c r="AW12" s="1302"/>
      <c r="AX12" s="1294">
        <v>297</v>
      </c>
      <c r="AY12" s="1295"/>
      <c r="AZ12" s="1296"/>
      <c r="BA12" s="169">
        <v>0</v>
      </c>
      <c r="BB12" s="1313">
        <v>0</v>
      </c>
      <c r="BC12" s="1315"/>
      <c r="BD12" s="1309">
        <v>0</v>
      </c>
      <c r="BE12" s="1310"/>
      <c r="BF12" s="1300">
        <v>0</v>
      </c>
      <c r="BG12" s="1301"/>
      <c r="BH12" s="1302"/>
      <c r="BI12" s="1309">
        <v>0</v>
      </c>
      <c r="BJ12" s="1310"/>
      <c r="BK12" s="1311">
        <v>0</v>
      </c>
      <c r="BL12" s="1312"/>
      <c r="BM12" s="1313">
        <v>0</v>
      </c>
      <c r="BN12" s="1314"/>
      <c r="BO12" s="1314"/>
      <c r="BP12" s="1315"/>
      <c r="BQ12" s="1327">
        <v>0</v>
      </c>
      <c r="BR12" s="1328"/>
      <c r="BS12" s="1329"/>
      <c r="BT12" s="169">
        <v>0</v>
      </c>
      <c r="BU12" s="1309">
        <v>0</v>
      </c>
      <c r="BV12" s="1316"/>
      <c r="BW12" s="1310"/>
      <c r="BX12" s="1309">
        <v>0</v>
      </c>
      <c r="BY12" s="1310"/>
      <c r="BZ12" s="1300">
        <v>0</v>
      </c>
      <c r="CA12" s="1302"/>
      <c r="CB12" s="1300">
        <v>0</v>
      </c>
      <c r="CC12" s="1301"/>
      <c r="CD12" s="1302"/>
      <c r="CE12" s="1327">
        <v>0</v>
      </c>
      <c r="CF12" s="1328"/>
      <c r="CG12" s="1329"/>
      <c r="CH12" s="1327">
        <v>0</v>
      </c>
      <c r="CI12" s="1328"/>
      <c r="CJ12" s="1329"/>
      <c r="CK12" s="1327">
        <v>0</v>
      </c>
      <c r="CL12" s="1328"/>
      <c r="CM12" s="1328"/>
      <c r="CN12" s="1329"/>
      <c r="CO12" s="1300">
        <v>6</v>
      </c>
      <c r="CP12" s="1301"/>
      <c r="CQ12" s="1302"/>
      <c r="CR12" s="1300"/>
      <c r="CS12" s="1301"/>
      <c r="CT12" s="1301"/>
      <c r="CU12" s="1302"/>
      <c r="CV12" s="1300"/>
      <c r="CW12" s="1302"/>
      <c r="CX12" s="1300">
        <f t="shared" si="0"/>
        <v>0</v>
      </c>
      <c r="CY12" s="1302"/>
      <c r="CZ12" s="1327">
        <v>4</v>
      </c>
      <c r="DA12" s="1328"/>
      <c r="DB12" s="1329"/>
      <c r="DC12" s="1327">
        <v>2</v>
      </c>
      <c r="DD12" s="1329"/>
      <c r="DE12" s="170">
        <v>6</v>
      </c>
      <c r="DF12" s="168" t="s">
        <v>35</v>
      </c>
      <c r="DG12" s="321">
        <f t="shared" si="1"/>
        <v>0</v>
      </c>
    </row>
    <row r="13" spans="1:111" ht="50.1" customHeight="1">
      <c r="A13" s="320">
        <v>7</v>
      </c>
      <c r="B13" s="1319" t="s">
        <v>206</v>
      </c>
      <c r="C13" s="1320"/>
      <c r="D13" s="1320"/>
      <c r="E13" s="1320"/>
      <c r="F13" s="1320"/>
      <c r="G13" s="1321"/>
      <c r="H13" s="1322" t="s">
        <v>196</v>
      </c>
      <c r="I13" s="1323"/>
      <c r="J13" s="1323"/>
      <c r="K13" s="1324"/>
      <c r="L13" s="1319" t="s">
        <v>207</v>
      </c>
      <c r="M13" s="1321"/>
      <c r="N13" s="1313">
        <v>3</v>
      </c>
      <c r="O13" s="1315"/>
      <c r="P13" s="1309">
        <v>241</v>
      </c>
      <c r="Q13" s="1310"/>
      <c r="R13" s="1309">
        <v>259</v>
      </c>
      <c r="S13" s="1310"/>
      <c r="T13" s="1300">
        <v>500</v>
      </c>
      <c r="U13" s="1301"/>
      <c r="V13" s="1302"/>
      <c r="W13" s="1309">
        <v>3</v>
      </c>
      <c r="X13" s="1310"/>
      <c r="Y13" s="1309">
        <v>219</v>
      </c>
      <c r="Z13" s="1316"/>
      <c r="AA13" s="1310"/>
      <c r="AB13" s="1309">
        <v>217</v>
      </c>
      <c r="AC13" s="1316"/>
      <c r="AD13" s="1310"/>
      <c r="AE13" s="1317">
        <v>436</v>
      </c>
      <c r="AF13" s="1318"/>
      <c r="AG13" s="1309">
        <v>3</v>
      </c>
      <c r="AH13" s="1310"/>
      <c r="AI13" s="1309">
        <v>155</v>
      </c>
      <c r="AJ13" s="1310"/>
      <c r="AK13" s="1311">
        <v>174</v>
      </c>
      <c r="AL13" s="1312"/>
      <c r="AM13" s="1294">
        <v>329</v>
      </c>
      <c r="AN13" s="1296"/>
      <c r="AO13" s="1294">
        <v>9</v>
      </c>
      <c r="AP13" s="1295"/>
      <c r="AQ13" s="1296"/>
      <c r="AR13" s="1294">
        <v>615</v>
      </c>
      <c r="AS13" s="1295"/>
      <c r="AT13" s="1296"/>
      <c r="AU13" s="1300">
        <v>650</v>
      </c>
      <c r="AV13" s="1301"/>
      <c r="AW13" s="1302"/>
      <c r="AX13" s="1294">
        <v>1265</v>
      </c>
      <c r="AY13" s="1295"/>
      <c r="AZ13" s="1296"/>
      <c r="BA13" s="169">
        <v>0</v>
      </c>
      <c r="BB13" s="1313">
        <v>0</v>
      </c>
      <c r="BC13" s="1315"/>
      <c r="BD13" s="1309">
        <v>0</v>
      </c>
      <c r="BE13" s="1310"/>
      <c r="BF13" s="1300">
        <v>0</v>
      </c>
      <c r="BG13" s="1301"/>
      <c r="BH13" s="1302"/>
      <c r="BI13" s="1309">
        <v>0</v>
      </c>
      <c r="BJ13" s="1310"/>
      <c r="BK13" s="1311">
        <v>0</v>
      </c>
      <c r="BL13" s="1312"/>
      <c r="BM13" s="1313">
        <v>0</v>
      </c>
      <c r="BN13" s="1314"/>
      <c r="BO13" s="1314"/>
      <c r="BP13" s="1315"/>
      <c r="BQ13" s="1327">
        <v>0</v>
      </c>
      <c r="BR13" s="1328"/>
      <c r="BS13" s="1329"/>
      <c r="BT13" s="169">
        <v>0</v>
      </c>
      <c r="BU13" s="1309">
        <v>0</v>
      </c>
      <c r="BV13" s="1316"/>
      <c r="BW13" s="1310"/>
      <c r="BX13" s="1309">
        <v>0</v>
      </c>
      <c r="BY13" s="1310"/>
      <c r="BZ13" s="1300">
        <v>0</v>
      </c>
      <c r="CA13" s="1302"/>
      <c r="CB13" s="1300">
        <v>0</v>
      </c>
      <c r="CC13" s="1301"/>
      <c r="CD13" s="1302"/>
      <c r="CE13" s="1327">
        <v>0</v>
      </c>
      <c r="CF13" s="1328"/>
      <c r="CG13" s="1329"/>
      <c r="CH13" s="1327">
        <v>0</v>
      </c>
      <c r="CI13" s="1328"/>
      <c r="CJ13" s="1329"/>
      <c r="CK13" s="1327">
        <v>0</v>
      </c>
      <c r="CL13" s="1328"/>
      <c r="CM13" s="1328"/>
      <c r="CN13" s="1329"/>
      <c r="CO13" s="1300">
        <v>9</v>
      </c>
      <c r="CP13" s="1301"/>
      <c r="CQ13" s="1302"/>
      <c r="CR13" s="1300"/>
      <c r="CS13" s="1301"/>
      <c r="CT13" s="1301"/>
      <c r="CU13" s="1302"/>
      <c r="CV13" s="1300"/>
      <c r="CW13" s="1302"/>
      <c r="CX13" s="1300">
        <f t="shared" si="0"/>
        <v>0</v>
      </c>
      <c r="CY13" s="1302"/>
      <c r="CZ13" s="1327">
        <v>4</v>
      </c>
      <c r="DA13" s="1328"/>
      <c r="DB13" s="1329"/>
      <c r="DC13" s="1294">
        <v>11</v>
      </c>
      <c r="DD13" s="1296"/>
      <c r="DE13" s="166">
        <v>15</v>
      </c>
      <c r="DF13" s="168" t="s">
        <v>35</v>
      </c>
      <c r="DG13" s="321">
        <f t="shared" si="1"/>
        <v>0</v>
      </c>
    </row>
    <row r="14" spans="1:111" ht="50.1" customHeight="1">
      <c r="A14" s="320">
        <v>8</v>
      </c>
      <c r="B14" s="1331" t="s">
        <v>208</v>
      </c>
      <c r="C14" s="1332"/>
      <c r="D14" s="1332"/>
      <c r="E14" s="1332"/>
      <c r="F14" s="1332"/>
      <c r="G14" s="1333"/>
      <c r="H14" s="1322" t="s">
        <v>196</v>
      </c>
      <c r="I14" s="1323"/>
      <c r="J14" s="1323"/>
      <c r="K14" s="1324"/>
      <c r="L14" s="1319" t="s">
        <v>207</v>
      </c>
      <c r="M14" s="1321"/>
      <c r="N14" s="1313">
        <v>0</v>
      </c>
      <c r="O14" s="1315"/>
      <c r="P14" s="1309">
        <v>0</v>
      </c>
      <c r="Q14" s="1310"/>
      <c r="R14" s="1309">
        <v>0</v>
      </c>
      <c r="S14" s="1310"/>
      <c r="T14" s="1300">
        <v>0</v>
      </c>
      <c r="U14" s="1301"/>
      <c r="V14" s="1302"/>
      <c r="W14" s="1309">
        <v>0</v>
      </c>
      <c r="X14" s="1310"/>
      <c r="Y14" s="1309">
        <v>0</v>
      </c>
      <c r="Z14" s="1316"/>
      <c r="AA14" s="1310"/>
      <c r="AB14" s="1309">
        <v>0</v>
      </c>
      <c r="AC14" s="1316"/>
      <c r="AD14" s="1310"/>
      <c r="AE14" s="1317">
        <v>0</v>
      </c>
      <c r="AF14" s="1318"/>
      <c r="AG14" s="1309">
        <v>0</v>
      </c>
      <c r="AH14" s="1310"/>
      <c r="AI14" s="1309">
        <v>0</v>
      </c>
      <c r="AJ14" s="1310"/>
      <c r="AK14" s="1311">
        <v>0</v>
      </c>
      <c r="AL14" s="1312"/>
      <c r="AM14" s="1327">
        <v>0</v>
      </c>
      <c r="AN14" s="1329"/>
      <c r="AO14" s="1294">
        <v>0</v>
      </c>
      <c r="AP14" s="1295"/>
      <c r="AQ14" s="1296"/>
      <c r="AR14" s="1327">
        <v>0</v>
      </c>
      <c r="AS14" s="1328"/>
      <c r="AT14" s="1329"/>
      <c r="AU14" s="1300">
        <v>0</v>
      </c>
      <c r="AV14" s="1301"/>
      <c r="AW14" s="1302"/>
      <c r="AX14" s="1327">
        <v>0</v>
      </c>
      <c r="AY14" s="1328"/>
      <c r="AZ14" s="1329"/>
      <c r="BA14" s="169">
        <v>6</v>
      </c>
      <c r="BB14" s="1313">
        <v>312</v>
      </c>
      <c r="BC14" s="1315"/>
      <c r="BD14" s="1309">
        <v>345</v>
      </c>
      <c r="BE14" s="1310"/>
      <c r="BF14" s="1300">
        <v>657</v>
      </c>
      <c r="BG14" s="1301"/>
      <c r="BH14" s="1302"/>
      <c r="BI14" s="1309">
        <v>6</v>
      </c>
      <c r="BJ14" s="1310"/>
      <c r="BK14" s="1311">
        <v>300</v>
      </c>
      <c r="BL14" s="1312"/>
      <c r="BM14" s="1313">
        <v>339</v>
      </c>
      <c r="BN14" s="1314"/>
      <c r="BO14" s="1314"/>
      <c r="BP14" s="1315"/>
      <c r="BQ14" s="1294">
        <v>639</v>
      </c>
      <c r="BR14" s="1295"/>
      <c r="BS14" s="1296"/>
      <c r="BT14" s="169">
        <v>6</v>
      </c>
      <c r="BU14" s="1309">
        <v>207</v>
      </c>
      <c r="BV14" s="1316"/>
      <c r="BW14" s="1310"/>
      <c r="BX14" s="1309">
        <v>235</v>
      </c>
      <c r="BY14" s="1310"/>
      <c r="BZ14" s="1300">
        <v>442</v>
      </c>
      <c r="CA14" s="1302"/>
      <c r="CB14" s="1300">
        <v>18</v>
      </c>
      <c r="CC14" s="1301"/>
      <c r="CD14" s="1302"/>
      <c r="CE14" s="1294">
        <v>819</v>
      </c>
      <c r="CF14" s="1295"/>
      <c r="CG14" s="1296"/>
      <c r="CH14" s="1294">
        <v>919</v>
      </c>
      <c r="CI14" s="1295"/>
      <c r="CJ14" s="1296"/>
      <c r="CK14" s="1294">
        <v>1738</v>
      </c>
      <c r="CL14" s="1295"/>
      <c r="CM14" s="1295"/>
      <c r="CN14" s="1296"/>
      <c r="CO14" s="1300">
        <v>18</v>
      </c>
      <c r="CP14" s="1301"/>
      <c r="CQ14" s="1302"/>
      <c r="CR14" s="1300"/>
      <c r="CS14" s="1301"/>
      <c r="CT14" s="1301"/>
      <c r="CU14" s="1302"/>
      <c r="CV14" s="1300"/>
      <c r="CW14" s="1302"/>
      <c r="CX14" s="1300">
        <f t="shared" si="0"/>
        <v>0</v>
      </c>
      <c r="CY14" s="1302"/>
      <c r="CZ14" s="1294">
        <v>10</v>
      </c>
      <c r="DA14" s="1295"/>
      <c r="DB14" s="1296"/>
      <c r="DC14" s="1294">
        <v>14</v>
      </c>
      <c r="DD14" s="1296"/>
      <c r="DE14" s="166">
        <v>24</v>
      </c>
      <c r="DF14" s="168" t="s">
        <v>35</v>
      </c>
      <c r="DG14" s="321">
        <f t="shared" si="1"/>
        <v>0</v>
      </c>
    </row>
    <row r="15" spans="1:111" ht="50.1" customHeight="1">
      <c r="A15" s="320">
        <v>9</v>
      </c>
      <c r="B15" s="1331" t="s">
        <v>209</v>
      </c>
      <c r="C15" s="1332"/>
      <c r="D15" s="1332"/>
      <c r="E15" s="1332"/>
      <c r="F15" s="1332"/>
      <c r="G15" s="1333"/>
      <c r="H15" s="1322" t="s">
        <v>196</v>
      </c>
      <c r="I15" s="1323"/>
      <c r="J15" s="1323"/>
      <c r="K15" s="1324"/>
      <c r="L15" s="1319" t="s">
        <v>210</v>
      </c>
      <c r="M15" s="1321"/>
      <c r="N15" s="1317">
        <v>0</v>
      </c>
      <c r="O15" s="1318"/>
      <c r="P15" s="1300">
        <v>0</v>
      </c>
      <c r="Q15" s="1302"/>
      <c r="R15" s="1300">
        <v>0</v>
      </c>
      <c r="S15" s="1302"/>
      <c r="T15" s="1300">
        <v>0</v>
      </c>
      <c r="U15" s="1301"/>
      <c r="V15" s="1302"/>
      <c r="W15" s="1300">
        <v>0</v>
      </c>
      <c r="X15" s="1302"/>
      <c r="Y15" s="1300">
        <v>0</v>
      </c>
      <c r="Z15" s="1301"/>
      <c r="AA15" s="1302"/>
      <c r="AB15" s="1300">
        <v>0</v>
      </c>
      <c r="AC15" s="1301"/>
      <c r="AD15" s="1302"/>
      <c r="AE15" s="1317">
        <v>0</v>
      </c>
      <c r="AF15" s="1318"/>
      <c r="AG15" s="1300">
        <v>0</v>
      </c>
      <c r="AH15" s="1302"/>
      <c r="AI15" s="1300">
        <v>0</v>
      </c>
      <c r="AJ15" s="1302"/>
      <c r="AK15" s="1294">
        <v>0</v>
      </c>
      <c r="AL15" s="1296"/>
      <c r="AM15" s="1327">
        <v>0</v>
      </c>
      <c r="AN15" s="1329"/>
      <c r="AO15" s="1294">
        <v>0</v>
      </c>
      <c r="AP15" s="1295"/>
      <c r="AQ15" s="1296"/>
      <c r="AR15" s="1327">
        <v>0</v>
      </c>
      <c r="AS15" s="1328"/>
      <c r="AT15" s="1329"/>
      <c r="AU15" s="1300">
        <v>0</v>
      </c>
      <c r="AV15" s="1301"/>
      <c r="AW15" s="1302"/>
      <c r="AX15" s="1327">
        <v>0</v>
      </c>
      <c r="AY15" s="1328"/>
      <c r="AZ15" s="1329"/>
      <c r="BA15" s="167">
        <v>3</v>
      </c>
      <c r="BB15" s="1317">
        <v>42</v>
      </c>
      <c r="BC15" s="1318"/>
      <c r="BD15" s="1300">
        <v>36</v>
      </c>
      <c r="BE15" s="1302"/>
      <c r="BF15" s="1300">
        <v>78</v>
      </c>
      <c r="BG15" s="1301"/>
      <c r="BH15" s="1302"/>
      <c r="BI15" s="1300">
        <v>3</v>
      </c>
      <c r="BJ15" s="1302"/>
      <c r="BK15" s="1294">
        <v>41</v>
      </c>
      <c r="BL15" s="1296"/>
      <c r="BM15" s="1317">
        <v>28</v>
      </c>
      <c r="BN15" s="1330"/>
      <c r="BO15" s="1330"/>
      <c r="BP15" s="1318"/>
      <c r="BQ15" s="1294">
        <v>69</v>
      </c>
      <c r="BR15" s="1295"/>
      <c r="BS15" s="1296"/>
      <c r="BT15" s="167">
        <v>3</v>
      </c>
      <c r="BU15" s="1300">
        <v>31</v>
      </c>
      <c r="BV15" s="1301"/>
      <c r="BW15" s="1302"/>
      <c r="BX15" s="1300">
        <v>20</v>
      </c>
      <c r="BY15" s="1302"/>
      <c r="BZ15" s="1300">
        <v>51</v>
      </c>
      <c r="CA15" s="1302"/>
      <c r="CB15" s="1300">
        <v>9</v>
      </c>
      <c r="CC15" s="1301"/>
      <c r="CD15" s="1302"/>
      <c r="CE15" s="1294">
        <v>114</v>
      </c>
      <c r="CF15" s="1295"/>
      <c r="CG15" s="1296"/>
      <c r="CH15" s="1294">
        <v>84</v>
      </c>
      <c r="CI15" s="1295"/>
      <c r="CJ15" s="1296"/>
      <c r="CK15" s="1294">
        <v>198</v>
      </c>
      <c r="CL15" s="1295"/>
      <c r="CM15" s="1295"/>
      <c r="CN15" s="1296"/>
      <c r="CO15" s="1300">
        <v>9</v>
      </c>
      <c r="CP15" s="1301"/>
      <c r="CQ15" s="1302"/>
      <c r="CR15" s="1300"/>
      <c r="CS15" s="1301"/>
      <c r="CT15" s="1301"/>
      <c r="CU15" s="1302"/>
      <c r="CV15" s="1300"/>
      <c r="CW15" s="1302"/>
      <c r="CX15" s="1300">
        <f t="shared" si="0"/>
        <v>0</v>
      </c>
      <c r="CY15" s="1302"/>
      <c r="CZ15" s="1327">
        <v>6</v>
      </c>
      <c r="DA15" s="1328"/>
      <c r="DB15" s="1329"/>
      <c r="DC15" s="1294">
        <v>14</v>
      </c>
      <c r="DD15" s="1296"/>
      <c r="DE15" s="166">
        <v>20</v>
      </c>
      <c r="DF15" s="168" t="s">
        <v>35</v>
      </c>
      <c r="DG15" s="321">
        <f t="shared" si="1"/>
        <v>0</v>
      </c>
    </row>
    <row r="16" spans="1:111" ht="50.1" customHeight="1">
      <c r="A16" s="320">
        <v>10</v>
      </c>
      <c r="B16" s="1331" t="s">
        <v>211</v>
      </c>
      <c r="C16" s="1332"/>
      <c r="D16" s="1332"/>
      <c r="E16" s="1332"/>
      <c r="F16" s="1332"/>
      <c r="G16" s="1333"/>
      <c r="H16" s="1334" t="s">
        <v>196</v>
      </c>
      <c r="I16" s="1335"/>
      <c r="J16" s="1335"/>
      <c r="K16" s="1336"/>
      <c r="L16" s="1331" t="s">
        <v>201</v>
      </c>
      <c r="M16" s="1333"/>
      <c r="N16" s="1317">
        <v>0</v>
      </c>
      <c r="O16" s="1318"/>
      <c r="P16" s="1300">
        <v>0</v>
      </c>
      <c r="Q16" s="1302"/>
      <c r="R16" s="1300">
        <v>0</v>
      </c>
      <c r="S16" s="1302"/>
      <c r="T16" s="1300">
        <v>0</v>
      </c>
      <c r="U16" s="1301"/>
      <c r="V16" s="1302"/>
      <c r="W16" s="1300">
        <v>0</v>
      </c>
      <c r="X16" s="1302"/>
      <c r="Y16" s="1300">
        <v>0</v>
      </c>
      <c r="Z16" s="1301"/>
      <c r="AA16" s="1302"/>
      <c r="AB16" s="1300">
        <v>0</v>
      </c>
      <c r="AC16" s="1301"/>
      <c r="AD16" s="1302"/>
      <c r="AE16" s="1317">
        <v>0</v>
      </c>
      <c r="AF16" s="1318"/>
      <c r="AG16" s="1300">
        <v>0</v>
      </c>
      <c r="AH16" s="1302"/>
      <c r="AI16" s="1300">
        <v>0</v>
      </c>
      <c r="AJ16" s="1302"/>
      <c r="AK16" s="1294">
        <v>0</v>
      </c>
      <c r="AL16" s="1296"/>
      <c r="AM16" s="1327">
        <v>0</v>
      </c>
      <c r="AN16" s="1329"/>
      <c r="AO16" s="1294">
        <v>0</v>
      </c>
      <c r="AP16" s="1295"/>
      <c r="AQ16" s="1296"/>
      <c r="AR16" s="1327">
        <v>0</v>
      </c>
      <c r="AS16" s="1328"/>
      <c r="AT16" s="1329"/>
      <c r="AU16" s="1300">
        <v>0</v>
      </c>
      <c r="AV16" s="1301"/>
      <c r="AW16" s="1302"/>
      <c r="AX16" s="1327">
        <v>0</v>
      </c>
      <c r="AY16" s="1328"/>
      <c r="AZ16" s="1329"/>
      <c r="BA16" s="167">
        <v>3</v>
      </c>
      <c r="BB16" s="1317">
        <v>127</v>
      </c>
      <c r="BC16" s="1318"/>
      <c r="BD16" s="1300">
        <v>114</v>
      </c>
      <c r="BE16" s="1302"/>
      <c r="BF16" s="1300">
        <v>241</v>
      </c>
      <c r="BG16" s="1301"/>
      <c r="BH16" s="1302"/>
      <c r="BI16" s="1300">
        <v>3</v>
      </c>
      <c r="BJ16" s="1302"/>
      <c r="BK16" s="1294">
        <v>85</v>
      </c>
      <c r="BL16" s="1296"/>
      <c r="BM16" s="1317">
        <v>115</v>
      </c>
      <c r="BN16" s="1330"/>
      <c r="BO16" s="1330"/>
      <c r="BP16" s="1318"/>
      <c r="BQ16" s="1294">
        <v>200</v>
      </c>
      <c r="BR16" s="1295"/>
      <c r="BS16" s="1296"/>
      <c r="BT16" s="167">
        <v>3</v>
      </c>
      <c r="BU16" s="1300">
        <v>62</v>
      </c>
      <c r="BV16" s="1301"/>
      <c r="BW16" s="1302"/>
      <c r="BX16" s="1300">
        <v>53</v>
      </c>
      <c r="BY16" s="1302"/>
      <c r="BZ16" s="1300">
        <v>115</v>
      </c>
      <c r="CA16" s="1302"/>
      <c r="CB16" s="1300">
        <v>9</v>
      </c>
      <c r="CC16" s="1301"/>
      <c r="CD16" s="1302"/>
      <c r="CE16" s="1294">
        <v>274</v>
      </c>
      <c r="CF16" s="1295"/>
      <c r="CG16" s="1296"/>
      <c r="CH16" s="1294">
        <v>282</v>
      </c>
      <c r="CI16" s="1295"/>
      <c r="CJ16" s="1296"/>
      <c r="CK16" s="1294">
        <v>556</v>
      </c>
      <c r="CL16" s="1295"/>
      <c r="CM16" s="1295"/>
      <c r="CN16" s="1296"/>
      <c r="CO16" s="1300">
        <v>9</v>
      </c>
      <c r="CP16" s="1301"/>
      <c r="CQ16" s="1302"/>
      <c r="CR16" s="1300"/>
      <c r="CS16" s="1301"/>
      <c r="CT16" s="1301"/>
      <c r="CU16" s="1302"/>
      <c r="CV16" s="1300"/>
      <c r="CW16" s="1302"/>
      <c r="CX16" s="1300">
        <f t="shared" si="0"/>
        <v>0</v>
      </c>
      <c r="CY16" s="1302"/>
      <c r="CZ16" s="1327">
        <v>9</v>
      </c>
      <c r="DA16" s="1328"/>
      <c r="DB16" s="1329"/>
      <c r="DC16" s="1327">
        <v>8</v>
      </c>
      <c r="DD16" s="1329"/>
      <c r="DE16" s="166">
        <v>17</v>
      </c>
      <c r="DF16" s="168" t="s">
        <v>35</v>
      </c>
      <c r="DG16" s="321">
        <f t="shared" si="1"/>
        <v>0</v>
      </c>
    </row>
    <row r="17" spans="1:111" ht="50.1" customHeight="1">
      <c r="A17" s="320">
        <v>11</v>
      </c>
      <c r="B17" s="1319" t="s">
        <v>212</v>
      </c>
      <c r="C17" s="1320"/>
      <c r="D17" s="1320"/>
      <c r="E17" s="1320"/>
      <c r="F17" s="1320"/>
      <c r="G17" s="1321"/>
      <c r="H17" s="1322" t="s">
        <v>196</v>
      </c>
      <c r="I17" s="1323"/>
      <c r="J17" s="1323"/>
      <c r="K17" s="1324"/>
      <c r="L17" s="1319" t="s">
        <v>203</v>
      </c>
      <c r="M17" s="1321"/>
      <c r="N17" s="1317">
        <v>0</v>
      </c>
      <c r="O17" s="1318"/>
      <c r="P17" s="1300">
        <v>0</v>
      </c>
      <c r="Q17" s="1302"/>
      <c r="R17" s="1300">
        <v>0</v>
      </c>
      <c r="S17" s="1302"/>
      <c r="T17" s="1300">
        <v>0</v>
      </c>
      <c r="U17" s="1301"/>
      <c r="V17" s="1302"/>
      <c r="W17" s="1300">
        <v>0</v>
      </c>
      <c r="X17" s="1302"/>
      <c r="Y17" s="1300">
        <v>0</v>
      </c>
      <c r="Z17" s="1301"/>
      <c r="AA17" s="1302"/>
      <c r="AB17" s="1300">
        <v>0</v>
      </c>
      <c r="AC17" s="1301"/>
      <c r="AD17" s="1302"/>
      <c r="AE17" s="1317">
        <v>0</v>
      </c>
      <c r="AF17" s="1318"/>
      <c r="AG17" s="1300">
        <v>0</v>
      </c>
      <c r="AH17" s="1302"/>
      <c r="AI17" s="1300">
        <v>0</v>
      </c>
      <c r="AJ17" s="1302"/>
      <c r="AK17" s="1294">
        <v>0</v>
      </c>
      <c r="AL17" s="1296"/>
      <c r="AM17" s="1327">
        <v>0</v>
      </c>
      <c r="AN17" s="1329"/>
      <c r="AO17" s="1294">
        <v>0</v>
      </c>
      <c r="AP17" s="1295"/>
      <c r="AQ17" s="1296"/>
      <c r="AR17" s="1327">
        <v>0</v>
      </c>
      <c r="AS17" s="1328"/>
      <c r="AT17" s="1329"/>
      <c r="AU17" s="1300">
        <v>0</v>
      </c>
      <c r="AV17" s="1301"/>
      <c r="AW17" s="1302"/>
      <c r="AX17" s="1327">
        <v>0</v>
      </c>
      <c r="AY17" s="1328"/>
      <c r="AZ17" s="1329"/>
      <c r="BA17" s="167">
        <v>2</v>
      </c>
      <c r="BB17" s="1317">
        <v>59</v>
      </c>
      <c r="BC17" s="1318"/>
      <c r="BD17" s="1300">
        <v>43</v>
      </c>
      <c r="BE17" s="1302"/>
      <c r="BF17" s="1300">
        <v>102</v>
      </c>
      <c r="BG17" s="1301"/>
      <c r="BH17" s="1302"/>
      <c r="BI17" s="1300">
        <v>2</v>
      </c>
      <c r="BJ17" s="1302"/>
      <c r="BK17" s="1294">
        <v>50</v>
      </c>
      <c r="BL17" s="1296"/>
      <c r="BM17" s="1317">
        <v>23</v>
      </c>
      <c r="BN17" s="1330"/>
      <c r="BO17" s="1330"/>
      <c r="BP17" s="1318"/>
      <c r="BQ17" s="1294">
        <v>73</v>
      </c>
      <c r="BR17" s="1295"/>
      <c r="BS17" s="1296"/>
      <c r="BT17" s="167">
        <v>2</v>
      </c>
      <c r="BU17" s="1300">
        <v>40</v>
      </c>
      <c r="BV17" s="1301"/>
      <c r="BW17" s="1302"/>
      <c r="BX17" s="1300">
        <v>32</v>
      </c>
      <c r="BY17" s="1302"/>
      <c r="BZ17" s="1300">
        <v>72</v>
      </c>
      <c r="CA17" s="1302"/>
      <c r="CB17" s="1300">
        <v>6</v>
      </c>
      <c r="CC17" s="1301"/>
      <c r="CD17" s="1302"/>
      <c r="CE17" s="1294">
        <v>149</v>
      </c>
      <c r="CF17" s="1295"/>
      <c r="CG17" s="1296"/>
      <c r="CH17" s="1294">
        <v>98</v>
      </c>
      <c r="CI17" s="1295"/>
      <c r="CJ17" s="1296"/>
      <c r="CK17" s="1294">
        <v>247</v>
      </c>
      <c r="CL17" s="1295"/>
      <c r="CM17" s="1295"/>
      <c r="CN17" s="1296"/>
      <c r="CO17" s="1300">
        <v>6</v>
      </c>
      <c r="CP17" s="1301"/>
      <c r="CQ17" s="1302"/>
      <c r="CR17" s="1300"/>
      <c r="CS17" s="1301"/>
      <c r="CT17" s="1301"/>
      <c r="CU17" s="1302"/>
      <c r="CV17" s="1300"/>
      <c r="CW17" s="1302"/>
      <c r="CX17" s="1300">
        <f t="shared" si="0"/>
        <v>0</v>
      </c>
      <c r="CY17" s="1302"/>
      <c r="CZ17" s="1327">
        <v>5</v>
      </c>
      <c r="DA17" s="1328"/>
      <c r="DB17" s="1329"/>
      <c r="DC17" s="1327">
        <v>4</v>
      </c>
      <c r="DD17" s="1329"/>
      <c r="DE17" s="170">
        <v>9</v>
      </c>
      <c r="DF17" s="168" t="s">
        <v>35</v>
      </c>
      <c r="DG17" s="321">
        <f t="shared" si="1"/>
        <v>0</v>
      </c>
    </row>
    <row r="18" spans="1:111" ht="50.1" customHeight="1">
      <c r="A18" s="320">
        <v>12</v>
      </c>
      <c r="B18" s="1319" t="s">
        <v>213</v>
      </c>
      <c r="C18" s="1320"/>
      <c r="D18" s="1320"/>
      <c r="E18" s="1320"/>
      <c r="F18" s="1320"/>
      <c r="G18" s="1321"/>
      <c r="H18" s="1322" t="s">
        <v>196</v>
      </c>
      <c r="I18" s="1323"/>
      <c r="J18" s="1323"/>
      <c r="K18" s="1324"/>
      <c r="L18" s="1319" t="s">
        <v>201</v>
      </c>
      <c r="M18" s="1321"/>
      <c r="N18" s="1317">
        <v>0</v>
      </c>
      <c r="O18" s="1318"/>
      <c r="P18" s="1300">
        <v>0</v>
      </c>
      <c r="Q18" s="1302"/>
      <c r="R18" s="1300">
        <v>0</v>
      </c>
      <c r="S18" s="1302"/>
      <c r="T18" s="1300">
        <v>0</v>
      </c>
      <c r="U18" s="1301"/>
      <c r="V18" s="1302"/>
      <c r="W18" s="1300">
        <v>0</v>
      </c>
      <c r="X18" s="1302"/>
      <c r="Y18" s="1300">
        <v>0</v>
      </c>
      <c r="Z18" s="1301"/>
      <c r="AA18" s="1302"/>
      <c r="AB18" s="1300">
        <v>0</v>
      </c>
      <c r="AC18" s="1301"/>
      <c r="AD18" s="1302"/>
      <c r="AE18" s="1317">
        <v>0</v>
      </c>
      <c r="AF18" s="1318"/>
      <c r="AG18" s="1300">
        <v>0</v>
      </c>
      <c r="AH18" s="1302"/>
      <c r="AI18" s="1300">
        <v>0</v>
      </c>
      <c r="AJ18" s="1302"/>
      <c r="AK18" s="1294">
        <v>0</v>
      </c>
      <c r="AL18" s="1296"/>
      <c r="AM18" s="1327">
        <v>0</v>
      </c>
      <c r="AN18" s="1329"/>
      <c r="AO18" s="1294">
        <v>0</v>
      </c>
      <c r="AP18" s="1295"/>
      <c r="AQ18" s="1296"/>
      <c r="AR18" s="1327">
        <v>0</v>
      </c>
      <c r="AS18" s="1328"/>
      <c r="AT18" s="1329"/>
      <c r="AU18" s="1300">
        <v>0</v>
      </c>
      <c r="AV18" s="1301"/>
      <c r="AW18" s="1302"/>
      <c r="AX18" s="1327">
        <v>0</v>
      </c>
      <c r="AY18" s="1328"/>
      <c r="AZ18" s="1329"/>
      <c r="BA18" s="167">
        <v>4</v>
      </c>
      <c r="BB18" s="1317">
        <v>107</v>
      </c>
      <c r="BC18" s="1318"/>
      <c r="BD18" s="1300">
        <v>107</v>
      </c>
      <c r="BE18" s="1302"/>
      <c r="BF18" s="1300">
        <v>214</v>
      </c>
      <c r="BG18" s="1301"/>
      <c r="BH18" s="1302"/>
      <c r="BI18" s="1300">
        <v>4</v>
      </c>
      <c r="BJ18" s="1302"/>
      <c r="BK18" s="1294">
        <v>127</v>
      </c>
      <c r="BL18" s="1296"/>
      <c r="BM18" s="1317">
        <v>104</v>
      </c>
      <c r="BN18" s="1330"/>
      <c r="BO18" s="1330"/>
      <c r="BP18" s="1318"/>
      <c r="BQ18" s="1294">
        <v>231</v>
      </c>
      <c r="BR18" s="1295"/>
      <c r="BS18" s="1296"/>
      <c r="BT18" s="167">
        <v>4</v>
      </c>
      <c r="BU18" s="1300">
        <v>116</v>
      </c>
      <c r="BV18" s="1301"/>
      <c r="BW18" s="1302"/>
      <c r="BX18" s="1300">
        <v>90</v>
      </c>
      <c r="BY18" s="1302"/>
      <c r="BZ18" s="1300">
        <v>206</v>
      </c>
      <c r="CA18" s="1302"/>
      <c r="CB18" s="1300">
        <v>12</v>
      </c>
      <c r="CC18" s="1301"/>
      <c r="CD18" s="1302"/>
      <c r="CE18" s="1294">
        <v>350</v>
      </c>
      <c r="CF18" s="1295"/>
      <c r="CG18" s="1296"/>
      <c r="CH18" s="1294">
        <v>301</v>
      </c>
      <c r="CI18" s="1295"/>
      <c r="CJ18" s="1296"/>
      <c r="CK18" s="1294">
        <v>651</v>
      </c>
      <c r="CL18" s="1295"/>
      <c r="CM18" s="1295"/>
      <c r="CN18" s="1296"/>
      <c r="CO18" s="1300">
        <v>12</v>
      </c>
      <c r="CP18" s="1301"/>
      <c r="CQ18" s="1302"/>
      <c r="CR18" s="1300"/>
      <c r="CS18" s="1301"/>
      <c r="CT18" s="1301"/>
      <c r="CU18" s="1302"/>
      <c r="CV18" s="1300"/>
      <c r="CW18" s="1302"/>
      <c r="CX18" s="1300">
        <f t="shared" si="0"/>
        <v>0</v>
      </c>
      <c r="CY18" s="1302"/>
      <c r="CZ18" s="1294">
        <v>11</v>
      </c>
      <c r="DA18" s="1295"/>
      <c r="DB18" s="1296"/>
      <c r="DC18" s="1327">
        <v>8</v>
      </c>
      <c r="DD18" s="1329"/>
      <c r="DE18" s="166">
        <v>19</v>
      </c>
      <c r="DF18" s="168" t="s">
        <v>35</v>
      </c>
      <c r="DG18" s="321">
        <f t="shared" si="1"/>
        <v>0</v>
      </c>
    </row>
    <row r="19" spans="1:111" ht="50.1" customHeight="1">
      <c r="A19" s="320">
        <v>13</v>
      </c>
      <c r="B19" s="1319" t="s">
        <v>214</v>
      </c>
      <c r="C19" s="1320"/>
      <c r="D19" s="1320"/>
      <c r="E19" s="1320"/>
      <c r="F19" s="1320"/>
      <c r="G19" s="1321"/>
      <c r="H19" s="1322" t="s">
        <v>196</v>
      </c>
      <c r="I19" s="1323"/>
      <c r="J19" s="1323"/>
      <c r="K19" s="1324"/>
      <c r="L19" s="1319" t="s">
        <v>215</v>
      </c>
      <c r="M19" s="1321"/>
      <c r="N19" s="1317">
        <v>0</v>
      </c>
      <c r="O19" s="1318"/>
      <c r="P19" s="1300">
        <v>0</v>
      </c>
      <c r="Q19" s="1302"/>
      <c r="R19" s="1300">
        <v>0</v>
      </c>
      <c r="S19" s="1302"/>
      <c r="T19" s="1300">
        <v>0</v>
      </c>
      <c r="U19" s="1301"/>
      <c r="V19" s="1302"/>
      <c r="W19" s="1300">
        <v>0</v>
      </c>
      <c r="X19" s="1302"/>
      <c r="Y19" s="1300">
        <v>0</v>
      </c>
      <c r="Z19" s="1301"/>
      <c r="AA19" s="1302"/>
      <c r="AB19" s="1300">
        <v>0</v>
      </c>
      <c r="AC19" s="1301"/>
      <c r="AD19" s="1302"/>
      <c r="AE19" s="1317">
        <v>0</v>
      </c>
      <c r="AF19" s="1318"/>
      <c r="AG19" s="1300">
        <v>0</v>
      </c>
      <c r="AH19" s="1302"/>
      <c r="AI19" s="1300">
        <v>0</v>
      </c>
      <c r="AJ19" s="1302"/>
      <c r="AK19" s="1294">
        <v>0</v>
      </c>
      <c r="AL19" s="1296"/>
      <c r="AM19" s="1327">
        <v>0</v>
      </c>
      <c r="AN19" s="1329"/>
      <c r="AO19" s="1294">
        <v>0</v>
      </c>
      <c r="AP19" s="1295"/>
      <c r="AQ19" s="1296"/>
      <c r="AR19" s="1327">
        <v>0</v>
      </c>
      <c r="AS19" s="1328"/>
      <c r="AT19" s="1329"/>
      <c r="AU19" s="1300">
        <v>0</v>
      </c>
      <c r="AV19" s="1301"/>
      <c r="AW19" s="1302"/>
      <c r="AX19" s="1327">
        <v>0</v>
      </c>
      <c r="AY19" s="1328"/>
      <c r="AZ19" s="1329"/>
      <c r="BA19" s="167">
        <v>1</v>
      </c>
      <c r="BB19" s="1317">
        <v>56</v>
      </c>
      <c r="BC19" s="1318"/>
      <c r="BD19" s="1300">
        <v>33</v>
      </c>
      <c r="BE19" s="1302"/>
      <c r="BF19" s="1300">
        <v>89</v>
      </c>
      <c r="BG19" s="1301"/>
      <c r="BH19" s="1302"/>
      <c r="BI19" s="1300">
        <v>1</v>
      </c>
      <c r="BJ19" s="1302"/>
      <c r="BK19" s="1294">
        <v>21</v>
      </c>
      <c r="BL19" s="1296"/>
      <c r="BM19" s="1317">
        <v>23</v>
      </c>
      <c r="BN19" s="1330"/>
      <c r="BO19" s="1330"/>
      <c r="BP19" s="1318"/>
      <c r="BQ19" s="1294">
        <v>44</v>
      </c>
      <c r="BR19" s="1295"/>
      <c r="BS19" s="1296"/>
      <c r="BT19" s="167">
        <v>1</v>
      </c>
      <c r="BU19" s="1300">
        <v>27</v>
      </c>
      <c r="BV19" s="1301"/>
      <c r="BW19" s="1302"/>
      <c r="BX19" s="1300">
        <v>18</v>
      </c>
      <c r="BY19" s="1302"/>
      <c r="BZ19" s="1300">
        <v>45</v>
      </c>
      <c r="CA19" s="1302"/>
      <c r="CB19" s="1300">
        <v>3</v>
      </c>
      <c r="CC19" s="1301"/>
      <c r="CD19" s="1302"/>
      <c r="CE19" s="1294">
        <v>104</v>
      </c>
      <c r="CF19" s="1295"/>
      <c r="CG19" s="1296"/>
      <c r="CH19" s="1294">
        <v>74</v>
      </c>
      <c r="CI19" s="1295"/>
      <c r="CJ19" s="1296"/>
      <c r="CK19" s="1294">
        <v>178</v>
      </c>
      <c r="CL19" s="1295"/>
      <c r="CM19" s="1295"/>
      <c r="CN19" s="1296"/>
      <c r="CO19" s="1300">
        <v>3</v>
      </c>
      <c r="CP19" s="1301"/>
      <c r="CQ19" s="1302"/>
      <c r="CR19" s="1300"/>
      <c r="CS19" s="1301"/>
      <c r="CT19" s="1301"/>
      <c r="CU19" s="1302"/>
      <c r="CV19" s="1300"/>
      <c r="CW19" s="1302"/>
      <c r="CX19" s="1300">
        <f t="shared" si="0"/>
        <v>0</v>
      </c>
      <c r="CY19" s="1302"/>
      <c r="CZ19" s="1327">
        <v>5</v>
      </c>
      <c r="DA19" s="1328"/>
      <c r="DB19" s="1329"/>
      <c r="DC19" s="1327">
        <v>3</v>
      </c>
      <c r="DD19" s="1329"/>
      <c r="DE19" s="170">
        <v>8</v>
      </c>
      <c r="DF19" s="168" t="s">
        <v>35</v>
      </c>
      <c r="DG19" s="321">
        <f t="shared" si="1"/>
        <v>0</v>
      </c>
    </row>
    <row r="20" spans="1:111" ht="50.1" customHeight="1">
      <c r="A20" s="320">
        <v>14</v>
      </c>
      <c r="B20" s="1319" t="s">
        <v>216</v>
      </c>
      <c r="C20" s="1320"/>
      <c r="D20" s="1320"/>
      <c r="E20" s="1320"/>
      <c r="F20" s="1320"/>
      <c r="G20" s="1321"/>
      <c r="H20" s="1322" t="s">
        <v>196</v>
      </c>
      <c r="I20" s="1323"/>
      <c r="J20" s="1323"/>
      <c r="K20" s="1324"/>
      <c r="L20" s="1319" t="s">
        <v>207</v>
      </c>
      <c r="M20" s="1321"/>
      <c r="N20" s="1317">
        <v>0</v>
      </c>
      <c r="O20" s="1318"/>
      <c r="P20" s="1300">
        <v>0</v>
      </c>
      <c r="Q20" s="1302"/>
      <c r="R20" s="1300">
        <v>0</v>
      </c>
      <c r="S20" s="1302"/>
      <c r="T20" s="1300">
        <v>0</v>
      </c>
      <c r="U20" s="1301"/>
      <c r="V20" s="1302"/>
      <c r="W20" s="1300">
        <v>0</v>
      </c>
      <c r="X20" s="1302"/>
      <c r="Y20" s="1300">
        <v>0</v>
      </c>
      <c r="Z20" s="1301"/>
      <c r="AA20" s="1302"/>
      <c r="AB20" s="1300">
        <v>0</v>
      </c>
      <c r="AC20" s="1301"/>
      <c r="AD20" s="1302"/>
      <c r="AE20" s="1317">
        <v>0</v>
      </c>
      <c r="AF20" s="1318"/>
      <c r="AG20" s="1300">
        <v>0</v>
      </c>
      <c r="AH20" s="1302"/>
      <c r="AI20" s="1300">
        <v>0</v>
      </c>
      <c r="AJ20" s="1302"/>
      <c r="AK20" s="1294">
        <v>0</v>
      </c>
      <c r="AL20" s="1296"/>
      <c r="AM20" s="1327">
        <v>0</v>
      </c>
      <c r="AN20" s="1329"/>
      <c r="AO20" s="1294">
        <v>0</v>
      </c>
      <c r="AP20" s="1295"/>
      <c r="AQ20" s="1296"/>
      <c r="AR20" s="1327">
        <v>0</v>
      </c>
      <c r="AS20" s="1328"/>
      <c r="AT20" s="1329"/>
      <c r="AU20" s="1300">
        <v>0</v>
      </c>
      <c r="AV20" s="1301"/>
      <c r="AW20" s="1302"/>
      <c r="AX20" s="1327">
        <v>0</v>
      </c>
      <c r="AY20" s="1328"/>
      <c r="AZ20" s="1329"/>
      <c r="BA20" s="167">
        <v>3</v>
      </c>
      <c r="BB20" s="1317">
        <v>161</v>
      </c>
      <c r="BC20" s="1318"/>
      <c r="BD20" s="1300">
        <v>172</v>
      </c>
      <c r="BE20" s="1302"/>
      <c r="BF20" s="1300">
        <v>333</v>
      </c>
      <c r="BG20" s="1301"/>
      <c r="BH20" s="1302"/>
      <c r="BI20" s="1300">
        <v>3</v>
      </c>
      <c r="BJ20" s="1302"/>
      <c r="BK20" s="1294">
        <v>130</v>
      </c>
      <c r="BL20" s="1296"/>
      <c r="BM20" s="1317">
        <v>140</v>
      </c>
      <c r="BN20" s="1330"/>
      <c r="BO20" s="1330"/>
      <c r="BP20" s="1318"/>
      <c r="BQ20" s="1294">
        <v>270</v>
      </c>
      <c r="BR20" s="1295"/>
      <c r="BS20" s="1296"/>
      <c r="BT20" s="167">
        <v>3</v>
      </c>
      <c r="BU20" s="1300">
        <v>122</v>
      </c>
      <c r="BV20" s="1301"/>
      <c r="BW20" s="1302"/>
      <c r="BX20" s="1300">
        <v>112</v>
      </c>
      <c r="BY20" s="1302"/>
      <c r="BZ20" s="1300">
        <v>234</v>
      </c>
      <c r="CA20" s="1302"/>
      <c r="CB20" s="1300">
        <v>9</v>
      </c>
      <c r="CC20" s="1301"/>
      <c r="CD20" s="1302"/>
      <c r="CE20" s="1294">
        <v>413</v>
      </c>
      <c r="CF20" s="1295"/>
      <c r="CG20" s="1296"/>
      <c r="CH20" s="1294">
        <v>424</v>
      </c>
      <c r="CI20" s="1295"/>
      <c r="CJ20" s="1296"/>
      <c r="CK20" s="1294">
        <v>837</v>
      </c>
      <c r="CL20" s="1295"/>
      <c r="CM20" s="1295"/>
      <c r="CN20" s="1296"/>
      <c r="CO20" s="1300">
        <v>9</v>
      </c>
      <c r="CP20" s="1301"/>
      <c r="CQ20" s="1302"/>
      <c r="CR20" s="1300"/>
      <c r="CS20" s="1301"/>
      <c r="CT20" s="1301"/>
      <c r="CU20" s="1302"/>
      <c r="CV20" s="1300"/>
      <c r="CW20" s="1302"/>
      <c r="CX20" s="1300">
        <f t="shared" si="0"/>
        <v>0</v>
      </c>
      <c r="CY20" s="1302"/>
      <c r="CZ20" s="1327">
        <v>5</v>
      </c>
      <c r="DA20" s="1328"/>
      <c r="DB20" s="1329"/>
      <c r="DC20" s="1294">
        <v>11</v>
      </c>
      <c r="DD20" s="1296"/>
      <c r="DE20" s="166">
        <v>16</v>
      </c>
      <c r="DF20" s="168" t="s">
        <v>35</v>
      </c>
      <c r="DG20" s="321">
        <f t="shared" si="1"/>
        <v>0</v>
      </c>
    </row>
    <row r="21" spans="1:111" ht="50.1" customHeight="1">
      <c r="A21" s="320">
        <v>15</v>
      </c>
      <c r="B21" s="1319" t="s">
        <v>217</v>
      </c>
      <c r="C21" s="1320"/>
      <c r="D21" s="1320"/>
      <c r="E21" s="1320"/>
      <c r="F21" s="1320"/>
      <c r="G21" s="1321"/>
      <c r="H21" s="1322" t="s">
        <v>196</v>
      </c>
      <c r="I21" s="1323"/>
      <c r="J21" s="1323"/>
      <c r="K21" s="1324"/>
      <c r="L21" s="1319" t="s">
        <v>199</v>
      </c>
      <c r="M21" s="1321"/>
      <c r="N21" s="1317">
        <v>2</v>
      </c>
      <c r="O21" s="1318"/>
      <c r="P21" s="1300">
        <v>74</v>
      </c>
      <c r="Q21" s="1302"/>
      <c r="R21" s="1300">
        <v>61</v>
      </c>
      <c r="S21" s="1302"/>
      <c r="T21" s="1300">
        <v>135</v>
      </c>
      <c r="U21" s="1301"/>
      <c r="V21" s="1302"/>
      <c r="W21" s="1300">
        <v>2</v>
      </c>
      <c r="X21" s="1302"/>
      <c r="Y21" s="1300">
        <v>58</v>
      </c>
      <c r="Z21" s="1301"/>
      <c r="AA21" s="1302"/>
      <c r="AB21" s="1300">
        <v>54</v>
      </c>
      <c r="AC21" s="1301"/>
      <c r="AD21" s="1302"/>
      <c r="AE21" s="1317">
        <v>112</v>
      </c>
      <c r="AF21" s="1318"/>
      <c r="AG21" s="1300">
        <v>2</v>
      </c>
      <c r="AH21" s="1302"/>
      <c r="AI21" s="1300">
        <v>54</v>
      </c>
      <c r="AJ21" s="1302"/>
      <c r="AK21" s="1294">
        <v>50</v>
      </c>
      <c r="AL21" s="1296"/>
      <c r="AM21" s="1294">
        <v>104</v>
      </c>
      <c r="AN21" s="1296"/>
      <c r="AO21" s="1294">
        <v>6</v>
      </c>
      <c r="AP21" s="1295"/>
      <c r="AQ21" s="1296"/>
      <c r="AR21" s="1294">
        <v>186</v>
      </c>
      <c r="AS21" s="1295"/>
      <c r="AT21" s="1296"/>
      <c r="AU21" s="1300">
        <v>165</v>
      </c>
      <c r="AV21" s="1301"/>
      <c r="AW21" s="1302"/>
      <c r="AX21" s="1294">
        <v>351</v>
      </c>
      <c r="AY21" s="1295"/>
      <c r="AZ21" s="1296"/>
      <c r="BA21" s="167">
        <v>1</v>
      </c>
      <c r="BB21" s="1317">
        <v>52</v>
      </c>
      <c r="BC21" s="1318"/>
      <c r="BD21" s="1300">
        <v>40</v>
      </c>
      <c r="BE21" s="1302"/>
      <c r="BF21" s="1300">
        <v>92</v>
      </c>
      <c r="BG21" s="1301"/>
      <c r="BH21" s="1302"/>
      <c r="BI21" s="1300">
        <v>1</v>
      </c>
      <c r="BJ21" s="1302"/>
      <c r="BK21" s="1294">
        <v>40</v>
      </c>
      <c r="BL21" s="1296"/>
      <c r="BM21" s="1317">
        <v>30</v>
      </c>
      <c r="BN21" s="1330"/>
      <c r="BO21" s="1330"/>
      <c r="BP21" s="1318"/>
      <c r="BQ21" s="1294">
        <v>70</v>
      </c>
      <c r="BR21" s="1295"/>
      <c r="BS21" s="1296"/>
      <c r="BT21" s="167">
        <v>1</v>
      </c>
      <c r="BU21" s="1300">
        <v>39</v>
      </c>
      <c r="BV21" s="1301"/>
      <c r="BW21" s="1302"/>
      <c r="BX21" s="1300">
        <v>21</v>
      </c>
      <c r="BY21" s="1302"/>
      <c r="BZ21" s="1300">
        <v>60</v>
      </c>
      <c r="CA21" s="1302"/>
      <c r="CB21" s="1300">
        <v>3</v>
      </c>
      <c r="CC21" s="1301"/>
      <c r="CD21" s="1302"/>
      <c r="CE21" s="1294">
        <v>131</v>
      </c>
      <c r="CF21" s="1295"/>
      <c r="CG21" s="1296"/>
      <c r="CH21" s="1294">
        <v>91</v>
      </c>
      <c r="CI21" s="1295"/>
      <c r="CJ21" s="1296"/>
      <c r="CK21" s="1294">
        <v>222</v>
      </c>
      <c r="CL21" s="1295"/>
      <c r="CM21" s="1295"/>
      <c r="CN21" s="1296"/>
      <c r="CO21" s="1300">
        <v>9</v>
      </c>
      <c r="CP21" s="1301"/>
      <c r="CQ21" s="1302"/>
      <c r="CR21" s="1300"/>
      <c r="CS21" s="1301"/>
      <c r="CT21" s="1301"/>
      <c r="CU21" s="1302"/>
      <c r="CV21" s="1300"/>
      <c r="CW21" s="1302"/>
      <c r="CX21" s="1300">
        <f t="shared" si="0"/>
        <v>0</v>
      </c>
      <c r="CY21" s="1302"/>
      <c r="CZ21" s="1294">
        <v>12</v>
      </c>
      <c r="DA21" s="1295"/>
      <c r="DB21" s="1296"/>
      <c r="DC21" s="1294">
        <v>13</v>
      </c>
      <c r="DD21" s="1296"/>
      <c r="DE21" s="166">
        <v>25</v>
      </c>
      <c r="DF21" s="168" t="s">
        <v>35</v>
      </c>
      <c r="DG21" s="321">
        <f t="shared" si="1"/>
        <v>0</v>
      </c>
    </row>
    <row r="22" spans="1:111" ht="50.1" customHeight="1">
      <c r="A22" s="320">
        <v>16</v>
      </c>
      <c r="B22" s="1319" t="s">
        <v>218</v>
      </c>
      <c r="C22" s="1320"/>
      <c r="D22" s="1320"/>
      <c r="E22" s="1320"/>
      <c r="F22" s="1320"/>
      <c r="G22" s="1321"/>
      <c r="H22" s="1334" t="s">
        <v>196</v>
      </c>
      <c r="I22" s="1335"/>
      <c r="J22" s="1335"/>
      <c r="K22" s="1336"/>
      <c r="L22" s="1331" t="s">
        <v>219</v>
      </c>
      <c r="M22" s="1333"/>
      <c r="N22" s="1317">
        <v>1</v>
      </c>
      <c r="O22" s="1318"/>
      <c r="P22" s="1300">
        <v>26</v>
      </c>
      <c r="Q22" s="1302"/>
      <c r="R22" s="1300">
        <v>30</v>
      </c>
      <c r="S22" s="1302"/>
      <c r="T22" s="1300">
        <v>56</v>
      </c>
      <c r="U22" s="1301"/>
      <c r="V22" s="1302"/>
      <c r="W22" s="1300">
        <v>1</v>
      </c>
      <c r="X22" s="1302"/>
      <c r="Y22" s="1300">
        <v>28</v>
      </c>
      <c r="Z22" s="1301"/>
      <c r="AA22" s="1302"/>
      <c r="AB22" s="1300">
        <v>31</v>
      </c>
      <c r="AC22" s="1301"/>
      <c r="AD22" s="1302"/>
      <c r="AE22" s="1317">
        <v>59</v>
      </c>
      <c r="AF22" s="1318"/>
      <c r="AG22" s="1300">
        <v>1</v>
      </c>
      <c r="AH22" s="1302"/>
      <c r="AI22" s="1300">
        <v>21</v>
      </c>
      <c r="AJ22" s="1302"/>
      <c r="AK22" s="1294">
        <v>27</v>
      </c>
      <c r="AL22" s="1296"/>
      <c r="AM22" s="1294">
        <v>48</v>
      </c>
      <c r="AN22" s="1296"/>
      <c r="AO22" s="1294">
        <v>3</v>
      </c>
      <c r="AP22" s="1295"/>
      <c r="AQ22" s="1296"/>
      <c r="AR22" s="1294">
        <v>75</v>
      </c>
      <c r="AS22" s="1295"/>
      <c r="AT22" s="1296"/>
      <c r="AU22" s="1300">
        <v>88</v>
      </c>
      <c r="AV22" s="1301"/>
      <c r="AW22" s="1302"/>
      <c r="AX22" s="1294">
        <v>163</v>
      </c>
      <c r="AY22" s="1295"/>
      <c r="AZ22" s="1296"/>
      <c r="BA22" s="167">
        <v>1</v>
      </c>
      <c r="BB22" s="1317">
        <v>26</v>
      </c>
      <c r="BC22" s="1318"/>
      <c r="BD22" s="1300">
        <v>21</v>
      </c>
      <c r="BE22" s="1302"/>
      <c r="BF22" s="1300">
        <v>47</v>
      </c>
      <c r="BG22" s="1301"/>
      <c r="BH22" s="1302"/>
      <c r="BI22" s="1300">
        <v>1</v>
      </c>
      <c r="BJ22" s="1302"/>
      <c r="BK22" s="1294">
        <v>6</v>
      </c>
      <c r="BL22" s="1296"/>
      <c r="BM22" s="1317">
        <v>16</v>
      </c>
      <c r="BN22" s="1330"/>
      <c r="BO22" s="1330"/>
      <c r="BP22" s="1318"/>
      <c r="BQ22" s="1294">
        <v>22</v>
      </c>
      <c r="BR22" s="1295"/>
      <c r="BS22" s="1296"/>
      <c r="BT22" s="167">
        <v>1</v>
      </c>
      <c r="BU22" s="1300">
        <v>10</v>
      </c>
      <c r="BV22" s="1301"/>
      <c r="BW22" s="1302"/>
      <c r="BX22" s="1300">
        <v>9</v>
      </c>
      <c r="BY22" s="1302"/>
      <c r="BZ22" s="1300">
        <v>19</v>
      </c>
      <c r="CA22" s="1302"/>
      <c r="CB22" s="1300">
        <v>3</v>
      </c>
      <c r="CC22" s="1301"/>
      <c r="CD22" s="1302"/>
      <c r="CE22" s="1294">
        <v>42</v>
      </c>
      <c r="CF22" s="1295"/>
      <c r="CG22" s="1296"/>
      <c r="CH22" s="1294">
        <v>46</v>
      </c>
      <c r="CI22" s="1295"/>
      <c r="CJ22" s="1296"/>
      <c r="CK22" s="1294">
        <v>88</v>
      </c>
      <c r="CL22" s="1295"/>
      <c r="CM22" s="1295"/>
      <c r="CN22" s="1296"/>
      <c r="CO22" s="1300">
        <v>6</v>
      </c>
      <c r="CP22" s="1301"/>
      <c r="CQ22" s="1302"/>
      <c r="CR22" s="1300"/>
      <c r="CS22" s="1301"/>
      <c r="CT22" s="1301"/>
      <c r="CU22" s="1302"/>
      <c r="CV22" s="1300"/>
      <c r="CW22" s="1302"/>
      <c r="CX22" s="1300">
        <f t="shared" si="0"/>
        <v>0</v>
      </c>
      <c r="CY22" s="1302"/>
      <c r="CZ22" s="1327">
        <v>6</v>
      </c>
      <c r="DA22" s="1328"/>
      <c r="DB22" s="1329"/>
      <c r="DC22" s="1327">
        <v>7</v>
      </c>
      <c r="DD22" s="1329"/>
      <c r="DE22" s="166">
        <v>13</v>
      </c>
      <c r="DF22" s="168" t="s">
        <v>35</v>
      </c>
      <c r="DG22" s="321">
        <f t="shared" si="1"/>
        <v>0</v>
      </c>
    </row>
    <row r="23" spans="1:111" ht="50.1" customHeight="1">
      <c r="A23" s="320">
        <v>17</v>
      </c>
      <c r="B23" s="1319" t="s">
        <v>220</v>
      </c>
      <c r="C23" s="1320"/>
      <c r="D23" s="1320"/>
      <c r="E23" s="1320"/>
      <c r="F23" s="1320"/>
      <c r="G23" s="1321"/>
      <c r="H23" s="1322" t="s">
        <v>196</v>
      </c>
      <c r="I23" s="1323"/>
      <c r="J23" s="1323"/>
      <c r="K23" s="1324"/>
      <c r="L23" s="1319" t="s">
        <v>221</v>
      </c>
      <c r="M23" s="1321"/>
      <c r="N23" s="1317">
        <v>1</v>
      </c>
      <c r="O23" s="1318"/>
      <c r="P23" s="1300">
        <v>30</v>
      </c>
      <c r="Q23" s="1302"/>
      <c r="R23" s="1300">
        <v>41</v>
      </c>
      <c r="S23" s="1302"/>
      <c r="T23" s="1300">
        <v>71</v>
      </c>
      <c r="U23" s="1301"/>
      <c r="V23" s="1302"/>
      <c r="W23" s="1300">
        <v>1</v>
      </c>
      <c r="X23" s="1302"/>
      <c r="Y23" s="1300">
        <v>23</v>
      </c>
      <c r="Z23" s="1301"/>
      <c r="AA23" s="1302"/>
      <c r="AB23" s="1300">
        <v>18</v>
      </c>
      <c r="AC23" s="1301"/>
      <c r="AD23" s="1302"/>
      <c r="AE23" s="1317">
        <v>41</v>
      </c>
      <c r="AF23" s="1318"/>
      <c r="AG23" s="1300">
        <v>1</v>
      </c>
      <c r="AH23" s="1302"/>
      <c r="AI23" s="1300">
        <v>27</v>
      </c>
      <c r="AJ23" s="1302"/>
      <c r="AK23" s="1294">
        <v>24</v>
      </c>
      <c r="AL23" s="1296"/>
      <c r="AM23" s="1294">
        <v>51</v>
      </c>
      <c r="AN23" s="1296"/>
      <c r="AO23" s="1294">
        <v>3</v>
      </c>
      <c r="AP23" s="1295"/>
      <c r="AQ23" s="1296"/>
      <c r="AR23" s="1294">
        <v>80</v>
      </c>
      <c r="AS23" s="1295"/>
      <c r="AT23" s="1296"/>
      <c r="AU23" s="1300">
        <v>83</v>
      </c>
      <c r="AV23" s="1301"/>
      <c r="AW23" s="1302"/>
      <c r="AX23" s="1294">
        <v>163</v>
      </c>
      <c r="AY23" s="1295"/>
      <c r="AZ23" s="1296"/>
      <c r="BA23" s="167">
        <v>1</v>
      </c>
      <c r="BB23" s="1317">
        <v>27</v>
      </c>
      <c r="BC23" s="1318"/>
      <c r="BD23" s="1300">
        <v>16</v>
      </c>
      <c r="BE23" s="1302"/>
      <c r="BF23" s="1300">
        <v>43</v>
      </c>
      <c r="BG23" s="1301"/>
      <c r="BH23" s="1302"/>
      <c r="BI23" s="1300">
        <v>1</v>
      </c>
      <c r="BJ23" s="1302"/>
      <c r="BK23" s="1294">
        <v>13</v>
      </c>
      <c r="BL23" s="1296"/>
      <c r="BM23" s="1317">
        <v>11</v>
      </c>
      <c r="BN23" s="1330"/>
      <c r="BO23" s="1330"/>
      <c r="BP23" s="1318"/>
      <c r="BQ23" s="1294">
        <v>24</v>
      </c>
      <c r="BR23" s="1295"/>
      <c r="BS23" s="1296"/>
      <c r="BT23" s="167">
        <v>1</v>
      </c>
      <c r="BU23" s="1300">
        <v>19</v>
      </c>
      <c r="BV23" s="1301"/>
      <c r="BW23" s="1302"/>
      <c r="BX23" s="1300">
        <v>10</v>
      </c>
      <c r="BY23" s="1302"/>
      <c r="BZ23" s="1300">
        <v>29</v>
      </c>
      <c r="CA23" s="1302"/>
      <c r="CB23" s="1300">
        <v>3</v>
      </c>
      <c r="CC23" s="1301"/>
      <c r="CD23" s="1302"/>
      <c r="CE23" s="1294">
        <v>59</v>
      </c>
      <c r="CF23" s="1295"/>
      <c r="CG23" s="1296"/>
      <c r="CH23" s="1294">
        <v>37</v>
      </c>
      <c r="CI23" s="1295"/>
      <c r="CJ23" s="1296"/>
      <c r="CK23" s="1294">
        <v>96</v>
      </c>
      <c r="CL23" s="1295"/>
      <c r="CM23" s="1295"/>
      <c r="CN23" s="1296"/>
      <c r="CO23" s="1300">
        <v>6</v>
      </c>
      <c r="CP23" s="1301"/>
      <c r="CQ23" s="1302"/>
      <c r="CR23" s="1300"/>
      <c r="CS23" s="1301"/>
      <c r="CT23" s="1301"/>
      <c r="CU23" s="1302"/>
      <c r="CV23" s="1300"/>
      <c r="CW23" s="1302"/>
      <c r="CX23" s="1300">
        <f t="shared" si="0"/>
        <v>0</v>
      </c>
      <c r="CY23" s="1302"/>
      <c r="CZ23" s="1294">
        <v>12</v>
      </c>
      <c r="DA23" s="1295"/>
      <c r="DB23" s="1296"/>
      <c r="DC23" s="1327">
        <v>5</v>
      </c>
      <c r="DD23" s="1329"/>
      <c r="DE23" s="166">
        <v>17</v>
      </c>
      <c r="DF23" s="168" t="s">
        <v>35</v>
      </c>
      <c r="DG23" s="321">
        <f t="shared" si="1"/>
        <v>0</v>
      </c>
    </row>
    <row r="24" spans="1:111" ht="50.1" customHeight="1">
      <c r="A24" s="320">
        <v>18</v>
      </c>
      <c r="B24" s="1319" t="s">
        <v>222</v>
      </c>
      <c r="C24" s="1320"/>
      <c r="D24" s="1320"/>
      <c r="E24" s="1320"/>
      <c r="F24" s="1320"/>
      <c r="G24" s="1321"/>
      <c r="H24" s="1322" t="s">
        <v>196</v>
      </c>
      <c r="I24" s="1323"/>
      <c r="J24" s="1323"/>
      <c r="K24" s="1324"/>
      <c r="L24" s="1319" t="s">
        <v>199</v>
      </c>
      <c r="M24" s="1321"/>
      <c r="N24" s="1313">
        <v>8</v>
      </c>
      <c r="O24" s="1315"/>
      <c r="P24" s="1309">
        <v>198</v>
      </c>
      <c r="Q24" s="1310"/>
      <c r="R24" s="1309">
        <v>375</v>
      </c>
      <c r="S24" s="1310"/>
      <c r="T24" s="1300">
        <v>573</v>
      </c>
      <c r="U24" s="1301"/>
      <c r="V24" s="1302"/>
      <c r="W24" s="1309">
        <v>8</v>
      </c>
      <c r="X24" s="1310"/>
      <c r="Y24" s="1309">
        <v>292</v>
      </c>
      <c r="Z24" s="1316"/>
      <c r="AA24" s="1310"/>
      <c r="AB24" s="1309">
        <v>357</v>
      </c>
      <c r="AC24" s="1316"/>
      <c r="AD24" s="1310"/>
      <c r="AE24" s="1317">
        <v>649</v>
      </c>
      <c r="AF24" s="1318"/>
      <c r="AG24" s="1309">
        <v>3</v>
      </c>
      <c r="AH24" s="1310"/>
      <c r="AI24" s="1309">
        <v>248</v>
      </c>
      <c r="AJ24" s="1310"/>
      <c r="AK24" s="1311">
        <v>303</v>
      </c>
      <c r="AL24" s="1312"/>
      <c r="AM24" s="1294">
        <v>551</v>
      </c>
      <c r="AN24" s="1296"/>
      <c r="AO24" s="1294">
        <v>19</v>
      </c>
      <c r="AP24" s="1295"/>
      <c r="AQ24" s="1296"/>
      <c r="AR24" s="1294">
        <v>738</v>
      </c>
      <c r="AS24" s="1295"/>
      <c r="AT24" s="1296"/>
      <c r="AU24" s="1300">
        <v>1035</v>
      </c>
      <c r="AV24" s="1301"/>
      <c r="AW24" s="1302"/>
      <c r="AX24" s="1294">
        <v>1773</v>
      </c>
      <c r="AY24" s="1295"/>
      <c r="AZ24" s="1296"/>
      <c r="BA24" s="169">
        <v>6</v>
      </c>
      <c r="BB24" s="1313">
        <v>224</v>
      </c>
      <c r="BC24" s="1315"/>
      <c r="BD24" s="1309">
        <v>270</v>
      </c>
      <c r="BE24" s="1310"/>
      <c r="BF24" s="1300">
        <v>494</v>
      </c>
      <c r="BG24" s="1301"/>
      <c r="BH24" s="1302"/>
      <c r="BI24" s="1309">
        <v>6</v>
      </c>
      <c r="BJ24" s="1310"/>
      <c r="BK24" s="1311">
        <v>215</v>
      </c>
      <c r="BL24" s="1312"/>
      <c r="BM24" s="1313">
        <v>263</v>
      </c>
      <c r="BN24" s="1314"/>
      <c r="BO24" s="1314"/>
      <c r="BP24" s="1315"/>
      <c r="BQ24" s="1294">
        <v>478</v>
      </c>
      <c r="BR24" s="1295"/>
      <c r="BS24" s="1296"/>
      <c r="BT24" s="169">
        <v>5</v>
      </c>
      <c r="BU24" s="1309">
        <v>206</v>
      </c>
      <c r="BV24" s="1316"/>
      <c r="BW24" s="1310"/>
      <c r="BX24" s="1309">
        <v>250</v>
      </c>
      <c r="BY24" s="1310"/>
      <c r="BZ24" s="1300">
        <v>456</v>
      </c>
      <c r="CA24" s="1302"/>
      <c r="CB24" s="1300">
        <v>17</v>
      </c>
      <c r="CC24" s="1301"/>
      <c r="CD24" s="1302"/>
      <c r="CE24" s="1294">
        <v>645</v>
      </c>
      <c r="CF24" s="1295"/>
      <c r="CG24" s="1296"/>
      <c r="CH24" s="1294">
        <v>783</v>
      </c>
      <c r="CI24" s="1295"/>
      <c r="CJ24" s="1296"/>
      <c r="CK24" s="1294">
        <v>1428</v>
      </c>
      <c r="CL24" s="1295"/>
      <c r="CM24" s="1295"/>
      <c r="CN24" s="1296"/>
      <c r="CO24" s="1300">
        <v>36</v>
      </c>
      <c r="CP24" s="1301"/>
      <c r="CQ24" s="1302"/>
      <c r="CR24" s="1300"/>
      <c r="CS24" s="1301"/>
      <c r="CT24" s="1301"/>
      <c r="CU24" s="1302"/>
      <c r="CV24" s="1300"/>
      <c r="CW24" s="1302"/>
      <c r="CX24" s="1300">
        <f t="shared" si="0"/>
        <v>0</v>
      </c>
      <c r="CY24" s="1302"/>
      <c r="CZ24" s="1294">
        <v>13</v>
      </c>
      <c r="DA24" s="1295"/>
      <c r="DB24" s="1296"/>
      <c r="DC24" s="1294">
        <v>24</v>
      </c>
      <c r="DD24" s="1296"/>
      <c r="DE24" s="166">
        <v>37</v>
      </c>
      <c r="DF24" s="168" t="s">
        <v>35</v>
      </c>
      <c r="DG24" s="321">
        <f t="shared" si="1"/>
        <v>0</v>
      </c>
    </row>
    <row r="25" spans="1:111" ht="50.1" customHeight="1">
      <c r="A25" s="320">
        <v>19</v>
      </c>
      <c r="B25" s="1319" t="s">
        <v>223</v>
      </c>
      <c r="C25" s="1320"/>
      <c r="D25" s="1320"/>
      <c r="E25" s="1320"/>
      <c r="F25" s="1320"/>
      <c r="G25" s="1321"/>
      <c r="H25" s="1322" t="s">
        <v>196</v>
      </c>
      <c r="I25" s="1323"/>
      <c r="J25" s="1323"/>
      <c r="K25" s="1324"/>
      <c r="L25" s="1319" t="s">
        <v>224</v>
      </c>
      <c r="M25" s="1321"/>
      <c r="N25" s="1317">
        <v>2</v>
      </c>
      <c r="O25" s="1318"/>
      <c r="P25" s="1300">
        <v>37</v>
      </c>
      <c r="Q25" s="1302"/>
      <c r="R25" s="1300">
        <v>21</v>
      </c>
      <c r="S25" s="1302"/>
      <c r="T25" s="1300">
        <v>58</v>
      </c>
      <c r="U25" s="1301"/>
      <c r="V25" s="1302"/>
      <c r="W25" s="1300">
        <v>2</v>
      </c>
      <c r="X25" s="1302"/>
      <c r="Y25" s="1300">
        <v>43</v>
      </c>
      <c r="Z25" s="1301"/>
      <c r="AA25" s="1302"/>
      <c r="AB25" s="1300">
        <v>32</v>
      </c>
      <c r="AC25" s="1301"/>
      <c r="AD25" s="1302"/>
      <c r="AE25" s="1317">
        <v>75</v>
      </c>
      <c r="AF25" s="1318"/>
      <c r="AG25" s="1300">
        <v>2</v>
      </c>
      <c r="AH25" s="1302"/>
      <c r="AI25" s="1300">
        <v>34</v>
      </c>
      <c r="AJ25" s="1302"/>
      <c r="AK25" s="1294">
        <v>34</v>
      </c>
      <c r="AL25" s="1296"/>
      <c r="AM25" s="1294">
        <v>68</v>
      </c>
      <c r="AN25" s="1296"/>
      <c r="AO25" s="1294">
        <v>6</v>
      </c>
      <c r="AP25" s="1295"/>
      <c r="AQ25" s="1296"/>
      <c r="AR25" s="1294">
        <v>114</v>
      </c>
      <c r="AS25" s="1295"/>
      <c r="AT25" s="1296"/>
      <c r="AU25" s="1300">
        <v>87</v>
      </c>
      <c r="AV25" s="1301"/>
      <c r="AW25" s="1302"/>
      <c r="AX25" s="1294">
        <v>201</v>
      </c>
      <c r="AY25" s="1295"/>
      <c r="AZ25" s="1296"/>
      <c r="BA25" s="167">
        <v>1</v>
      </c>
      <c r="BB25" s="1317">
        <v>19</v>
      </c>
      <c r="BC25" s="1318"/>
      <c r="BD25" s="1300">
        <v>13</v>
      </c>
      <c r="BE25" s="1302"/>
      <c r="BF25" s="1300">
        <v>32</v>
      </c>
      <c r="BG25" s="1301"/>
      <c r="BH25" s="1302"/>
      <c r="BI25" s="1300">
        <v>1</v>
      </c>
      <c r="BJ25" s="1302"/>
      <c r="BK25" s="1294">
        <v>26</v>
      </c>
      <c r="BL25" s="1296"/>
      <c r="BM25" s="1317">
        <v>14</v>
      </c>
      <c r="BN25" s="1330"/>
      <c r="BO25" s="1330"/>
      <c r="BP25" s="1318"/>
      <c r="BQ25" s="1294">
        <v>40</v>
      </c>
      <c r="BR25" s="1295"/>
      <c r="BS25" s="1296"/>
      <c r="BT25" s="167">
        <v>1</v>
      </c>
      <c r="BU25" s="1300">
        <v>14</v>
      </c>
      <c r="BV25" s="1301"/>
      <c r="BW25" s="1302"/>
      <c r="BX25" s="1300">
        <v>12</v>
      </c>
      <c r="BY25" s="1302"/>
      <c r="BZ25" s="1300">
        <v>26</v>
      </c>
      <c r="CA25" s="1302"/>
      <c r="CB25" s="1300">
        <v>3</v>
      </c>
      <c r="CC25" s="1301"/>
      <c r="CD25" s="1302"/>
      <c r="CE25" s="1294">
        <v>59</v>
      </c>
      <c r="CF25" s="1295"/>
      <c r="CG25" s="1296"/>
      <c r="CH25" s="1294">
        <v>39</v>
      </c>
      <c r="CI25" s="1295"/>
      <c r="CJ25" s="1296"/>
      <c r="CK25" s="1294">
        <v>98</v>
      </c>
      <c r="CL25" s="1295"/>
      <c r="CM25" s="1295"/>
      <c r="CN25" s="1296"/>
      <c r="CO25" s="1300">
        <v>9</v>
      </c>
      <c r="CP25" s="1301"/>
      <c r="CQ25" s="1302"/>
      <c r="CR25" s="1300"/>
      <c r="CS25" s="1301"/>
      <c r="CT25" s="1301"/>
      <c r="CU25" s="1302"/>
      <c r="CV25" s="1300"/>
      <c r="CW25" s="1302"/>
      <c r="CX25" s="1300">
        <f t="shared" si="0"/>
        <v>0</v>
      </c>
      <c r="CY25" s="1302"/>
      <c r="CZ25" s="1294">
        <v>12</v>
      </c>
      <c r="DA25" s="1295"/>
      <c r="DB25" s="1296"/>
      <c r="DC25" s="1294">
        <v>11</v>
      </c>
      <c r="DD25" s="1296"/>
      <c r="DE25" s="166">
        <v>23</v>
      </c>
      <c r="DF25" s="168" t="s">
        <v>35</v>
      </c>
      <c r="DG25" s="321">
        <f t="shared" si="1"/>
        <v>0</v>
      </c>
    </row>
    <row r="26" spans="1:111" ht="50.1" customHeight="1">
      <c r="A26" s="320">
        <v>20</v>
      </c>
      <c r="B26" s="1331" t="s">
        <v>225</v>
      </c>
      <c r="C26" s="1332"/>
      <c r="D26" s="1332"/>
      <c r="E26" s="1332"/>
      <c r="F26" s="1332"/>
      <c r="G26" s="1333"/>
      <c r="H26" s="1322" t="s">
        <v>196</v>
      </c>
      <c r="I26" s="1323"/>
      <c r="J26" s="1323"/>
      <c r="K26" s="1324"/>
      <c r="L26" s="1319" t="s">
        <v>226</v>
      </c>
      <c r="M26" s="1321"/>
      <c r="N26" s="1313">
        <v>3</v>
      </c>
      <c r="O26" s="1315"/>
      <c r="P26" s="1309">
        <v>67</v>
      </c>
      <c r="Q26" s="1310"/>
      <c r="R26" s="1309">
        <v>55</v>
      </c>
      <c r="S26" s="1310"/>
      <c r="T26" s="1300">
        <v>122</v>
      </c>
      <c r="U26" s="1301"/>
      <c r="V26" s="1302"/>
      <c r="W26" s="1309">
        <v>2</v>
      </c>
      <c r="X26" s="1310"/>
      <c r="Y26" s="1309">
        <v>47</v>
      </c>
      <c r="Z26" s="1316"/>
      <c r="AA26" s="1310"/>
      <c r="AB26" s="1309">
        <v>45</v>
      </c>
      <c r="AC26" s="1316"/>
      <c r="AD26" s="1310"/>
      <c r="AE26" s="1317">
        <v>92</v>
      </c>
      <c r="AF26" s="1318"/>
      <c r="AG26" s="1309">
        <v>2</v>
      </c>
      <c r="AH26" s="1310"/>
      <c r="AI26" s="1309">
        <v>59</v>
      </c>
      <c r="AJ26" s="1310"/>
      <c r="AK26" s="1311">
        <v>39</v>
      </c>
      <c r="AL26" s="1312"/>
      <c r="AM26" s="1294">
        <v>98</v>
      </c>
      <c r="AN26" s="1296"/>
      <c r="AO26" s="1294">
        <v>7</v>
      </c>
      <c r="AP26" s="1295"/>
      <c r="AQ26" s="1296"/>
      <c r="AR26" s="1294">
        <v>173</v>
      </c>
      <c r="AS26" s="1295"/>
      <c r="AT26" s="1296"/>
      <c r="AU26" s="1300">
        <v>139</v>
      </c>
      <c r="AV26" s="1301"/>
      <c r="AW26" s="1302"/>
      <c r="AX26" s="1294">
        <v>312</v>
      </c>
      <c r="AY26" s="1295"/>
      <c r="AZ26" s="1296"/>
      <c r="BA26" s="169">
        <v>2</v>
      </c>
      <c r="BB26" s="1313">
        <v>46</v>
      </c>
      <c r="BC26" s="1315"/>
      <c r="BD26" s="1309">
        <v>31</v>
      </c>
      <c r="BE26" s="1310"/>
      <c r="BF26" s="1300">
        <v>77</v>
      </c>
      <c r="BG26" s="1301"/>
      <c r="BH26" s="1302"/>
      <c r="BI26" s="1309">
        <v>1</v>
      </c>
      <c r="BJ26" s="1310"/>
      <c r="BK26" s="1311">
        <v>30</v>
      </c>
      <c r="BL26" s="1312"/>
      <c r="BM26" s="1313">
        <v>19</v>
      </c>
      <c r="BN26" s="1314"/>
      <c r="BO26" s="1314"/>
      <c r="BP26" s="1315"/>
      <c r="BQ26" s="1294">
        <v>49</v>
      </c>
      <c r="BR26" s="1295"/>
      <c r="BS26" s="1296"/>
      <c r="BT26" s="169">
        <v>1</v>
      </c>
      <c r="BU26" s="1309">
        <v>22</v>
      </c>
      <c r="BV26" s="1316"/>
      <c r="BW26" s="1310"/>
      <c r="BX26" s="1309">
        <v>17</v>
      </c>
      <c r="BY26" s="1310"/>
      <c r="BZ26" s="1300">
        <v>39</v>
      </c>
      <c r="CA26" s="1302"/>
      <c r="CB26" s="1300">
        <v>4</v>
      </c>
      <c r="CC26" s="1301"/>
      <c r="CD26" s="1302"/>
      <c r="CE26" s="1294">
        <v>98</v>
      </c>
      <c r="CF26" s="1295"/>
      <c r="CG26" s="1296"/>
      <c r="CH26" s="1294">
        <v>67</v>
      </c>
      <c r="CI26" s="1295"/>
      <c r="CJ26" s="1296"/>
      <c r="CK26" s="1294">
        <v>165</v>
      </c>
      <c r="CL26" s="1295"/>
      <c r="CM26" s="1295"/>
      <c r="CN26" s="1296"/>
      <c r="CO26" s="1300">
        <v>11</v>
      </c>
      <c r="CP26" s="1301"/>
      <c r="CQ26" s="1302"/>
      <c r="CR26" s="1300"/>
      <c r="CS26" s="1301"/>
      <c r="CT26" s="1301"/>
      <c r="CU26" s="1302"/>
      <c r="CV26" s="1300"/>
      <c r="CW26" s="1302"/>
      <c r="CX26" s="1300">
        <f t="shared" si="0"/>
        <v>0</v>
      </c>
      <c r="CY26" s="1302"/>
      <c r="CZ26" s="1327">
        <v>9</v>
      </c>
      <c r="DA26" s="1328"/>
      <c r="DB26" s="1329"/>
      <c r="DC26" s="1327">
        <v>1</v>
      </c>
      <c r="DD26" s="1329"/>
      <c r="DE26" s="166">
        <v>10</v>
      </c>
      <c r="DF26" s="168" t="s">
        <v>35</v>
      </c>
      <c r="DG26" s="321">
        <f t="shared" si="1"/>
        <v>0</v>
      </c>
    </row>
    <row r="27" spans="1:111" ht="50.1" customHeight="1">
      <c r="A27" s="320">
        <v>21</v>
      </c>
      <c r="B27" s="1319" t="s">
        <v>227</v>
      </c>
      <c r="C27" s="1320"/>
      <c r="D27" s="1320"/>
      <c r="E27" s="1320"/>
      <c r="F27" s="1320"/>
      <c r="G27" s="1321"/>
      <c r="H27" s="1322" t="s">
        <v>196</v>
      </c>
      <c r="I27" s="1323"/>
      <c r="J27" s="1323"/>
      <c r="K27" s="1324"/>
      <c r="L27" s="1319" t="s">
        <v>228</v>
      </c>
      <c r="M27" s="1321"/>
      <c r="N27" s="1313">
        <v>1</v>
      </c>
      <c r="O27" s="1315"/>
      <c r="P27" s="1309">
        <v>23</v>
      </c>
      <c r="Q27" s="1310"/>
      <c r="R27" s="1309">
        <v>15</v>
      </c>
      <c r="S27" s="1310"/>
      <c r="T27" s="1300">
        <v>38</v>
      </c>
      <c r="U27" s="1301"/>
      <c r="V27" s="1302"/>
      <c r="W27" s="1309">
        <v>1</v>
      </c>
      <c r="X27" s="1310"/>
      <c r="Y27" s="1309">
        <v>37</v>
      </c>
      <c r="Z27" s="1316"/>
      <c r="AA27" s="1310"/>
      <c r="AB27" s="1309">
        <v>20</v>
      </c>
      <c r="AC27" s="1316"/>
      <c r="AD27" s="1310"/>
      <c r="AE27" s="1317">
        <v>57</v>
      </c>
      <c r="AF27" s="1318"/>
      <c r="AG27" s="1309">
        <v>1</v>
      </c>
      <c r="AH27" s="1310"/>
      <c r="AI27" s="1309">
        <v>10</v>
      </c>
      <c r="AJ27" s="1310"/>
      <c r="AK27" s="1311">
        <v>25</v>
      </c>
      <c r="AL27" s="1312"/>
      <c r="AM27" s="1294">
        <v>35</v>
      </c>
      <c r="AN27" s="1296"/>
      <c r="AO27" s="1294">
        <v>3</v>
      </c>
      <c r="AP27" s="1295"/>
      <c r="AQ27" s="1296"/>
      <c r="AR27" s="1294">
        <v>70</v>
      </c>
      <c r="AS27" s="1295"/>
      <c r="AT27" s="1296"/>
      <c r="AU27" s="1300">
        <v>60</v>
      </c>
      <c r="AV27" s="1301"/>
      <c r="AW27" s="1302"/>
      <c r="AX27" s="1294">
        <v>130</v>
      </c>
      <c r="AY27" s="1295"/>
      <c r="AZ27" s="1296"/>
      <c r="BA27" s="169">
        <v>1</v>
      </c>
      <c r="BB27" s="1313">
        <v>17</v>
      </c>
      <c r="BC27" s="1315"/>
      <c r="BD27" s="1309">
        <v>7</v>
      </c>
      <c r="BE27" s="1310"/>
      <c r="BF27" s="1300">
        <v>24</v>
      </c>
      <c r="BG27" s="1301"/>
      <c r="BH27" s="1302"/>
      <c r="BI27" s="1309">
        <v>1</v>
      </c>
      <c r="BJ27" s="1310"/>
      <c r="BK27" s="1311">
        <v>13</v>
      </c>
      <c r="BL27" s="1312"/>
      <c r="BM27" s="1313">
        <v>5</v>
      </c>
      <c r="BN27" s="1314"/>
      <c r="BO27" s="1314"/>
      <c r="BP27" s="1315"/>
      <c r="BQ27" s="1294">
        <v>18</v>
      </c>
      <c r="BR27" s="1295"/>
      <c r="BS27" s="1296"/>
      <c r="BT27" s="169">
        <v>1</v>
      </c>
      <c r="BU27" s="1309">
        <v>11</v>
      </c>
      <c r="BV27" s="1316"/>
      <c r="BW27" s="1310"/>
      <c r="BX27" s="1309">
        <v>7</v>
      </c>
      <c r="BY27" s="1310"/>
      <c r="BZ27" s="1300">
        <v>18</v>
      </c>
      <c r="CA27" s="1302"/>
      <c r="CB27" s="1300">
        <v>3</v>
      </c>
      <c r="CC27" s="1301"/>
      <c r="CD27" s="1302"/>
      <c r="CE27" s="1294">
        <v>41</v>
      </c>
      <c r="CF27" s="1295"/>
      <c r="CG27" s="1296"/>
      <c r="CH27" s="1294">
        <v>19</v>
      </c>
      <c r="CI27" s="1295"/>
      <c r="CJ27" s="1296"/>
      <c r="CK27" s="1294">
        <v>60</v>
      </c>
      <c r="CL27" s="1295"/>
      <c r="CM27" s="1295"/>
      <c r="CN27" s="1296"/>
      <c r="CO27" s="1300">
        <v>6</v>
      </c>
      <c r="CP27" s="1301"/>
      <c r="CQ27" s="1302"/>
      <c r="CR27" s="1300"/>
      <c r="CS27" s="1301"/>
      <c r="CT27" s="1301"/>
      <c r="CU27" s="1302"/>
      <c r="CV27" s="1300"/>
      <c r="CW27" s="1302"/>
      <c r="CX27" s="1300">
        <f t="shared" si="0"/>
        <v>0</v>
      </c>
      <c r="CY27" s="1302"/>
      <c r="CZ27" s="1327">
        <v>3</v>
      </c>
      <c r="DA27" s="1328"/>
      <c r="DB27" s="1329"/>
      <c r="DC27" s="1294">
        <v>10</v>
      </c>
      <c r="DD27" s="1296"/>
      <c r="DE27" s="166">
        <v>13</v>
      </c>
      <c r="DF27" s="168" t="s">
        <v>35</v>
      </c>
      <c r="DG27" s="321">
        <f t="shared" si="1"/>
        <v>0</v>
      </c>
    </row>
    <row r="28" spans="1:111" ht="50.1" customHeight="1">
      <c r="A28" s="320">
        <v>22</v>
      </c>
      <c r="B28" s="1319" t="s">
        <v>229</v>
      </c>
      <c r="C28" s="1320"/>
      <c r="D28" s="1320"/>
      <c r="E28" s="1320"/>
      <c r="F28" s="1320"/>
      <c r="G28" s="1321"/>
      <c r="H28" s="1322" t="s">
        <v>196</v>
      </c>
      <c r="I28" s="1323"/>
      <c r="J28" s="1323"/>
      <c r="K28" s="1324"/>
      <c r="L28" s="1325" t="s">
        <v>230</v>
      </c>
      <c r="M28" s="1326"/>
      <c r="N28" s="1313">
        <v>3</v>
      </c>
      <c r="O28" s="1315"/>
      <c r="P28" s="1309">
        <v>168</v>
      </c>
      <c r="Q28" s="1310"/>
      <c r="R28" s="1309">
        <v>163</v>
      </c>
      <c r="S28" s="1310"/>
      <c r="T28" s="1300">
        <v>331</v>
      </c>
      <c r="U28" s="1301"/>
      <c r="V28" s="1302"/>
      <c r="W28" s="1309">
        <v>4</v>
      </c>
      <c r="X28" s="1310"/>
      <c r="Y28" s="1309">
        <v>203</v>
      </c>
      <c r="Z28" s="1316"/>
      <c r="AA28" s="1310"/>
      <c r="AB28" s="1309">
        <v>203</v>
      </c>
      <c r="AC28" s="1316"/>
      <c r="AD28" s="1310"/>
      <c r="AE28" s="1317">
        <v>406</v>
      </c>
      <c r="AF28" s="1318"/>
      <c r="AG28" s="1309">
        <v>4</v>
      </c>
      <c r="AH28" s="1310"/>
      <c r="AI28" s="1309">
        <v>103</v>
      </c>
      <c r="AJ28" s="1310"/>
      <c r="AK28" s="1311">
        <v>135</v>
      </c>
      <c r="AL28" s="1312"/>
      <c r="AM28" s="1294">
        <v>238</v>
      </c>
      <c r="AN28" s="1296"/>
      <c r="AO28" s="1294">
        <v>11</v>
      </c>
      <c r="AP28" s="1295"/>
      <c r="AQ28" s="1296"/>
      <c r="AR28" s="1294">
        <v>474</v>
      </c>
      <c r="AS28" s="1295"/>
      <c r="AT28" s="1296"/>
      <c r="AU28" s="1300">
        <v>501</v>
      </c>
      <c r="AV28" s="1301"/>
      <c r="AW28" s="1302"/>
      <c r="AX28" s="1294">
        <v>975</v>
      </c>
      <c r="AY28" s="1295"/>
      <c r="AZ28" s="1296"/>
      <c r="BA28" s="169">
        <v>4</v>
      </c>
      <c r="BB28" s="1313">
        <v>172</v>
      </c>
      <c r="BC28" s="1315"/>
      <c r="BD28" s="1309">
        <v>166</v>
      </c>
      <c r="BE28" s="1310"/>
      <c r="BF28" s="1300">
        <v>338</v>
      </c>
      <c r="BG28" s="1301"/>
      <c r="BH28" s="1302"/>
      <c r="BI28" s="1309">
        <v>3</v>
      </c>
      <c r="BJ28" s="1310"/>
      <c r="BK28" s="1311">
        <v>108</v>
      </c>
      <c r="BL28" s="1312"/>
      <c r="BM28" s="1313">
        <v>157</v>
      </c>
      <c r="BN28" s="1314"/>
      <c r="BO28" s="1314"/>
      <c r="BP28" s="1315"/>
      <c r="BQ28" s="1294">
        <v>265</v>
      </c>
      <c r="BR28" s="1295"/>
      <c r="BS28" s="1296"/>
      <c r="BT28" s="169">
        <v>3</v>
      </c>
      <c r="BU28" s="1309">
        <v>60</v>
      </c>
      <c r="BV28" s="1316"/>
      <c r="BW28" s="1310"/>
      <c r="BX28" s="1309">
        <v>65</v>
      </c>
      <c r="BY28" s="1310"/>
      <c r="BZ28" s="1300">
        <v>125</v>
      </c>
      <c r="CA28" s="1302"/>
      <c r="CB28" s="1300">
        <v>10</v>
      </c>
      <c r="CC28" s="1301"/>
      <c r="CD28" s="1302"/>
      <c r="CE28" s="1294">
        <v>340</v>
      </c>
      <c r="CF28" s="1295"/>
      <c r="CG28" s="1296"/>
      <c r="CH28" s="1294">
        <v>388</v>
      </c>
      <c r="CI28" s="1295"/>
      <c r="CJ28" s="1296"/>
      <c r="CK28" s="1294">
        <v>728</v>
      </c>
      <c r="CL28" s="1295"/>
      <c r="CM28" s="1295"/>
      <c r="CN28" s="1296"/>
      <c r="CO28" s="1300">
        <v>21</v>
      </c>
      <c r="CP28" s="1301"/>
      <c r="CQ28" s="1302"/>
      <c r="CR28" s="1300"/>
      <c r="CS28" s="1301"/>
      <c r="CT28" s="1301"/>
      <c r="CU28" s="1302"/>
      <c r="CV28" s="1300"/>
      <c r="CW28" s="1302"/>
      <c r="CX28" s="1300">
        <f t="shared" si="0"/>
        <v>0</v>
      </c>
      <c r="CY28" s="1302"/>
      <c r="CZ28" s="1294">
        <v>12</v>
      </c>
      <c r="DA28" s="1295"/>
      <c r="DB28" s="1296"/>
      <c r="DC28" s="1294">
        <v>24</v>
      </c>
      <c r="DD28" s="1296"/>
      <c r="DE28" s="166">
        <v>36</v>
      </c>
      <c r="DF28" s="168" t="s">
        <v>35</v>
      </c>
      <c r="DG28" s="321">
        <f t="shared" si="1"/>
        <v>0</v>
      </c>
    </row>
    <row r="29" spans="1:111" ht="45.75">
      <c r="A29" s="322"/>
      <c r="B29" s="1303" t="s">
        <v>413</v>
      </c>
      <c r="C29" s="1304"/>
      <c r="D29" s="1304"/>
      <c r="E29" s="1304"/>
      <c r="F29" s="1304"/>
      <c r="G29" s="1305"/>
      <c r="H29" s="1306"/>
      <c r="I29" s="1307"/>
      <c r="J29" s="1307"/>
      <c r="K29" s="1308"/>
      <c r="L29" s="1306"/>
      <c r="M29" s="1308"/>
      <c r="N29" s="1280">
        <v>44</v>
      </c>
      <c r="O29" s="1282"/>
      <c r="P29" s="1286">
        <v>1643</v>
      </c>
      <c r="Q29" s="1288"/>
      <c r="R29" s="1286">
        <v>1735</v>
      </c>
      <c r="S29" s="1288"/>
      <c r="T29" s="1286">
        <v>3378</v>
      </c>
      <c r="U29" s="1287"/>
      <c r="V29" s="1288"/>
      <c r="W29" s="1286">
        <v>45</v>
      </c>
      <c r="X29" s="1288"/>
      <c r="Y29" s="1286">
        <v>1770</v>
      </c>
      <c r="Z29" s="1287"/>
      <c r="AA29" s="1288"/>
      <c r="AB29" s="1286">
        <v>1759</v>
      </c>
      <c r="AC29" s="1287"/>
      <c r="AD29" s="1288"/>
      <c r="AE29" s="1280">
        <v>3529</v>
      </c>
      <c r="AF29" s="1282"/>
      <c r="AG29" s="1286">
        <v>40</v>
      </c>
      <c r="AH29" s="1288"/>
      <c r="AI29" s="1286">
        <v>1442</v>
      </c>
      <c r="AJ29" s="1288"/>
      <c r="AK29" s="1283">
        <v>1469</v>
      </c>
      <c r="AL29" s="1285"/>
      <c r="AM29" s="1283">
        <v>2911</v>
      </c>
      <c r="AN29" s="1285"/>
      <c r="AO29" s="1283">
        <v>129</v>
      </c>
      <c r="AP29" s="1284"/>
      <c r="AQ29" s="1285"/>
      <c r="AR29" s="1283">
        <v>4855</v>
      </c>
      <c r="AS29" s="1284"/>
      <c r="AT29" s="1285"/>
      <c r="AU29" s="1286">
        <v>4963</v>
      </c>
      <c r="AV29" s="1287"/>
      <c r="AW29" s="1288"/>
      <c r="AX29" s="1283">
        <v>9818</v>
      </c>
      <c r="AY29" s="1284"/>
      <c r="AZ29" s="1285"/>
      <c r="BA29" s="171">
        <v>39</v>
      </c>
      <c r="BB29" s="1280">
        <v>1447</v>
      </c>
      <c r="BC29" s="1282"/>
      <c r="BD29" s="1286">
        <v>1414</v>
      </c>
      <c r="BE29" s="1288"/>
      <c r="BF29" s="1286">
        <v>2861</v>
      </c>
      <c r="BG29" s="1287"/>
      <c r="BH29" s="1288"/>
      <c r="BI29" s="1286">
        <v>37</v>
      </c>
      <c r="BJ29" s="1288"/>
      <c r="BK29" s="1283">
        <v>1205</v>
      </c>
      <c r="BL29" s="1285"/>
      <c r="BM29" s="1280">
        <v>1287</v>
      </c>
      <c r="BN29" s="1281"/>
      <c r="BO29" s="1281"/>
      <c r="BP29" s="1282"/>
      <c r="BQ29" s="1283">
        <v>2492</v>
      </c>
      <c r="BR29" s="1284"/>
      <c r="BS29" s="1285"/>
      <c r="BT29" s="171">
        <v>36</v>
      </c>
      <c r="BU29" s="1286">
        <v>986</v>
      </c>
      <c r="BV29" s="1287"/>
      <c r="BW29" s="1288"/>
      <c r="BX29" s="1286">
        <v>951</v>
      </c>
      <c r="BY29" s="1288"/>
      <c r="BZ29" s="1286">
        <v>1937</v>
      </c>
      <c r="CA29" s="1288"/>
      <c r="CB29" s="1286">
        <v>112</v>
      </c>
      <c r="CC29" s="1287"/>
      <c r="CD29" s="1288"/>
      <c r="CE29" s="1283">
        <v>3638</v>
      </c>
      <c r="CF29" s="1284"/>
      <c r="CG29" s="1285"/>
      <c r="CH29" s="1283">
        <v>3652</v>
      </c>
      <c r="CI29" s="1284"/>
      <c r="CJ29" s="1285"/>
      <c r="CK29" s="1283">
        <v>7290</v>
      </c>
      <c r="CL29" s="1284"/>
      <c r="CM29" s="1284"/>
      <c r="CN29" s="1285"/>
      <c r="CO29" s="1286">
        <v>241</v>
      </c>
      <c r="CP29" s="1287"/>
      <c r="CQ29" s="1288"/>
      <c r="CR29" s="1286"/>
      <c r="CS29" s="1287"/>
      <c r="CT29" s="1287"/>
      <c r="CU29" s="1288"/>
      <c r="CV29" s="1286"/>
      <c r="CW29" s="1288"/>
      <c r="CX29" s="1286"/>
      <c r="CY29" s="1288"/>
      <c r="CZ29" s="1294">
        <v>169</v>
      </c>
      <c r="DA29" s="1295"/>
      <c r="DB29" s="1296"/>
      <c r="DC29" s="1294">
        <v>219</v>
      </c>
      <c r="DD29" s="1296"/>
      <c r="DE29" s="166">
        <v>388</v>
      </c>
      <c r="DF29" s="285">
        <v>22</v>
      </c>
      <c r="DG29" s="321">
        <f>SUM(DG7:DG28)</f>
        <v>0</v>
      </c>
    </row>
    <row r="30" spans="1:111" ht="135" customHeight="1">
      <c r="A30" s="323"/>
      <c r="B30" s="172"/>
      <c r="C30" s="172"/>
      <c r="D30" s="172"/>
      <c r="E30" s="172"/>
      <c r="F30" s="172"/>
      <c r="G30" s="172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  <c r="BH30" s="173"/>
      <c r="BI30" s="173"/>
      <c r="BJ30" s="173"/>
      <c r="BK30" s="173"/>
      <c r="BL30" s="173"/>
      <c r="BM30" s="173"/>
      <c r="BN30" s="173"/>
      <c r="BO30" s="173"/>
      <c r="BP30" s="173"/>
      <c r="BQ30" s="173"/>
      <c r="BR30" s="173"/>
      <c r="BS30" s="173"/>
      <c r="BT30" s="173"/>
      <c r="BU30" s="173"/>
      <c r="BV30" s="173"/>
      <c r="BW30" s="173"/>
      <c r="BX30" s="173"/>
      <c r="BY30" s="173"/>
      <c r="BZ30" s="173"/>
      <c r="CA30" s="173"/>
      <c r="CB30" s="173"/>
      <c r="CC30" s="173"/>
      <c r="CD30" s="173"/>
      <c r="CE30" s="173"/>
      <c r="CF30" s="173"/>
      <c r="CG30" s="173"/>
      <c r="CH30" s="173"/>
      <c r="CI30" s="173"/>
      <c r="CJ30" s="173"/>
      <c r="CK30" s="173"/>
      <c r="CL30" s="173"/>
      <c r="CM30" s="173"/>
      <c r="CN30" s="173"/>
      <c r="CO30" s="1299" t="s">
        <v>419</v>
      </c>
      <c r="CP30" s="1299"/>
      <c r="CQ30" s="1299"/>
      <c r="CR30" s="1299"/>
      <c r="CS30" s="1299"/>
      <c r="CT30" s="1299"/>
      <c r="CU30" s="1299"/>
      <c r="CV30" s="1299"/>
      <c r="CW30" s="1299"/>
      <c r="CX30" s="1299"/>
      <c r="CY30" s="1299"/>
      <c r="CZ30" s="174"/>
      <c r="DA30" s="174"/>
      <c r="DB30" s="174"/>
      <c r="DC30" s="174"/>
      <c r="DD30" s="174"/>
      <c r="DE30" s="174"/>
      <c r="DF30" s="174"/>
      <c r="DG30" s="321">
        <f>CX29*20</f>
        <v>0</v>
      </c>
    </row>
    <row r="31" spans="1:111" ht="44.25" customHeight="1">
      <c r="A31" s="324"/>
      <c r="B31" s="70"/>
      <c r="C31" s="70"/>
      <c r="D31" s="70"/>
      <c r="E31" s="70"/>
      <c r="F31" s="70"/>
      <c r="G31" s="1278" t="s">
        <v>427</v>
      </c>
      <c r="H31" s="1278"/>
      <c r="I31" s="1278"/>
      <c r="J31" s="1278"/>
      <c r="K31" s="1278"/>
      <c r="L31" s="1278"/>
      <c r="M31" s="1278"/>
      <c r="N31" s="1278"/>
      <c r="O31" s="1278"/>
      <c r="P31" s="1278"/>
      <c r="Q31" s="1278"/>
      <c r="R31" s="1278"/>
      <c r="S31" s="1278"/>
      <c r="T31" s="1278"/>
      <c r="U31" s="1278"/>
      <c r="V31" s="1278"/>
      <c r="W31" s="1278"/>
      <c r="X31" s="1278"/>
      <c r="Y31" s="1278"/>
      <c r="Z31" s="1278"/>
      <c r="AA31" s="1278"/>
      <c r="AB31" s="1278"/>
      <c r="AC31" s="1278"/>
      <c r="AD31" s="1278"/>
      <c r="AE31" s="1278"/>
      <c r="AF31" s="1278"/>
      <c r="AG31" s="1278"/>
      <c r="AH31" s="1278"/>
      <c r="AI31" s="1278"/>
      <c r="AJ31" s="1278"/>
      <c r="AK31" s="1278"/>
      <c r="AL31" s="1278"/>
      <c r="AM31" s="1278"/>
      <c r="AN31" s="1278"/>
      <c r="AO31" s="1278"/>
      <c r="AP31" s="1278"/>
      <c r="AQ31" s="1278"/>
      <c r="AR31" s="1278"/>
      <c r="AS31" s="1278"/>
      <c r="AT31" s="1278"/>
      <c r="AU31" s="1278"/>
      <c r="AV31" s="1278"/>
      <c r="AW31" s="1278"/>
      <c r="AX31" s="1278"/>
      <c r="AY31" s="1278"/>
      <c r="AZ31" s="1278"/>
      <c r="BA31" s="1278"/>
      <c r="BB31" s="1278"/>
      <c r="BC31" s="1278"/>
      <c r="BD31" s="1278"/>
      <c r="BE31" s="1278"/>
      <c r="BF31" s="1278"/>
      <c r="BG31" s="1278"/>
      <c r="BH31" s="1278"/>
      <c r="BI31" s="1278"/>
      <c r="BJ31" s="1278"/>
      <c r="BK31" s="1278"/>
      <c r="BL31" s="1278"/>
      <c r="BM31" s="1278"/>
      <c r="BN31" s="1278"/>
      <c r="BO31" s="1278"/>
      <c r="BP31" s="1278"/>
      <c r="BQ31" s="1278"/>
      <c r="BR31" s="1278"/>
      <c r="BS31" s="1278"/>
      <c r="BT31" s="1278"/>
      <c r="BU31" s="1278"/>
      <c r="BV31" s="1278"/>
      <c r="BW31" s="1278"/>
      <c r="BX31" s="1278"/>
      <c r="BY31" s="1278"/>
      <c r="BZ31" s="1278"/>
      <c r="CA31" s="1278"/>
      <c r="CB31" s="1278"/>
      <c r="CC31" s="1278"/>
      <c r="CD31" s="1278"/>
      <c r="CE31" s="1278"/>
      <c r="CF31" s="1278"/>
      <c r="CG31" s="1278"/>
      <c r="CH31" s="1278"/>
      <c r="CI31" s="1278"/>
      <c r="CJ31" s="1278"/>
      <c r="CK31" s="1278"/>
      <c r="CL31" s="1278"/>
      <c r="CM31" s="1278"/>
      <c r="CN31" s="1278"/>
      <c r="CO31" s="1278"/>
      <c r="CP31" s="1278"/>
      <c r="CQ31" s="1278"/>
      <c r="CR31" s="1278"/>
      <c r="CS31" s="1278"/>
      <c r="CT31" s="1278"/>
      <c r="CU31" s="1278"/>
      <c r="CV31" s="1278"/>
      <c r="CW31" s="1278"/>
      <c r="CX31" s="1278"/>
      <c r="CY31" s="1279"/>
      <c r="CZ31" s="51"/>
      <c r="DA31" s="51"/>
      <c r="DB31" s="51"/>
      <c r="DC31" s="51"/>
      <c r="DD31" s="51"/>
      <c r="DE31" s="51"/>
      <c r="DF31" s="51"/>
      <c r="DG31" s="1292">
        <f>DG30+DG29</f>
        <v>0</v>
      </c>
    </row>
    <row r="32" spans="1:111" ht="45" customHeight="1" thickBot="1">
      <c r="A32" s="325"/>
      <c r="B32" s="326"/>
      <c r="C32" s="326"/>
      <c r="D32" s="326"/>
      <c r="E32" s="326"/>
      <c r="F32" s="326"/>
      <c r="G32" s="326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243"/>
      <c r="AG32" s="243"/>
      <c r="AH32" s="243"/>
      <c r="AI32" s="243"/>
      <c r="AJ32" s="243"/>
      <c r="AK32" s="243"/>
      <c r="AL32" s="243"/>
      <c r="AM32" s="243"/>
      <c r="AN32" s="243"/>
      <c r="AO32" s="243"/>
      <c r="AP32" s="243"/>
      <c r="AQ32" s="243"/>
      <c r="AR32" s="243"/>
      <c r="AS32" s="243"/>
      <c r="AT32" s="243"/>
      <c r="AU32" s="243"/>
      <c r="AV32" s="243"/>
      <c r="AW32" s="243"/>
      <c r="AX32" s="243"/>
      <c r="AY32" s="243"/>
      <c r="AZ32" s="243"/>
      <c r="BA32" s="243"/>
      <c r="BB32" s="243"/>
      <c r="BC32" s="243"/>
      <c r="BD32" s="243"/>
      <c r="BE32" s="243"/>
      <c r="BF32" s="243"/>
      <c r="BG32" s="243"/>
      <c r="BH32" s="243"/>
      <c r="BI32" s="243"/>
      <c r="BJ32" s="243"/>
      <c r="BK32" s="243"/>
      <c r="BL32" s="243"/>
      <c r="BM32" s="243"/>
      <c r="BN32" s="243"/>
      <c r="BO32" s="243"/>
      <c r="BP32" s="243"/>
      <c r="BQ32" s="243"/>
      <c r="BR32" s="243"/>
      <c r="BS32" s="243"/>
      <c r="BT32" s="243"/>
      <c r="BU32" s="243"/>
      <c r="BV32" s="243"/>
      <c r="BW32" s="243"/>
      <c r="BX32" s="243"/>
      <c r="BY32" s="243"/>
      <c r="BZ32" s="243"/>
      <c r="CA32" s="243"/>
      <c r="CB32" s="243"/>
      <c r="CC32" s="243"/>
      <c r="CD32" s="243"/>
      <c r="CE32" s="243"/>
      <c r="CF32" s="243"/>
      <c r="CG32" s="243"/>
      <c r="CH32" s="243"/>
      <c r="CI32" s="243"/>
      <c r="CJ32" s="243"/>
      <c r="CK32" s="243"/>
      <c r="CL32" s="243"/>
      <c r="CM32" s="243"/>
      <c r="CN32" s="243"/>
      <c r="CO32" s="1289"/>
      <c r="CP32" s="1290"/>
      <c r="CQ32" s="1290"/>
      <c r="CR32" s="1290"/>
      <c r="CS32" s="1290"/>
      <c r="CT32" s="1290"/>
      <c r="CU32" s="1290"/>
      <c r="CV32" s="1290"/>
      <c r="CW32" s="1290"/>
      <c r="CX32" s="1290"/>
      <c r="CY32" s="1291"/>
      <c r="CZ32" s="243"/>
      <c r="DA32" s="243"/>
      <c r="DB32" s="243"/>
      <c r="DC32" s="243"/>
      <c r="DD32" s="243"/>
      <c r="DE32" s="243"/>
      <c r="DF32" s="243"/>
      <c r="DG32" s="1293"/>
    </row>
    <row r="33" spans="2:97" ht="37.5" customHeight="1">
      <c r="CR33" s="200">
        <f>COUNTIF(CX7:CY28, "&lt;1000")</f>
        <v>22</v>
      </c>
      <c r="CS33" s="200">
        <f>COUNTIF(CX7:CY28, "&gt;1000")</f>
        <v>0</v>
      </c>
    </row>
    <row r="35" spans="2:97">
      <c r="B35" s="51">
        <f>COUNTA(B7:G28)-COUNTIF(B7:F28,"GOVERNMENT SCIENCE")</f>
        <v>22</v>
      </c>
      <c r="C35" s="51">
        <f ca="1">COUNTIF(B7:D38,"GOVERNMENT SCIENCE")</f>
        <v>0</v>
      </c>
    </row>
  </sheetData>
  <mergeCells count="957">
    <mergeCell ref="CO5:CY5"/>
    <mergeCell ref="CZ5:DE5"/>
    <mergeCell ref="DF5:DF6"/>
    <mergeCell ref="BX6:BY6"/>
    <mergeCell ref="BZ6:CA6"/>
    <mergeCell ref="CB6:CD6"/>
    <mergeCell ref="CE6:CG6"/>
    <mergeCell ref="A5:A6"/>
    <mergeCell ref="B5:G6"/>
    <mergeCell ref="H5:K6"/>
    <mergeCell ref="L5:M6"/>
    <mergeCell ref="N5:V5"/>
    <mergeCell ref="W5:AF5"/>
    <mergeCell ref="AG5:AN5"/>
    <mergeCell ref="AO5:AZ5"/>
    <mergeCell ref="BA5:BH5"/>
    <mergeCell ref="BI5:BS5"/>
    <mergeCell ref="BT5:CA5"/>
    <mergeCell ref="CB5:CN5"/>
    <mergeCell ref="AU6:AW6"/>
    <mergeCell ref="AX6:AZ6"/>
    <mergeCell ref="BB6:BC6"/>
    <mergeCell ref="BD6:BE6"/>
    <mergeCell ref="AB6:AD6"/>
    <mergeCell ref="AG6:AH6"/>
    <mergeCell ref="AI6:AJ6"/>
    <mergeCell ref="AK6:AL6"/>
    <mergeCell ref="AM6:AN6"/>
    <mergeCell ref="BK6:BL6"/>
    <mergeCell ref="BM6:BP6"/>
    <mergeCell ref="BQ6:BS6"/>
    <mergeCell ref="BU6:BW6"/>
    <mergeCell ref="AO6:AQ6"/>
    <mergeCell ref="AR6:AT6"/>
    <mergeCell ref="N6:O6"/>
    <mergeCell ref="P6:Q6"/>
    <mergeCell ref="R6:S6"/>
    <mergeCell ref="T6:V6"/>
    <mergeCell ref="W6:X6"/>
    <mergeCell ref="Y6:AA6"/>
    <mergeCell ref="Y7:AA7"/>
    <mergeCell ref="AB7:AD7"/>
    <mergeCell ref="AE7:AF7"/>
    <mergeCell ref="AE6:AF6"/>
    <mergeCell ref="AG7:AH7"/>
    <mergeCell ref="AI7:AJ7"/>
    <mergeCell ref="AK7:AL7"/>
    <mergeCell ref="CZ6:DB6"/>
    <mergeCell ref="DC6:DD6"/>
    <mergeCell ref="B7:G7"/>
    <mergeCell ref="H7:K7"/>
    <mergeCell ref="L7:M7"/>
    <mergeCell ref="N7:O7"/>
    <mergeCell ref="P7:Q7"/>
    <mergeCell ref="R7:S7"/>
    <mergeCell ref="T7:V7"/>
    <mergeCell ref="W7:X7"/>
    <mergeCell ref="CH6:CJ6"/>
    <mergeCell ref="CK6:CN6"/>
    <mergeCell ref="CO6:CQ6"/>
    <mergeCell ref="CR6:CU6"/>
    <mergeCell ref="CV6:CW6"/>
    <mergeCell ref="CX6:CY6"/>
    <mergeCell ref="BF6:BH6"/>
    <mergeCell ref="BI6:BJ6"/>
    <mergeCell ref="CH7:CJ7"/>
    <mergeCell ref="BD7:BE7"/>
    <mergeCell ref="BF7:BH7"/>
    <mergeCell ref="BI7:BJ7"/>
    <mergeCell ref="BK7:BL7"/>
    <mergeCell ref="BM7:BP7"/>
    <mergeCell ref="BQ7:BS7"/>
    <mergeCell ref="AM7:AN7"/>
    <mergeCell ref="AO7:AQ7"/>
    <mergeCell ref="AR7:AT7"/>
    <mergeCell ref="AU7:AW7"/>
    <mergeCell ref="AX7:AZ7"/>
    <mergeCell ref="BB7:BC7"/>
    <mergeCell ref="AI8:AJ8"/>
    <mergeCell ref="AK8:AL8"/>
    <mergeCell ref="AM8:AN8"/>
    <mergeCell ref="DC7:DD7"/>
    <mergeCell ref="B8:G8"/>
    <mergeCell ref="H8:K8"/>
    <mergeCell ref="L8:M8"/>
    <mergeCell ref="N8:O8"/>
    <mergeCell ref="P8:Q8"/>
    <mergeCell ref="R8:S8"/>
    <mergeCell ref="T8:V8"/>
    <mergeCell ref="W8:X8"/>
    <mergeCell ref="Y8:AA8"/>
    <mergeCell ref="CK7:CN7"/>
    <mergeCell ref="CO7:CQ7"/>
    <mergeCell ref="CR7:CU7"/>
    <mergeCell ref="CV7:CW7"/>
    <mergeCell ref="CX7:CY7"/>
    <mergeCell ref="CZ7:DB7"/>
    <mergeCell ref="BU7:BW7"/>
    <mergeCell ref="BX7:BY7"/>
    <mergeCell ref="BZ7:CA7"/>
    <mergeCell ref="CB7:CD7"/>
    <mergeCell ref="CE7:CG7"/>
    <mergeCell ref="CX8:CY8"/>
    <mergeCell ref="CZ8:DB8"/>
    <mergeCell ref="DC8:DD8"/>
    <mergeCell ref="BX8:BY8"/>
    <mergeCell ref="BZ8:CA8"/>
    <mergeCell ref="CB8:CD8"/>
    <mergeCell ref="CE8:CG8"/>
    <mergeCell ref="CH8:CJ8"/>
    <mergeCell ref="CK8:CN8"/>
    <mergeCell ref="B9:G9"/>
    <mergeCell ref="H9:K9"/>
    <mergeCell ref="L9:M9"/>
    <mergeCell ref="N9:O9"/>
    <mergeCell ref="P9:Q9"/>
    <mergeCell ref="R9:S9"/>
    <mergeCell ref="CO8:CQ8"/>
    <mergeCell ref="CR8:CU8"/>
    <mergeCell ref="CV8:CW8"/>
    <mergeCell ref="BF8:BH8"/>
    <mergeCell ref="BI8:BJ8"/>
    <mergeCell ref="BK8:BL8"/>
    <mergeCell ref="BM8:BP8"/>
    <mergeCell ref="BQ8:BS8"/>
    <mergeCell ref="BU8:BW8"/>
    <mergeCell ref="AO8:AQ8"/>
    <mergeCell ref="AR8:AT8"/>
    <mergeCell ref="AU8:AW8"/>
    <mergeCell ref="AX8:AZ8"/>
    <mergeCell ref="BB8:BC8"/>
    <mergeCell ref="BD8:BE8"/>
    <mergeCell ref="AB8:AD8"/>
    <mergeCell ref="AE8:AF8"/>
    <mergeCell ref="AG8:AH8"/>
    <mergeCell ref="AI9:AJ9"/>
    <mergeCell ref="AK9:AL9"/>
    <mergeCell ref="AM9:AN9"/>
    <mergeCell ref="T9:V9"/>
    <mergeCell ref="W9:X9"/>
    <mergeCell ref="Y9:AA9"/>
    <mergeCell ref="AB9:AD9"/>
    <mergeCell ref="AE9:AF9"/>
    <mergeCell ref="AG9:AH9"/>
    <mergeCell ref="BF10:BH10"/>
    <mergeCell ref="BI10:BJ10"/>
    <mergeCell ref="BK10:BL10"/>
    <mergeCell ref="BM10:BP10"/>
    <mergeCell ref="AK10:AL10"/>
    <mergeCell ref="AM10:AN10"/>
    <mergeCell ref="AO10:AQ10"/>
    <mergeCell ref="AR10:AT10"/>
    <mergeCell ref="B10:G10"/>
    <mergeCell ref="H10:K10"/>
    <mergeCell ref="L10:M10"/>
    <mergeCell ref="N10:O10"/>
    <mergeCell ref="P10:Q10"/>
    <mergeCell ref="R10:S10"/>
    <mergeCell ref="T10:V10"/>
    <mergeCell ref="BB10:BC10"/>
    <mergeCell ref="BD10:BE10"/>
    <mergeCell ref="AU10:AW10"/>
    <mergeCell ref="AX10:AZ10"/>
    <mergeCell ref="AB10:AD10"/>
    <mergeCell ref="AE10:AF10"/>
    <mergeCell ref="AG10:AH10"/>
    <mergeCell ref="AI10:AJ10"/>
    <mergeCell ref="CX9:CY9"/>
    <mergeCell ref="CZ9:DB9"/>
    <mergeCell ref="DC9:DD9"/>
    <mergeCell ref="CK9:CN9"/>
    <mergeCell ref="CO9:CQ9"/>
    <mergeCell ref="CR9:CU9"/>
    <mergeCell ref="CV9:CW9"/>
    <mergeCell ref="AO9:AQ9"/>
    <mergeCell ref="AR9:AT9"/>
    <mergeCell ref="AU9:AW9"/>
    <mergeCell ref="CE9:CG9"/>
    <mergeCell ref="CH9:CJ9"/>
    <mergeCell ref="BM9:BP9"/>
    <mergeCell ref="BQ9:BS9"/>
    <mergeCell ref="BU9:BW9"/>
    <mergeCell ref="BX9:BY9"/>
    <mergeCell ref="BZ9:CA9"/>
    <mergeCell ref="CB9:CD9"/>
    <mergeCell ref="AX9:AZ9"/>
    <mergeCell ref="BB9:BC9"/>
    <mergeCell ref="BD9:BE9"/>
    <mergeCell ref="BF9:BH9"/>
    <mergeCell ref="BI9:BJ9"/>
    <mergeCell ref="BK9:BL9"/>
    <mergeCell ref="CZ10:DB10"/>
    <mergeCell ref="DC10:DD10"/>
    <mergeCell ref="B11:G11"/>
    <mergeCell ref="H11:K11"/>
    <mergeCell ref="L11:M11"/>
    <mergeCell ref="N11:O11"/>
    <mergeCell ref="P11:Q11"/>
    <mergeCell ref="R11:S11"/>
    <mergeCell ref="T11:V11"/>
    <mergeCell ref="W11:X11"/>
    <mergeCell ref="CH10:CJ10"/>
    <mergeCell ref="CK10:CN10"/>
    <mergeCell ref="CO10:CQ10"/>
    <mergeCell ref="CR10:CU10"/>
    <mergeCell ref="CV10:CW10"/>
    <mergeCell ref="CX10:CY10"/>
    <mergeCell ref="BQ10:BS10"/>
    <mergeCell ref="BU10:BW10"/>
    <mergeCell ref="BX10:BY10"/>
    <mergeCell ref="BZ10:CA10"/>
    <mergeCell ref="CB10:CD10"/>
    <mergeCell ref="CE10:CG10"/>
    <mergeCell ref="W10:X10"/>
    <mergeCell ref="Y10:AA10"/>
    <mergeCell ref="AM11:AN11"/>
    <mergeCell ref="AO11:AQ11"/>
    <mergeCell ref="AR11:AT11"/>
    <mergeCell ref="AU11:AW11"/>
    <mergeCell ref="AX11:AZ11"/>
    <mergeCell ref="BB11:BC11"/>
    <mergeCell ref="Y11:AA11"/>
    <mergeCell ref="AB11:AD11"/>
    <mergeCell ref="AE11:AF11"/>
    <mergeCell ref="AG11:AH11"/>
    <mergeCell ref="AI11:AJ11"/>
    <mergeCell ref="AK11:AL11"/>
    <mergeCell ref="BZ11:CA11"/>
    <mergeCell ref="CB11:CD11"/>
    <mergeCell ref="CE11:CG11"/>
    <mergeCell ref="CH11:CJ11"/>
    <mergeCell ref="BD11:BE11"/>
    <mergeCell ref="BF11:BH11"/>
    <mergeCell ref="BI11:BJ11"/>
    <mergeCell ref="BK11:BL11"/>
    <mergeCell ref="BM11:BP11"/>
    <mergeCell ref="BQ11:BS11"/>
    <mergeCell ref="AB12:AD12"/>
    <mergeCell ref="AE12:AF12"/>
    <mergeCell ref="AG12:AH12"/>
    <mergeCell ref="AI12:AJ12"/>
    <mergeCell ref="AK12:AL12"/>
    <mergeCell ref="AM12:AN12"/>
    <mergeCell ref="DC11:DD11"/>
    <mergeCell ref="B12:G12"/>
    <mergeCell ref="H12:K12"/>
    <mergeCell ref="L12:M12"/>
    <mergeCell ref="N12:O12"/>
    <mergeCell ref="P12:Q12"/>
    <mergeCell ref="R12:S12"/>
    <mergeCell ref="T12:V12"/>
    <mergeCell ref="W12:X12"/>
    <mergeCell ref="Y12:AA12"/>
    <mergeCell ref="CK11:CN11"/>
    <mergeCell ref="CO11:CQ11"/>
    <mergeCell ref="CR11:CU11"/>
    <mergeCell ref="CV11:CW11"/>
    <mergeCell ref="CX11:CY11"/>
    <mergeCell ref="CZ11:DB11"/>
    <mergeCell ref="BU11:BW11"/>
    <mergeCell ref="BX11:BY11"/>
    <mergeCell ref="BF12:BH12"/>
    <mergeCell ref="BI12:BJ12"/>
    <mergeCell ref="BK12:BL12"/>
    <mergeCell ref="BM12:BP12"/>
    <mergeCell ref="BQ12:BS12"/>
    <mergeCell ref="BU12:BW12"/>
    <mergeCell ref="AO12:AQ12"/>
    <mergeCell ref="AR12:AT12"/>
    <mergeCell ref="AU12:AW12"/>
    <mergeCell ref="AX12:AZ12"/>
    <mergeCell ref="BB12:BC12"/>
    <mergeCell ref="BD12:BE12"/>
    <mergeCell ref="CO12:CQ12"/>
    <mergeCell ref="CR12:CU12"/>
    <mergeCell ref="CV12:CW12"/>
    <mergeCell ref="CX12:CY12"/>
    <mergeCell ref="CZ12:DB12"/>
    <mergeCell ref="DC12:DD12"/>
    <mergeCell ref="BX12:BY12"/>
    <mergeCell ref="BZ12:CA12"/>
    <mergeCell ref="CB12:CD12"/>
    <mergeCell ref="CE12:CG12"/>
    <mergeCell ref="CH12:CJ12"/>
    <mergeCell ref="CK12:CN12"/>
    <mergeCell ref="T13:V13"/>
    <mergeCell ref="W13:X13"/>
    <mergeCell ref="Y13:AA13"/>
    <mergeCell ref="AB13:AD13"/>
    <mergeCell ref="AE13:AF13"/>
    <mergeCell ref="AG13:AH13"/>
    <mergeCell ref="B13:G13"/>
    <mergeCell ref="H13:K13"/>
    <mergeCell ref="L13:M13"/>
    <mergeCell ref="N13:O13"/>
    <mergeCell ref="P13:Q13"/>
    <mergeCell ref="R13:S13"/>
    <mergeCell ref="B14:G14"/>
    <mergeCell ref="H14:K14"/>
    <mergeCell ref="L14:M14"/>
    <mergeCell ref="N14:O14"/>
    <mergeCell ref="P14:Q14"/>
    <mergeCell ref="R14:S14"/>
    <mergeCell ref="T14:V14"/>
    <mergeCell ref="CE13:CG13"/>
    <mergeCell ref="CH13:CJ13"/>
    <mergeCell ref="BM13:BP13"/>
    <mergeCell ref="BQ13:BS13"/>
    <mergeCell ref="BU13:BW13"/>
    <mergeCell ref="BX13:BY13"/>
    <mergeCell ref="BZ13:CA13"/>
    <mergeCell ref="CB13:CD13"/>
    <mergeCell ref="AX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W14:X14"/>
    <mergeCell ref="Y14:AA14"/>
    <mergeCell ref="AB14:AD14"/>
    <mergeCell ref="AE14:AF14"/>
    <mergeCell ref="AG14:AH14"/>
    <mergeCell ref="AI14:AJ14"/>
    <mergeCell ref="CX13:CY13"/>
    <mergeCell ref="CZ13:DB13"/>
    <mergeCell ref="DC13:DD13"/>
    <mergeCell ref="CK13:CN13"/>
    <mergeCell ref="CO13:CQ13"/>
    <mergeCell ref="CR13:CU13"/>
    <mergeCell ref="CV13:CW13"/>
    <mergeCell ref="AO13:AQ13"/>
    <mergeCell ref="AR13:AT13"/>
    <mergeCell ref="AU13:AW13"/>
    <mergeCell ref="BF14:BH14"/>
    <mergeCell ref="BI14:BJ14"/>
    <mergeCell ref="BK14:BL14"/>
    <mergeCell ref="BM14:BP14"/>
    <mergeCell ref="AK14:AL14"/>
    <mergeCell ref="AM14:AN14"/>
    <mergeCell ref="AO14:AQ14"/>
    <mergeCell ref="AR14:AT14"/>
    <mergeCell ref="AU14:AW14"/>
    <mergeCell ref="AX14:AZ14"/>
    <mergeCell ref="CZ14:DB14"/>
    <mergeCell ref="DC14:DD14"/>
    <mergeCell ref="B15:G15"/>
    <mergeCell ref="H15:K15"/>
    <mergeCell ref="L15:M15"/>
    <mergeCell ref="N15:O15"/>
    <mergeCell ref="P15:Q15"/>
    <mergeCell ref="R15:S15"/>
    <mergeCell ref="T15:V15"/>
    <mergeCell ref="W15:X15"/>
    <mergeCell ref="CH14:CJ14"/>
    <mergeCell ref="CK14:CN14"/>
    <mergeCell ref="CO14:CQ14"/>
    <mergeCell ref="CR14:CU14"/>
    <mergeCell ref="CV14:CW14"/>
    <mergeCell ref="CX14:CY14"/>
    <mergeCell ref="BQ14:BS14"/>
    <mergeCell ref="BU14:BW14"/>
    <mergeCell ref="BX14:BY14"/>
    <mergeCell ref="BZ14:CA14"/>
    <mergeCell ref="CB14:CD14"/>
    <mergeCell ref="CE14:CG14"/>
    <mergeCell ref="AM15:AN15"/>
    <mergeCell ref="AO15:AQ15"/>
    <mergeCell ref="AR15:AT15"/>
    <mergeCell ref="AU15:AW15"/>
    <mergeCell ref="AX15:AZ15"/>
    <mergeCell ref="BB15:BC15"/>
    <mergeCell ref="Y15:AA15"/>
    <mergeCell ref="AB15:AD15"/>
    <mergeCell ref="AE15:AF15"/>
    <mergeCell ref="AG15:AH15"/>
    <mergeCell ref="AI15:AJ15"/>
    <mergeCell ref="AK15:AL15"/>
    <mergeCell ref="CH15:CJ15"/>
    <mergeCell ref="BD15:BE15"/>
    <mergeCell ref="BF15:BH15"/>
    <mergeCell ref="BI15:BJ15"/>
    <mergeCell ref="BK15:BL15"/>
    <mergeCell ref="BM15:BP15"/>
    <mergeCell ref="BQ15:BS15"/>
    <mergeCell ref="BB14:BC14"/>
    <mergeCell ref="BD14:BE14"/>
    <mergeCell ref="AI16:AJ16"/>
    <mergeCell ref="AK16:AL16"/>
    <mergeCell ref="AM16:AN16"/>
    <mergeCell ref="DC15:DD15"/>
    <mergeCell ref="B16:G16"/>
    <mergeCell ref="H16:K16"/>
    <mergeCell ref="L16:M16"/>
    <mergeCell ref="N16:O16"/>
    <mergeCell ref="P16:Q16"/>
    <mergeCell ref="R16:S16"/>
    <mergeCell ref="T16:V16"/>
    <mergeCell ref="W16:X16"/>
    <mergeCell ref="Y16:AA16"/>
    <mergeCell ref="CK15:CN15"/>
    <mergeCell ref="CO15:CQ15"/>
    <mergeCell ref="CR15:CU15"/>
    <mergeCell ref="CV15:CW15"/>
    <mergeCell ref="CX15:CY15"/>
    <mergeCell ref="CZ15:DB15"/>
    <mergeCell ref="BU15:BW15"/>
    <mergeCell ref="BX15:BY15"/>
    <mergeCell ref="BZ15:CA15"/>
    <mergeCell ref="CB15:CD15"/>
    <mergeCell ref="CE15:CG15"/>
    <mergeCell ref="CX16:CY16"/>
    <mergeCell ref="CZ16:DB16"/>
    <mergeCell ref="DC16:DD16"/>
    <mergeCell ref="BX16:BY16"/>
    <mergeCell ref="BZ16:CA16"/>
    <mergeCell ref="CB16:CD16"/>
    <mergeCell ref="CE16:CG16"/>
    <mergeCell ref="CH16:CJ16"/>
    <mergeCell ref="CK16:CN16"/>
    <mergeCell ref="B17:G17"/>
    <mergeCell ref="H17:K17"/>
    <mergeCell ref="L17:M17"/>
    <mergeCell ref="N17:O17"/>
    <mergeCell ref="P17:Q17"/>
    <mergeCell ref="R17:S17"/>
    <mergeCell ref="CO16:CQ16"/>
    <mergeCell ref="CR16:CU16"/>
    <mergeCell ref="CV16:CW16"/>
    <mergeCell ref="BF16:BH16"/>
    <mergeCell ref="BI16:BJ16"/>
    <mergeCell ref="BK16:BL16"/>
    <mergeCell ref="BM16:BP16"/>
    <mergeCell ref="BQ16:BS16"/>
    <mergeCell ref="BU16:BW16"/>
    <mergeCell ref="AO16:AQ16"/>
    <mergeCell ref="AR16:AT16"/>
    <mergeCell ref="AU16:AW16"/>
    <mergeCell ref="AX16:AZ16"/>
    <mergeCell ref="BB16:BC16"/>
    <mergeCell ref="BD16:BE16"/>
    <mergeCell ref="AB16:AD16"/>
    <mergeCell ref="AE16:AF16"/>
    <mergeCell ref="AG16:AH16"/>
    <mergeCell ref="AI17:AJ17"/>
    <mergeCell ref="AK17:AL17"/>
    <mergeCell ref="AM17:AN17"/>
    <mergeCell ref="T17:V17"/>
    <mergeCell ref="W17:X17"/>
    <mergeCell ref="Y17:AA17"/>
    <mergeCell ref="AB17:AD17"/>
    <mergeCell ref="AE17:AF17"/>
    <mergeCell ref="AG17:AH17"/>
    <mergeCell ref="BF18:BH18"/>
    <mergeCell ref="BI18:BJ18"/>
    <mergeCell ref="BK18:BL18"/>
    <mergeCell ref="BM18:BP18"/>
    <mergeCell ref="AK18:AL18"/>
    <mergeCell ref="AM18:AN18"/>
    <mergeCell ref="AO18:AQ18"/>
    <mergeCell ref="AR18:AT18"/>
    <mergeCell ref="B18:G18"/>
    <mergeCell ref="H18:K18"/>
    <mergeCell ref="L18:M18"/>
    <mergeCell ref="N18:O18"/>
    <mergeCell ref="P18:Q18"/>
    <mergeCell ref="R18:S18"/>
    <mergeCell ref="T18:V18"/>
    <mergeCell ref="BB18:BC18"/>
    <mergeCell ref="BD18:BE18"/>
    <mergeCell ref="AU18:AW18"/>
    <mergeCell ref="AX18:AZ18"/>
    <mergeCell ref="AB18:AD18"/>
    <mergeCell ref="AE18:AF18"/>
    <mergeCell ref="AG18:AH18"/>
    <mergeCell ref="AI18:AJ18"/>
    <mergeCell ref="CX17:CY17"/>
    <mergeCell ref="CZ17:DB17"/>
    <mergeCell ref="DC17:DD17"/>
    <mergeCell ref="CK17:CN17"/>
    <mergeCell ref="CO17:CQ17"/>
    <mergeCell ref="CR17:CU17"/>
    <mergeCell ref="CV17:CW17"/>
    <mergeCell ref="AO17:AQ17"/>
    <mergeCell ref="AR17:AT17"/>
    <mergeCell ref="AU17:AW17"/>
    <mergeCell ref="CE17:CG17"/>
    <mergeCell ref="CH17:CJ17"/>
    <mergeCell ref="BM17:BP17"/>
    <mergeCell ref="BQ17:BS17"/>
    <mergeCell ref="BU17:BW17"/>
    <mergeCell ref="BX17:BY17"/>
    <mergeCell ref="BZ17:CA17"/>
    <mergeCell ref="CB17:CD17"/>
    <mergeCell ref="AX17:AZ17"/>
    <mergeCell ref="BB17:BC17"/>
    <mergeCell ref="BD17:BE17"/>
    <mergeCell ref="BF17:BH17"/>
    <mergeCell ref="BI17:BJ17"/>
    <mergeCell ref="BK17:BL17"/>
    <mergeCell ref="CZ18:DB18"/>
    <mergeCell ref="DC18:DD18"/>
    <mergeCell ref="B19:G19"/>
    <mergeCell ref="H19:K19"/>
    <mergeCell ref="L19:M19"/>
    <mergeCell ref="N19:O19"/>
    <mergeCell ref="P19:Q19"/>
    <mergeCell ref="R19:S19"/>
    <mergeCell ref="T19:V19"/>
    <mergeCell ref="W19:X19"/>
    <mergeCell ref="CH18:CJ18"/>
    <mergeCell ref="CK18:CN18"/>
    <mergeCell ref="CO18:CQ18"/>
    <mergeCell ref="CR18:CU18"/>
    <mergeCell ref="CV18:CW18"/>
    <mergeCell ref="CX18:CY18"/>
    <mergeCell ref="BQ18:BS18"/>
    <mergeCell ref="BU18:BW18"/>
    <mergeCell ref="BX18:BY18"/>
    <mergeCell ref="BZ18:CA18"/>
    <mergeCell ref="CB18:CD18"/>
    <mergeCell ref="CE18:CG18"/>
    <mergeCell ref="W18:X18"/>
    <mergeCell ref="Y18:AA18"/>
    <mergeCell ref="AM19:AN19"/>
    <mergeCell ref="AO19:AQ19"/>
    <mergeCell ref="AR19:AT19"/>
    <mergeCell ref="AU19:AW19"/>
    <mergeCell ref="AX19:AZ19"/>
    <mergeCell ref="BB19:BC19"/>
    <mergeCell ref="Y19:AA19"/>
    <mergeCell ref="AB19:AD19"/>
    <mergeCell ref="AE19:AF19"/>
    <mergeCell ref="AG19:AH19"/>
    <mergeCell ref="AI19:AJ19"/>
    <mergeCell ref="AK19:AL19"/>
    <mergeCell ref="BZ19:CA19"/>
    <mergeCell ref="CB19:CD19"/>
    <mergeCell ref="CE19:CG19"/>
    <mergeCell ref="CH19:CJ19"/>
    <mergeCell ref="BD19:BE19"/>
    <mergeCell ref="BF19:BH19"/>
    <mergeCell ref="BI19:BJ19"/>
    <mergeCell ref="BK19:BL19"/>
    <mergeCell ref="BM19:BP19"/>
    <mergeCell ref="BQ19:BS19"/>
    <mergeCell ref="AB20:AD20"/>
    <mergeCell ref="AE20:AF20"/>
    <mergeCell ref="AG20:AH20"/>
    <mergeCell ref="AI20:AJ20"/>
    <mergeCell ref="AK20:AL20"/>
    <mergeCell ref="AM20:AN20"/>
    <mergeCell ref="DC19:DD19"/>
    <mergeCell ref="B20:G20"/>
    <mergeCell ref="H20:K20"/>
    <mergeCell ref="L20:M20"/>
    <mergeCell ref="N20:O20"/>
    <mergeCell ref="P20:Q20"/>
    <mergeCell ref="R20:S20"/>
    <mergeCell ref="T20:V20"/>
    <mergeCell ref="W20:X20"/>
    <mergeCell ref="Y20:AA20"/>
    <mergeCell ref="CK19:CN19"/>
    <mergeCell ref="CO19:CQ19"/>
    <mergeCell ref="CR19:CU19"/>
    <mergeCell ref="CV19:CW19"/>
    <mergeCell ref="CX19:CY19"/>
    <mergeCell ref="CZ19:DB19"/>
    <mergeCell ref="BU19:BW19"/>
    <mergeCell ref="BX19:BY19"/>
    <mergeCell ref="BF20:BH20"/>
    <mergeCell ref="BI20:BJ20"/>
    <mergeCell ref="BK20:BL20"/>
    <mergeCell ref="BM20:BP20"/>
    <mergeCell ref="BQ20:BS20"/>
    <mergeCell ref="BU20:BW20"/>
    <mergeCell ref="AO20:AQ20"/>
    <mergeCell ref="AR20:AT20"/>
    <mergeCell ref="AU20:AW20"/>
    <mergeCell ref="AX20:AZ20"/>
    <mergeCell ref="BB20:BC20"/>
    <mergeCell ref="BD20:BE20"/>
    <mergeCell ref="CO20:CQ20"/>
    <mergeCell ref="CR20:CU20"/>
    <mergeCell ref="CV20:CW20"/>
    <mergeCell ref="CX20:CY20"/>
    <mergeCell ref="CZ20:DB20"/>
    <mergeCell ref="DC20:DD20"/>
    <mergeCell ref="BX20:BY20"/>
    <mergeCell ref="BZ20:CA20"/>
    <mergeCell ref="CB20:CD20"/>
    <mergeCell ref="CE20:CG20"/>
    <mergeCell ref="CH20:CJ20"/>
    <mergeCell ref="CK20:CN20"/>
    <mergeCell ref="T21:V21"/>
    <mergeCell ref="W21:X21"/>
    <mergeCell ref="Y21:AA21"/>
    <mergeCell ref="AB21:AD21"/>
    <mergeCell ref="AE21:AF21"/>
    <mergeCell ref="AG21:AH21"/>
    <mergeCell ref="B21:G21"/>
    <mergeCell ref="H21:K21"/>
    <mergeCell ref="L21:M21"/>
    <mergeCell ref="N21:O21"/>
    <mergeCell ref="P21:Q21"/>
    <mergeCell ref="R21:S21"/>
    <mergeCell ref="B22:G22"/>
    <mergeCell ref="H22:K22"/>
    <mergeCell ref="L22:M22"/>
    <mergeCell ref="N22:O22"/>
    <mergeCell ref="P22:Q22"/>
    <mergeCell ref="R22:S22"/>
    <mergeCell ref="T22:V22"/>
    <mergeCell ref="CE21:CG21"/>
    <mergeCell ref="CH21:CJ21"/>
    <mergeCell ref="BM21:BP21"/>
    <mergeCell ref="BQ21:BS21"/>
    <mergeCell ref="BU21:BW21"/>
    <mergeCell ref="BX21:BY21"/>
    <mergeCell ref="BZ21:CA21"/>
    <mergeCell ref="CB21:CD21"/>
    <mergeCell ref="AX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W22:X22"/>
    <mergeCell ref="Y22:AA22"/>
    <mergeCell ref="AB22:AD22"/>
    <mergeCell ref="AE22:AF22"/>
    <mergeCell ref="AG22:AH22"/>
    <mergeCell ref="AI22:AJ22"/>
    <mergeCell ref="CX21:CY21"/>
    <mergeCell ref="CZ21:DB21"/>
    <mergeCell ref="DC21:DD21"/>
    <mergeCell ref="CK21:CN21"/>
    <mergeCell ref="CO21:CQ21"/>
    <mergeCell ref="CR21:CU21"/>
    <mergeCell ref="CV21:CW21"/>
    <mergeCell ref="AO21:AQ21"/>
    <mergeCell ref="AR21:AT21"/>
    <mergeCell ref="AU21:AW21"/>
    <mergeCell ref="BF22:BH22"/>
    <mergeCell ref="BI22:BJ22"/>
    <mergeCell ref="BK22:BL22"/>
    <mergeCell ref="BM22:BP22"/>
    <mergeCell ref="AK22:AL22"/>
    <mergeCell ref="AM22:AN22"/>
    <mergeCell ref="AO22:AQ22"/>
    <mergeCell ref="AR22:AT22"/>
    <mergeCell ref="AU22:AW22"/>
    <mergeCell ref="AX22:AZ22"/>
    <mergeCell ref="CZ22:DB22"/>
    <mergeCell ref="DC22:DD22"/>
    <mergeCell ref="B23:G23"/>
    <mergeCell ref="H23:K23"/>
    <mergeCell ref="L23:M23"/>
    <mergeCell ref="N23:O23"/>
    <mergeCell ref="P23:Q23"/>
    <mergeCell ref="R23:S23"/>
    <mergeCell ref="T23:V23"/>
    <mergeCell ref="W23:X23"/>
    <mergeCell ref="CH22:CJ22"/>
    <mergeCell ref="CK22:CN22"/>
    <mergeCell ref="CO22:CQ22"/>
    <mergeCell ref="CR22:CU22"/>
    <mergeCell ref="CV22:CW22"/>
    <mergeCell ref="CX22:CY22"/>
    <mergeCell ref="BQ22:BS22"/>
    <mergeCell ref="BU22:BW22"/>
    <mergeCell ref="BX22:BY22"/>
    <mergeCell ref="BZ22:CA22"/>
    <mergeCell ref="CB22:CD22"/>
    <mergeCell ref="CE22:CG22"/>
    <mergeCell ref="AM23:AN23"/>
    <mergeCell ref="AO23:AQ23"/>
    <mergeCell ref="AR23:AT23"/>
    <mergeCell ref="AU23:AW23"/>
    <mergeCell ref="AX23:AZ23"/>
    <mergeCell ref="BB23:BC23"/>
    <mergeCell ref="Y23:AA23"/>
    <mergeCell ref="AB23:AD23"/>
    <mergeCell ref="AE23:AF23"/>
    <mergeCell ref="AG23:AH23"/>
    <mergeCell ref="AI23:AJ23"/>
    <mergeCell ref="AK23:AL23"/>
    <mergeCell ref="CH23:CJ23"/>
    <mergeCell ref="BD23:BE23"/>
    <mergeCell ref="BF23:BH23"/>
    <mergeCell ref="BI23:BJ23"/>
    <mergeCell ref="BK23:BL23"/>
    <mergeCell ref="BM23:BP23"/>
    <mergeCell ref="BQ23:BS23"/>
    <mergeCell ref="BB22:BC22"/>
    <mergeCell ref="BD22:BE22"/>
    <mergeCell ref="AI24:AJ24"/>
    <mergeCell ref="AK24:AL24"/>
    <mergeCell ref="AM24:AN24"/>
    <mergeCell ref="DC23:DD23"/>
    <mergeCell ref="B24:G24"/>
    <mergeCell ref="H24:K24"/>
    <mergeCell ref="L24:M24"/>
    <mergeCell ref="N24:O24"/>
    <mergeCell ref="P24:Q24"/>
    <mergeCell ref="R24:S24"/>
    <mergeCell ref="T24:V24"/>
    <mergeCell ref="W24:X24"/>
    <mergeCell ref="Y24:AA24"/>
    <mergeCell ref="CK23:CN23"/>
    <mergeCell ref="CO23:CQ23"/>
    <mergeCell ref="CR23:CU23"/>
    <mergeCell ref="CV23:CW23"/>
    <mergeCell ref="CX23:CY23"/>
    <mergeCell ref="CZ23:DB23"/>
    <mergeCell ref="BU23:BW23"/>
    <mergeCell ref="BX23:BY23"/>
    <mergeCell ref="BZ23:CA23"/>
    <mergeCell ref="CB23:CD23"/>
    <mergeCell ref="CE23:CG23"/>
    <mergeCell ref="CX24:CY24"/>
    <mergeCell ref="CZ24:DB24"/>
    <mergeCell ref="DC24:DD24"/>
    <mergeCell ref="BX24:BY24"/>
    <mergeCell ref="BZ24:CA24"/>
    <mergeCell ref="CB24:CD24"/>
    <mergeCell ref="CE24:CG24"/>
    <mergeCell ref="CH24:CJ24"/>
    <mergeCell ref="CK24:CN24"/>
    <mergeCell ref="B25:G25"/>
    <mergeCell ref="H25:K25"/>
    <mergeCell ref="L25:M25"/>
    <mergeCell ref="N25:O25"/>
    <mergeCell ref="P25:Q25"/>
    <mergeCell ref="R25:S25"/>
    <mergeCell ref="CO24:CQ24"/>
    <mergeCell ref="CR24:CU24"/>
    <mergeCell ref="CV24:CW24"/>
    <mergeCell ref="BF24:BH24"/>
    <mergeCell ref="BI24:BJ24"/>
    <mergeCell ref="BK24:BL24"/>
    <mergeCell ref="BM24:BP24"/>
    <mergeCell ref="BQ24:BS24"/>
    <mergeCell ref="BU24:BW24"/>
    <mergeCell ref="AO24:AQ24"/>
    <mergeCell ref="AR24:AT24"/>
    <mergeCell ref="AU24:AW24"/>
    <mergeCell ref="AX24:AZ24"/>
    <mergeCell ref="BB24:BC24"/>
    <mergeCell ref="BD24:BE24"/>
    <mergeCell ref="AB24:AD24"/>
    <mergeCell ref="AE24:AF24"/>
    <mergeCell ref="AG24:AH24"/>
    <mergeCell ref="AI25:AJ25"/>
    <mergeCell ref="AK25:AL25"/>
    <mergeCell ref="AM25:AN25"/>
    <mergeCell ref="T25:V25"/>
    <mergeCell ref="W25:X25"/>
    <mergeCell ref="Y25:AA25"/>
    <mergeCell ref="AB25:AD25"/>
    <mergeCell ref="AE25:AF25"/>
    <mergeCell ref="AG25:AH25"/>
    <mergeCell ref="BF26:BH26"/>
    <mergeCell ref="BI26:BJ26"/>
    <mergeCell ref="BK26:BL26"/>
    <mergeCell ref="BM26:BP26"/>
    <mergeCell ref="AK26:AL26"/>
    <mergeCell ref="AM26:AN26"/>
    <mergeCell ref="AO26:AQ26"/>
    <mergeCell ref="AR26:AT26"/>
    <mergeCell ref="B26:G26"/>
    <mergeCell ref="H26:K26"/>
    <mergeCell ref="L26:M26"/>
    <mergeCell ref="N26:O26"/>
    <mergeCell ref="P26:Q26"/>
    <mergeCell ref="R26:S26"/>
    <mergeCell ref="T26:V26"/>
    <mergeCell ref="BB26:BC26"/>
    <mergeCell ref="BD26:BE26"/>
    <mergeCell ref="AU26:AW26"/>
    <mergeCell ref="AX26:AZ26"/>
    <mergeCell ref="AB26:AD26"/>
    <mergeCell ref="AE26:AF26"/>
    <mergeCell ref="AG26:AH26"/>
    <mergeCell ref="AI26:AJ26"/>
    <mergeCell ref="CX25:CY25"/>
    <mergeCell ref="CZ25:DB25"/>
    <mergeCell ref="DC25:DD25"/>
    <mergeCell ref="CK25:CN25"/>
    <mergeCell ref="CO25:CQ25"/>
    <mergeCell ref="CR25:CU25"/>
    <mergeCell ref="CV25:CW25"/>
    <mergeCell ref="AO25:AQ25"/>
    <mergeCell ref="AR25:AT25"/>
    <mergeCell ref="AU25:AW25"/>
    <mergeCell ref="CE25:CG25"/>
    <mergeCell ref="CH25:CJ25"/>
    <mergeCell ref="BM25:BP25"/>
    <mergeCell ref="BQ25:BS25"/>
    <mergeCell ref="BU25:BW25"/>
    <mergeCell ref="BX25:BY25"/>
    <mergeCell ref="BZ25:CA25"/>
    <mergeCell ref="CB25:CD25"/>
    <mergeCell ref="AX25:AZ25"/>
    <mergeCell ref="BB25:BC25"/>
    <mergeCell ref="BD25:BE25"/>
    <mergeCell ref="BF25:BH25"/>
    <mergeCell ref="BI25:BJ25"/>
    <mergeCell ref="BK25:BL25"/>
    <mergeCell ref="CZ26:DB26"/>
    <mergeCell ref="DC26:DD26"/>
    <mergeCell ref="B27:G27"/>
    <mergeCell ref="H27:K27"/>
    <mergeCell ref="L27:M27"/>
    <mergeCell ref="N27:O27"/>
    <mergeCell ref="P27:Q27"/>
    <mergeCell ref="R27:S27"/>
    <mergeCell ref="T27:V27"/>
    <mergeCell ref="W27:X27"/>
    <mergeCell ref="CH26:CJ26"/>
    <mergeCell ref="CK26:CN26"/>
    <mergeCell ref="CO26:CQ26"/>
    <mergeCell ref="CR26:CU26"/>
    <mergeCell ref="CV26:CW26"/>
    <mergeCell ref="CX26:CY26"/>
    <mergeCell ref="BQ26:BS26"/>
    <mergeCell ref="BU26:BW26"/>
    <mergeCell ref="BX26:BY26"/>
    <mergeCell ref="BZ26:CA26"/>
    <mergeCell ref="CB26:CD26"/>
    <mergeCell ref="CE26:CG26"/>
    <mergeCell ref="W26:X26"/>
    <mergeCell ref="Y26:AA26"/>
    <mergeCell ref="AM27:AN27"/>
    <mergeCell ref="AO27:AQ27"/>
    <mergeCell ref="AR27:AT27"/>
    <mergeCell ref="AU27:AW27"/>
    <mergeCell ref="AX27:AZ27"/>
    <mergeCell ref="BB27:BC27"/>
    <mergeCell ref="Y27:AA27"/>
    <mergeCell ref="AB27:AD27"/>
    <mergeCell ref="AE27:AF27"/>
    <mergeCell ref="AG27:AH27"/>
    <mergeCell ref="AI27:AJ27"/>
    <mergeCell ref="AK27:AL27"/>
    <mergeCell ref="CX27:CY27"/>
    <mergeCell ref="CZ27:DB27"/>
    <mergeCell ref="BU27:BW27"/>
    <mergeCell ref="BX27:BY27"/>
    <mergeCell ref="BZ27:CA27"/>
    <mergeCell ref="CB27:CD27"/>
    <mergeCell ref="CE27:CG27"/>
    <mergeCell ref="CH27:CJ27"/>
    <mergeCell ref="BD27:BE27"/>
    <mergeCell ref="BF27:BH27"/>
    <mergeCell ref="BI27:BJ27"/>
    <mergeCell ref="BK27:BL27"/>
    <mergeCell ref="BM27:BP27"/>
    <mergeCell ref="BQ27:BS27"/>
    <mergeCell ref="B28:G28"/>
    <mergeCell ref="H28:K28"/>
    <mergeCell ref="L28:M28"/>
    <mergeCell ref="N28:O28"/>
    <mergeCell ref="P28:Q28"/>
    <mergeCell ref="R28:S28"/>
    <mergeCell ref="T28:V28"/>
    <mergeCell ref="W28:X28"/>
    <mergeCell ref="Y28:AA28"/>
    <mergeCell ref="AO28:AQ28"/>
    <mergeCell ref="AR28:AT28"/>
    <mergeCell ref="AU28:AW28"/>
    <mergeCell ref="AX28:AZ28"/>
    <mergeCell ref="BB28:BC28"/>
    <mergeCell ref="BD28:BE28"/>
    <mergeCell ref="AB28:AD28"/>
    <mergeCell ref="AE28:AF28"/>
    <mergeCell ref="AG28:AH28"/>
    <mergeCell ref="AI28:AJ28"/>
    <mergeCell ref="AK28:AL28"/>
    <mergeCell ref="AM28:AN28"/>
    <mergeCell ref="BX28:BY28"/>
    <mergeCell ref="BZ28:CA28"/>
    <mergeCell ref="CB28:CD28"/>
    <mergeCell ref="CE28:CG28"/>
    <mergeCell ref="CH28:CJ28"/>
    <mergeCell ref="CK28:CN28"/>
    <mergeCell ref="BF28:BH28"/>
    <mergeCell ref="BI28:BJ28"/>
    <mergeCell ref="BK28:BL28"/>
    <mergeCell ref="BM28:BP28"/>
    <mergeCell ref="BQ28:BS28"/>
    <mergeCell ref="BU28:BW28"/>
    <mergeCell ref="W29:X29"/>
    <mergeCell ref="Y29:AA29"/>
    <mergeCell ref="AB29:AD29"/>
    <mergeCell ref="AE29:AF29"/>
    <mergeCell ref="AG29:AH29"/>
    <mergeCell ref="B29:G29"/>
    <mergeCell ref="H29:K29"/>
    <mergeCell ref="L29:M29"/>
    <mergeCell ref="N29:O29"/>
    <mergeCell ref="P29:Q29"/>
    <mergeCell ref="R29:S29"/>
    <mergeCell ref="CO32:CY32"/>
    <mergeCell ref="DG31:DG32"/>
    <mergeCell ref="CX29:CY29"/>
    <mergeCell ref="CZ29:DB29"/>
    <mergeCell ref="DC29:DD29"/>
    <mergeCell ref="DG5:DG6"/>
    <mergeCell ref="CO30:CY30"/>
    <mergeCell ref="CE29:CG29"/>
    <mergeCell ref="CH29:CJ29"/>
    <mergeCell ref="CK29:CN29"/>
    <mergeCell ref="CO29:CQ29"/>
    <mergeCell ref="CR29:CU29"/>
    <mergeCell ref="CV29:CW29"/>
    <mergeCell ref="CO28:CQ28"/>
    <mergeCell ref="CR28:CU28"/>
    <mergeCell ref="CV28:CW28"/>
    <mergeCell ref="CX28:CY28"/>
    <mergeCell ref="CZ28:DB28"/>
    <mergeCell ref="DC28:DD28"/>
    <mergeCell ref="DC27:DD27"/>
    <mergeCell ref="CK27:CN27"/>
    <mergeCell ref="CO27:CQ27"/>
    <mergeCell ref="CR27:CU27"/>
    <mergeCell ref="CV27:CW27"/>
    <mergeCell ref="A1:DG1"/>
    <mergeCell ref="A2:DG2"/>
    <mergeCell ref="A3:DG3"/>
    <mergeCell ref="A4:DG4"/>
    <mergeCell ref="G31:CY31"/>
    <mergeCell ref="BM29:BP29"/>
    <mergeCell ref="BQ29:BS29"/>
    <mergeCell ref="BU29:BW29"/>
    <mergeCell ref="BX29:BY29"/>
    <mergeCell ref="BZ29:CA29"/>
    <mergeCell ref="CB29:CD29"/>
    <mergeCell ref="AX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Q29"/>
    <mergeCell ref="AR29:AT29"/>
    <mergeCell ref="AU29:AW29"/>
    <mergeCell ref="T29:V29"/>
  </mergeCells>
  <pageMargins left="0.7" right="0.7" top="0.75" bottom="0.75" header="0.3" footer="0.3"/>
  <pageSetup paperSize="9" scale="22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25" zoomScale="85" zoomScaleNormal="85" workbookViewId="0">
      <selection activeCell="A3" sqref="A3:XFD3"/>
    </sheetView>
  </sheetViews>
  <sheetFormatPr defaultRowHeight="15"/>
  <cols>
    <col min="1" max="1" width="7" style="452" customWidth="1"/>
    <col min="2" max="2" width="63.33203125" style="452" customWidth="1"/>
    <col min="3" max="16384" width="9.33203125" style="452"/>
  </cols>
  <sheetData>
    <row r="1" spans="1:2" ht="27">
      <c r="A1" s="1357" t="s">
        <v>788</v>
      </c>
      <c r="B1" s="1357"/>
    </row>
    <row r="2" spans="1:2" ht="25.5" customHeight="1">
      <c r="A2" s="1357" t="s">
        <v>410</v>
      </c>
      <c r="B2" s="1357"/>
    </row>
    <row r="3" spans="1:2" ht="24.75">
      <c r="A3" s="1358" t="s">
        <v>789</v>
      </c>
      <c r="B3" s="1358"/>
    </row>
    <row r="4" spans="1:2" ht="18.75" customHeight="1">
      <c r="A4" s="1359" t="s">
        <v>0</v>
      </c>
      <c r="B4" s="1360" t="s">
        <v>551</v>
      </c>
    </row>
    <row r="5" spans="1:2" ht="37.5" customHeight="1">
      <c r="A5" s="1359"/>
      <c r="B5" s="1361"/>
    </row>
    <row r="6" spans="1:2" ht="18.75">
      <c r="A6" s="459"/>
      <c r="B6" s="459" t="s">
        <v>558</v>
      </c>
    </row>
    <row r="7" spans="1:2" ht="15.75">
      <c r="A7" s="454">
        <v>1</v>
      </c>
      <c r="B7" s="455" t="s">
        <v>775</v>
      </c>
    </row>
    <row r="8" spans="1:2" ht="15.75">
      <c r="A8" s="454">
        <v>2</v>
      </c>
      <c r="B8" s="455" t="s">
        <v>776</v>
      </c>
    </row>
    <row r="9" spans="1:2" ht="15.75">
      <c r="A9" s="454">
        <v>3</v>
      </c>
      <c r="B9" s="455" t="s">
        <v>777</v>
      </c>
    </row>
    <row r="10" spans="1:2" ht="15.75">
      <c r="A10" s="454">
        <v>4</v>
      </c>
      <c r="B10" s="456" t="s">
        <v>778</v>
      </c>
    </row>
    <row r="11" spans="1:2" ht="15.75">
      <c r="A11" s="454">
        <v>5</v>
      </c>
      <c r="B11" s="455" t="s">
        <v>185</v>
      </c>
    </row>
    <row r="12" spans="1:2" ht="15.75">
      <c r="A12" s="454">
        <v>6</v>
      </c>
      <c r="B12" s="455" t="s">
        <v>187</v>
      </c>
    </row>
    <row r="13" spans="1:2" ht="15.75">
      <c r="A13" s="454">
        <v>7</v>
      </c>
      <c r="B13" s="455" t="s">
        <v>779</v>
      </c>
    </row>
    <row r="14" spans="1:2" ht="15.75">
      <c r="A14" s="454">
        <v>8</v>
      </c>
      <c r="B14" s="455" t="s">
        <v>780</v>
      </c>
    </row>
    <row r="15" spans="1:2" ht="15.75">
      <c r="A15" s="454">
        <v>9</v>
      </c>
      <c r="B15" s="455" t="s">
        <v>781</v>
      </c>
    </row>
    <row r="16" spans="1:2" ht="15.75">
      <c r="A16" s="454"/>
      <c r="B16" s="454" t="s">
        <v>421</v>
      </c>
    </row>
    <row r="17" spans="1:2" ht="15.75">
      <c r="A17" s="454"/>
      <c r="B17" s="454"/>
    </row>
    <row r="18" spans="1:2" ht="18.75">
      <c r="A18" s="454"/>
      <c r="B18" s="453" t="s">
        <v>557</v>
      </c>
    </row>
    <row r="19" spans="1:2" ht="15.75">
      <c r="A19" s="454">
        <v>1</v>
      </c>
      <c r="B19" s="455" t="s">
        <v>782</v>
      </c>
    </row>
    <row r="20" spans="1:2" ht="15.75">
      <c r="A20" s="454">
        <v>2</v>
      </c>
      <c r="B20" s="455" t="s">
        <v>783</v>
      </c>
    </row>
    <row r="21" spans="1:2" ht="15.75">
      <c r="A21" s="454">
        <v>3</v>
      </c>
      <c r="B21" s="455" t="s">
        <v>784</v>
      </c>
    </row>
    <row r="22" spans="1:2" ht="15.75">
      <c r="A22" s="454">
        <v>4</v>
      </c>
      <c r="B22" s="455" t="s">
        <v>785</v>
      </c>
    </row>
    <row r="23" spans="1:2" ht="15.75">
      <c r="A23" s="454">
        <v>5</v>
      </c>
      <c r="B23" s="455" t="s">
        <v>786</v>
      </c>
    </row>
    <row r="24" spans="1:2" ht="15.75">
      <c r="A24" s="454"/>
      <c r="B24" s="454" t="s">
        <v>421</v>
      </c>
    </row>
    <row r="25" spans="1:2" ht="15.75">
      <c r="A25" s="454"/>
      <c r="B25" s="457"/>
    </row>
    <row r="26" spans="1:2" ht="18.75">
      <c r="A26" s="454"/>
      <c r="B26" s="453" t="s">
        <v>556</v>
      </c>
    </row>
    <row r="27" spans="1:2" ht="15.75">
      <c r="A27" s="454">
        <v>1</v>
      </c>
      <c r="B27" s="455" t="s">
        <v>782</v>
      </c>
    </row>
    <row r="28" spans="1:2" ht="15.75">
      <c r="A28" s="454">
        <v>2</v>
      </c>
      <c r="B28" s="455" t="s">
        <v>783</v>
      </c>
    </row>
    <row r="29" spans="1:2" ht="15.75">
      <c r="A29" s="454">
        <v>3</v>
      </c>
      <c r="B29" s="455" t="s">
        <v>784</v>
      </c>
    </row>
    <row r="30" spans="1:2" ht="15.75">
      <c r="A30" s="454">
        <v>4</v>
      </c>
      <c r="B30" s="455" t="s">
        <v>787</v>
      </c>
    </row>
    <row r="31" spans="1:2" ht="15.75">
      <c r="A31" s="454">
        <v>5</v>
      </c>
      <c r="B31" s="455" t="s">
        <v>786</v>
      </c>
    </row>
    <row r="32" spans="1:2" ht="15.75">
      <c r="A32" s="461"/>
      <c r="B32" s="556" t="s">
        <v>1055</v>
      </c>
    </row>
    <row r="33" spans="1:2" ht="34.5" thickBot="1">
      <c r="A33" s="461"/>
      <c r="B33" s="460" t="s">
        <v>421</v>
      </c>
    </row>
    <row r="34" spans="1:2" ht="31.5" customHeight="1" thickBot="1">
      <c r="A34" s="462"/>
      <c r="B34" s="655"/>
    </row>
    <row r="35" spans="1:2">
      <c r="A35" s="458"/>
      <c r="B35" s="555">
        <f>COUNTA(A7:A32)</f>
        <v>19</v>
      </c>
    </row>
  </sheetData>
  <mergeCells count="5">
    <mergeCell ref="A1:B1"/>
    <mergeCell ref="A2:B2"/>
    <mergeCell ref="A3:B3"/>
    <mergeCell ref="A4:A5"/>
    <mergeCell ref="B4:B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60"/>
  <sheetViews>
    <sheetView view="pageBreakPreview" topLeftCell="A8" zoomScale="60" workbookViewId="0">
      <selection activeCell="A57" sqref="A57:CO57"/>
    </sheetView>
  </sheetViews>
  <sheetFormatPr defaultRowHeight="27.75"/>
  <cols>
    <col min="1" max="4" width="9.33203125" style="112"/>
    <col min="5" max="5" width="150.83203125" style="112" customWidth="1"/>
    <col min="6" max="84" width="0" style="112" hidden="1" customWidth="1"/>
    <col min="85" max="85" width="75" style="112" hidden="1" customWidth="1"/>
    <col min="86" max="92" width="9.33203125" style="112"/>
    <col min="93" max="93" width="7.33203125" style="112" customWidth="1"/>
    <col min="94" max="104" width="0" style="112" hidden="1" customWidth="1"/>
    <col min="105" max="105" width="51" style="112" customWidth="1"/>
    <col min="106" max="16384" width="9.33203125" style="112"/>
  </cols>
  <sheetData>
    <row r="1" spans="1:111" ht="45">
      <c r="A1" s="1362" t="s">
        <v>409</v>
      </c>
      <c r="B1" s="1363"/>
      <c r="C1" s="1363"/>
      <c r="D1" s="1363"/>
      <c r="E1" s="1363"/>
      <c r="F1" s="1363"/>
      <c r="G1" s="1363"/>
      <c r="H1" s="1363"/>
      <c r="I1" s="1363"/>
      <c r="J1" s="1363"/>
      <c r="K1" s="1363"/>
      <c r="L1" s="1363"/>
      <c r="M1" s="1363"/>
      <c r="N1" s="1363"/>
      <c r="O1" s="1363"/>
      <c r="P1" s="1363"/>
      <c r="Q1" s="1363"/>
      <c r="R1" s="1363"/>
      <c r="S1" s="1363"/>
      <c r="T1" s="1363"/>
      <c r="U1" s="1363"/>
      <c r="V1" s="1363"/>
      <c r="W1" s="1363"/>
      <c r="X1" s="1363"/>
      <c r="Y1" s="1363"/>
      <c r="Z1" s="1363"/>
      <c r="AA1" s="1363"/>
      <c r="AB1" s="1363"/>
      <c r="AC1" s="1363"/>
      <c r="AD1" s="1363"/>
      <c r="AE1" s="1363"/>
      <c r="AF1" s="1363"/>
      <c r="AG1" s="1363"/>
      <c r="AH1" s="1363"/>
      <c r="AI1" s="1363"/>
      <c r="AJ1" s="1363"/>
      <c r="AK1" s="1363"/>
      <c r="AL1" s="1363"/>
      <c r="AM1" s="1363"/>
      <c r="AN1" s="1363"/>
      <c r="AO1" s="1363"/>
      <c r="AP1" s="1363"/>
      <c r="AQ1" s="1363"/>
      <c r="AR1" s="1363"/>
      <c r="AS1" s="1363"/>
      <c r="AT1" s="1363"/>
      <c r="AU1" s="1363"/>
      <c r="AV1" s="1363"/>
      <c r="AW1" s="1363"/>
      <c r="AX1" s="1363"/>
      <c r="AY1" s="1363"/>
      <c r="AZ1" s="1363"/>
      <c r="BA1" s="1363"/>
      <c r="BB1" s="1363"/>
      <c r="BC1" s="1363"/>
      <c r="BD1" s="1363"/>
      <c r="BE1" s="1363"/>
      <c r="BF1" s="1363"/>
      <c r="BG1" s="1363"/>
      <c r="BH1" s="1363"/>
      <c r="BI1" s="1363"/>
      <c r="BJ1" s="1363"/>
      <c r="BK1" s="1363"/>
      <c r="BL1" s="1363"/>
      <c r="BM1" s="1363"/>
      <c r="BN1" s="1363"/>
      <c r="BO1" s="1363"/>
      <c r="BP1" s="1363"/>
      <c r="BQ1" s="1363"/>
      <c r="BR1" s="1363"/>
      <c r="BS1" s="1363"/>
      <c r="BT1" s="1363"/>
      <c r="BU1" s="1363"/>
      <c r="BV1" s="1363"/>
      <c r="BW1" s="1363"/>
      <c r="BX1" s="1363"/>
      <c r="BY1" s="1363"/>
      <c r="BZ1" s="1363"/>
      <c r="CA1" s="1363"/>
      <c r="CB1" s="1363"/>
      <c r="CC1" s="1363"/>
      <c r="CD1" s="1363"/>
      <c r="CE1" s="1363"/>
      <c r="CF1" s="1363"/>
      <c r="CG1" s="1363"/>
      <c r="CH1" s="1363"/>
      <c r="CI1" s="1363"/>
      <c r="CJ1" s="1363"/>
      <c r="CK1" s="1363"/>
      <c r="CL1" s="1363"/>
      <c r="CM1" s="1363"/>
      <c r="CN1" s="1363"/>
      <c r="CO1" s="1363"/>
      <c r="CP1" s="1363"/>
      <c r="CQ1" s="1363"/>
      <c r="CR1" s="1363"/>
      <c r="CS1" s="1363"/>
      <c r="CT1" s="1363"/>
      <c r="CU1" s="1363"/>
      <c r="CV1" s="1363"/>
      <c r="CW1" s="1363"/>
      <c r="CX1" s="1363"/>
      <c r="CY1" s="1363"/>
      <c r="CZ1" s="1363"/>
      <c r="DA1" s="1363"/>
      <c r="DB1" s="1363"/>
      <c r="DC1" s="1363"/>
      <c r="DD1" s="1363"/>
      <c r="DE1" s="1363"/>
      <c r="DF1" s="1363"/>
      <c r="DG1" s="1364"/>
    </row>
    <row r="2" spans="1:111" ht="45">
      <c r="A2" s="1365" t="s">
        <v>522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6"/>
      <c r="AC2" s="1366"/>
      <c r="AD2" s="1366"/>
      <c r="AE2" s="1366"/>
      <c r="AF2" s="1366"/>
      <c r="AG2" s="1366"/>
      <c r="AH2" s="1366"/>
      <c r="AI2" s="1366"/>
      <c r="AJ2" s="1366"/>
      <c r="AK2" s="1366"/>
      <c r="AL2" s="1366"/>
      <c r="AM2" s="1366"/>
      <c r="AN2" s="1366"/>
      <c r="AO2" s="1366"/>
      <c r="AP2" s="1366"/>
      <c r="AQ2" s="1366"/>
      <c r="AR2" s="1366"/>
      <c r="AS2" s="1366"/>
      <c r="AT2" s="1366"/>
      <c r="AU2" s="1366"/>
      <c r="AV2" s="1366"/>
      <c r="AW2" s="1366"/>
      <c r="AX2" s="1366"/>
      <c r="AY2" s="1366"/>
      <c r="AZ2" s="1366"/>
      <c r="BA2" s="1366"/>
      <c r="BB2" s="1366"/>
      <c r="BC2" s="1366"/>
      <c r="BD2" s="1366"/>
      <c r="BE2" s="1366"/>
      <c r="BF2" s="1366"/>
      <c r="BG2" s="1366"/>
      <c r="BH2" s="1366"/>
      <c r="BI2" s="1366"/>
      <c r="BJ2" s="1366"/>
      <c r="BK2" s="1366"/>
      <c r="BL2" s="1366"/>
      <c r="BM2" s="1366"/>
      <c r="BN2" s="1366"/>
      <c r="BO2" s="1366"/>
      <c r="BP2" s="1366"/>
      <c r="BQ2" s="1366"/>
      <c r="BR2" s="1366"/>
      <c r="BS2" s="1366"/>
      <c r="BT2" s="1366"/>
      <c r="BU2" s="1366"/>
      <c r="BV2" s="1366"/>
      <c r="BW2" s="1366"/>
      <c r="BX2" s="1366"/>
      <c r="BY2" s="1366"/>
      <c r="BZ2" s="1366"/>
      <c r="CA2" s="1366"/>
      <c r="CB2" s="1366"/>
      <c r="CC2" s="1366"/>
      <c r="CD2" s="1366"/>
      <c r="CE2" s="1366"/>
      <c r="CF2" s="1366"/>
      <c r="CG2" s="1366"/>
      <c r="CH2" s="1366"/>
      <c r="CI2" s="1366"/>
      <c r="CJ2" s="1366"/>
      <c r="CK2" s="1366"/>
      <c r="CL2" s="1366"/>
      <c r="CM2" s="1366"/>
      <c r="CN2" s="1366"/>
      <c r="CO2" s="1366"/>
      <c r="CP2" s="1366"/>
      <c r="CQ2" s="1366"/>
      <c r="CR2" s="1366"/>
      <c r="CS2" s="1366"/>
      <c r="CT2" s="1366"/>
      <c r="CU2" s="1366"/>
      <c r="CV2" s="1366"/>
      <c r="CW2" s="1366"/>
      <c r="CX2" s="1366"/>
      <c r="CY2" s="1366"/>
      <c r="CZ2" s="1366"/>
      <c r="DA2" s="1366"/>
      <c r="DB2" s="1366"/>
      <c r="DC2" s="1366"/>
      <c r="DD2" s="1366"/>
      <c r="DE2" s="1366"/>
      <c r="DF2" s="1366"/>
      <c r="DG2" s="1367"/>
    </row>
    <row r="3" spans="1:111" ht="45">
      <c r="A3" s="1365" t="s">
        <v>523</v>
      </c>
      <c r="B3" s="1366"/>
      <c r="C3" s="1366"/>
      <c r="D3" s="1366"/>
      <c r="E3" s="1366"/>
      <c r="F3" s="1366"/>
      <c r="G3" s="1366"/>
      <c r="H3" s="1366"/>
      <c r="I3" s="1366"/>
      <c r="J3" s="1366"/>
      <c r="K3" s="1366"/>
      <c r="L3" s="1366"/>
      <c r="M3" s="1366"/>
      <c r="N3" s="1366"/>
      <c r="O3" s="1366"/>
      <c r="P3" s="1366"/>
      <c r="Q3" s="1366"/>
      <c r="R3" s="1366"/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6"/>
      <c r="AD3" s="1366"/>
      <c r="AE3" s="1366"/>
      <c r="AF3" s="1366"/>
      <c r="AG3" s="1366"/>
      <c r="AH3" s="1366"/>
      <c r="AI3" s="1366"/>
      <c r="AJ3" s="1366"/>
      <c r="AK3" s="1366"/>
      <c r="AL3" s="1366"/>
      <c r="AM3" s="1366"/>
      <c r="AN3" s="1366"/>
      <c r="AO3" s="1366"/>
      <c r="AP3" s="1366"/>
      <c r="AQ3" s="1366"/>
      <c r="AR3" s="1366"/>
      <c r="AS3" s="1366"/>
      <c r="AT3" s="1366"/>
      <c r="AU3" s="1366"/>
      <c r="AV3" s="1366"/>
      <c r="AW3" s="1366"/>
      <c r="AX3" s="1366"/>
      <c r="AY3" s="1366"/>
      <c r="AZ3" s="1366"/>
      <c r="BA3" s="1366"/>
      <c r="BB3" s="1366"/>
      <c r="BC3" s="1366"/>
      <c r="BD3" s="1366"/>
      <c r="BE3" s="1366"/>
      <c r="BF3" s="1366"/>
      <c r="BG3" s="1366"/>
      <c r="BH3" s="1366"/>
      <c r="BI3" s="1366"/>
      <c r="BJ3" s="1366"/>
      <c r="BK3" s="1366"/>
      <c r="BL3" s="1366"/>
      <c r="BM3" s="1366"/>
      <c r="BN3" s="1366"/>
      <c r="BO3" s="1366"/>
      <c r="BP3" s="1366"/>
      <c r="BQ3" s="1366"/>
      <c r="BR3" s="1366"/>
      <c r="BS3" s="1366"/>
      <c r="BT3" s="1366"/>
      <c r="BU3" s="1366"/>
      <c r="BV3" s="1366"/>
      <c r="BW3" s="1366"/>
      <c r="BX3" s="1366"/>
      <c r="BY3" s="1366"/>
      <c r="BZ3" s="1366"/>
      <c r="CA3" s="1366"/>
      <c r="CB3" s="1366"/>
      <c r="CC3" s="1366"/>
      <c r="CD3" s="1366"/>
      <c r="CE3" s="1366"/>
      <c r="CF3" s="1366"/>
      <c r="CG3" s="1366"/>
      <c r="CH3" s="1366"/>
      <c r="CI3" s="1366"/>
      <c r="CJ3" s="1366"/>
      <c r="CK3" s="1366"/>
      <c r="CL3" s="1366"/>
      <c r="CM3" s="1366"/>
      <c r="CN3" s="1366"/>
      <c r="CO3" s="1366"/>
      <c r="CP3" s="1366"/>
      <c r="CQ3" s="1366"/>
      <c r="CR3" s="1366"/>
      <c r="CS3" s="1366"/>
      <c r="CT3" s="1366"/>
      <c r="CU3" s="1366"/>
      <c r="CV3" s="1366"/>
      <c r="CW3" s="1366"/>
      <c r="CX3" s="1366"/>
      <c r="CY3" s="1366"/>
      <c r="CZ3" s="1366"/>
      <c r="DA3" s="1366"/>
      <c r="DB3" s="1366"/>
      <c r="DC3" s="1366"/>
      <c r="DD3" s="1366"/>
      <c r="DE3" s="1366"/>
      <c r="DF3" s="1366"/>
      <c r="DG3" s="1367"/>
    </row>
    <row r="4" spans="1:111" ht="45">
      <c r="A4" s="1362" t="s">
        <v>179</v>
      </c>
      <c r="B4" s="1363"/>
      <c r="C4" s="1363"/>
      <c r="D4" s="1363"/>
      <c r="E4" s="1363"/>
      <c r="F4" s="1363"/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1363"/>
      <c r="S4" s="1363"/>
      <c r="T4" s="1363"/>
      <c r="U4" s="1363"/>
      <c r="V4" s="1363"/>
      <c r="W4" s="1363"/>
      <c r="X4" s="1363"/>
      <c r="Y4" s="1363"/>
      <c r="Z4" s="1363"/>
      <c r="AA4" s="1363"/>
      <c r="AB4" s="1363"/>
      <c r="AC4" s="1363"/>
      <c r="AD4" s="1363"/>
      <c r="AE4" s="1363"/>
      <c r="AF4" s="1363"/>
      <c r="AG4" s="1363"/>
      <c r="AH4" s="1363"/>
      <c r="AI4" s="1363"/>
      <c r="AJ4" s="1363"/>
      <c r="AK4" s="1363"/>
      <c r="AL4" s="1363"/>
      <c r="AM4" s="1363"/>
      <c r="AN4" s="1363"/>
      <c r="AO4" s="1363"/>
      <c r="AP4" s="1363"/>
      <c r="AQ4" s="1363"/>
      <c r="AR4" s="1363"/>
      <c r="AS4" s="1363"/>
      <c r="AT4" s="1363"/>
      <c r="AU4" s="1363"/>
      <c r="AV4" s="1363"/>
      <c r="AW4" s="1363"/>
      <c r="AX4" s="1363"/>
      <c r="AY4" s="1363"/>
      <c r="AZ4" s="1363"/>
      <c r="BA4" s="1363"/>
      <c r="BB4" s="1363"/>
      <c r="BC4" s="1363"/>
      <c r="BD4" s="1363"/>
      <c r="BE4" s="1363"/>
      <c r="BF4" s="1363"/>
      <c r="BG4" s="1363"/>
      <c r="BH4" s="1363"/>
      <c r="BI4" s="1363"/>
      <c r="BJ4" s="1363"/>
      <c r="BK4" s="1363"/>
      <c r="BL4" s="1363"/>
      <c r="BM4" s="1363"/>
      <c r="BN4" s="1363"/>
      <c r="BO4" s="1363"/>
      <c r="BP4" s="1363"/>
      <c r="BQ4" s="1363"/>
      <c r="BR4" s="1363"/>
      <c r="BS4" s="1363"/>
      <c r="BT4" s="1363"/>
      <c r="BU4" s="1363"/>
      <c r="BV4" s="1363"/>
      <c r="BW4" s="1363"/>
      <c r="BX4" s="1363"/>
      <c r="BY4" s="1363"/>
      <c r="BZ4" s="1363"/>
      <c r="CA4" s="1363"/>
      <c r="CB4" s="1363"/>
      <c r="CC4" s="1363"/>
      <c r="CD4" s="1363"/>
      <c r="CE4" s="1363"/>
      <c r="CF4" s="1363"/>
      <c r="CG4" s="1363"/>
      <c r="CH4" s="1363"/>
      <c r="CI4" s="1363"/>
      <c r="CJ4" s="1363"/>
      <c r="CK4" s="1363"/>
      <c r="CL4" s="1363"/>
      <c r="CM4" s="1363"/>
      <c r="CN4" s="1363"/>
      <c r="CO4" s="1363"/>
      <c r="CP4" s="1363"/>
      <c r="CQ4" s="1363"/>
      <c r="CR4" s="1363"/>
      <c r="CS4" s="1363"/>
      <c r="CT4" s="1363"/>
      <c r="CU4" s="1363"/>
      <c r="CV4" s="1363"/>
      <c r="CW4" s="1363"/>
      <c r="CX4" s="1363"/>
      <c r="CY4" s="1363"/>
      <c r="CZ4" s="1363"/>
      <c r="DA4" s="1363"/>
      <c r="DB4" s="1363"/>
      <c r="DC4" s="1363"/>
      <c r="DD4" s="1363"/>
      <c r="DE4" s="1363"/>
      <c r="DF4" s="1363"/>
      <c r="DG4" s="1364"/>
    </row>
    <row r="5" spans="1:111" s="61" customFormat="1" ht="66.75" customHeight="1">
      <c r="A5" s="1395" t="s">
        <v>0</v>
      </c>
      <c r="B5" s="1397" t="s">
        <v>515</v>
      </c>
      <c r="C5" s="1398"/>
      <c r="D5" s="1398"/>
      <c r="E5" s="1399"/>
      <c r="F5" s="1403" t="s">
        <v>29</v>
      </c>
      <c r="G5" s="1404"/>
      <c r="H5" s="1405"/>
      <c r="I5" s="1403" t="s">
        <v>30</v>
      </c>
      <c r="J5" s="1405"/>
      <c r="K5" s="1409" t="s">
        <v>1</v>
      </c>
      <c r="L5" s="1410"/>
      <c r="M5" s="1410"/>
      <c r="N5" s="1410"/>
      <c r="O5" s="1410"/>
      <c r="P5" s="1410"/>
      <c r="Q5" s="1410"/>
      <c r="R5" s="1411"/>
      <c r="S5" s="1409" t="s">
        <v>2</v>
      </c>
      <c r="T5" s="1410"/>
      <c r="U5" s="1410"/>
      <c r="V5" s="1410"/>
      <c r="W5" s="1410"/>
      <c r="X5" s="1410"/>
      <c r="Y5" s="1410"/>
      <c r="Z5" s="1410"/>
      <c r="AA5" s="1410"/>
      <c r="AB5" s="1411"/>
      <c r="AC5" s="1409" t="s">
        <v>3</v>
      </c>
      <c r="AD5" s="1410"/>
      <c r="AE5" s="1410"/>
      <c r="AF5" s="1410"/>
      <c r="AG5" s="1410"/>
      <c r="AH5" s="1410"/>
      <c r="AI5" s="1410"/>
      <c r="AJ5" s="1411"/>
      <c r="AK5" s="1388" t="s">
        <v>31</v>
      </c>
      <c r="AL5" s="1389"/>
      <c r="AM5" s="1389"/>
      <c r="AN5" s="1389"/>
      <c r="AO5" s="1389"/>
      <c r="AP5" s="1389"/>
      <c r="AQ5" s="1389"/>
      <c r="AR5" s="1389"/>
      <c r="AS5" s="1389"/>
      <c r="AT5" s="1389"/>
      <c r="AU5" s="1390"/>
      <c r="AV5" s="1409" t="s">
        <v>4</v>
      </c>
      <c r="AW5" s="1410"/>
      <c r="AX5" s="1410"/>
      <c r="AY5" s="1410"/>
      <c r="AZ5" s="1410"/>
      <c r="BA5" s="1410"/>
      <c r="BB5" s="1411"/>
      <c r="BC5" s="1409" t="s">
        <v>5</v>
      </c>
      <c r="BD5" s="1410"/>
      <c r="BE5" s="1410"/>
      <c r="BF5" s="1410"/>
      <c r="BG5" s="1410"/>
      <c r="BH5" s="1410"/>
      <c r="BI5" s="1410"/>
      <c r="BJ5" s="1410"/>
      <c r="BK5" s="1410"/>
      <c r="BL5" s="1411"/>
      <c r="BM5" s="1409" t="s">
        <v>6</v>
      </c>
      <c r="BN5" s="1410"/>
      <c r="BO5" s="1410"/>
      <c r="BP5" s="1410"/>
      <c r="BQ5" s="1410"/>
      <c r="BR5" s="1410"/>
      <c r="BS5" s="1410"/>
      <c r="BT5" s="1411"/>
      <c r="BU5" s="1385" t="s">
        <v>32</v>
      </c>
      <c r="BV5" s="1386"/>
      <c r="BW5" s="1386"/>
      <c r="BX5" s="1386"/>
      <c r="BY5" s="1386"/>
      <c r="BZ5" s="1386"/>
      <c r="CA5" s="1386"/>
      <c r="CB5" s="1386"/>
      <c r="CC5" s="1386"/>
      <c r="CD5" s="1387"/>
      <c r="CE5" s="1379" t="s">
        <v>518</v>
      </c>
      <c r="CF5" s="1381"/>
      <c r="CG5" s="1381"/>
      <c r="CH5" s="1381"/>
      <c r="CI5" s="1381"/>
      <c r="CJ5" s="1381"/>
      <c r="CK5" s="1381"/>
      <c r="CL5" s="1381"/>
      <c r="CM5" s="1381"/>
      <c r="CN5" s="1381"/>
      <c r="CO5" s="1380"/>
      <c r="CP5" s="1388" t="s">
        <v>7</v>
      </c>
      <c r="CQ5" s="1389"/>
      <c r="CR5" s="1389"/>
      <c r="CS5" s="1389"/>
      <c r="CT5" s="1389"/>
      <c r="CU5" s="1389"/>
      <c r="CV5" s="1390"/>
      <c r="CW5" s="1391" t="s">
        <v>33</v>
      </c>
      <c r="CX5" s="1392"/>
      <c r="CY5" s="1392"/>
      <c r="CZ5" s="1392"/>
      <c r="DA5" s="1368" t="s">
        <v>537</v>
      </c>
    </row>
    <row r="6" spans="1:111" s="61" customFormat="1" ht="66.75" customHeight="1">
      <c r="A6" s="1396"/>
      <c r="B6" s="1400"/>
      <c r="C6" s="1401"/>
      <c r="D6" s="1401"/>
      <c r="E6" s="1402"/>
      <c r="F6" s="1406"/>
      <c r="G6" s="1407"/>
      <c r="H6" s="1408"/>
      <c r="I6" s="1406"/>
      <c r="J6" s="1408"/>
      <c r="K6" s="1379" t="s">
        <v>8</v>
      </c>
      <c r="L6" s="1380"/>
      <c r="M6" s="1373" t="s">
        <v>9</v>
      </c>
      <c r="N6" s="1375"/>
      <c r="O6" s="1382" t="s">
        <v>10</v>
      </c>
      <c r="P6" s="1384"/>
      <c r="Q6" s="1370" t="s">
        <v>11</v>
      </c>
      <c r="R6" s="1372"/>
      <c r="S6" s="1379" t="s">
        <v>8</v>
      </c>
      <c r="T6" s="1380"/>
      <c r="U6" s="1382" t="s">
        <v>9</v>
      </c>
      <c r="V6" s="1383"/>
      <c r="W6" s="1384"/>
      <c r="X6" s="1382" t="s">
        <v>10</v>
      </c>
      <c r="Y6" s="1383"/>
      <c r="Z6" s="1384"/>
      <c r="AA6" s="1382" t="s">
        <v>11</v>
      </c>
      <c r="AB6" s="1384"/>
      <c r="AC6" s="1373" t="s">
        <v>8</v>
      </c>
      <c r="AD6" s="1375"/>
      <c r="AE6" s="1373" t="s">
        <v>9</v>
      </c>
      <c r="AF6" s="1375"/>
      <c r="AG6" s="1370" t="s">
        <v>10</v>
      </c>
      <c r="AH6" s="1372"/>
      <c r="AI6" s="1379" t="s">
        <v>11</v>
      </c>
      <c r="AJ6" s="1380"/>
      <c r="AK6" s="1373" t="s">
        <v>8</v>
      </c>
      <c r="AL6" s="1375"/>
      <c r="AM6" s="1379" t="s">
        <v>9</v>
      </c>
      <c r="AN6" s="1380"/>
      <c r="AO6" s="1379" t="s">
        <v>10</v>
      </c>
      <c r="AP6" s="1381"/>
      <c r="AQ6" s="1381"/>
      <c r="AR6" s="1380"/>
      <c r="AS6" s="1379" t="s">
        <v>11</v>
      </c>
      <c r="AT6" s="1381"/>
      <c r="AU6" s="1380"/>
      <c r="AV6" s="1379" t="s">
        <v>8</v>
      </c>
      <c r="AW6" s="1380"/>
      <c r="AX6" s="1379" t="s">
        <v>9</v>
      </c>
      <c r="AY6" s="1380"/>
      <c r="AZ6" s="122" t="s">
        <v>10</v>
      </c>
      <c r="BA6" s="1379" t="s">
        <v>11</v>
      </c>
      <c r="BB6" s="1380"/>
      <c r="BC6" s="1379" t="s">
        <v>8</v>
      </c>
      <c r="BD6" s="1380"/>
      <c r="BE6" s="1373" t="s">
        <v>9</v>
      </c>
      <c r="BF6" s="1375"/>
      <c r="BG6" s="1373" t="s">
        <v>10</v>
      </c>
      <c r="BH6" s="1375"/>
      <c r="BI6" s="1379" t="s">
        <v>11</v>
      </c>
      <c r="BJ6" s="1381"/>
      <c r="BK6" s="1381"/>
      <c r="BL6" s="1380"/>
      <c r="BM6" s="1373" t="s">
        <v>8</v>
      </c>
      <c r="BN6" s="1374"/>
      <c r="BO6" s="1375"/>
      <c r="BP6" s="1379" t="s">
        <v>9</v>
      </c>
      <c r="BQ6" s="1380"/>
      <c r="BR6" s="1379" t="s">
        <v>10</v>
      </c>
      <c r="BS6" s="1380"/>
      <c r="BT6" s="122" t="s">
        <v>11</v>
      </c>
      <c r="BU6" s="1379" t="s">
        <v>8</v>
      </c>
      <c r="BV6" s="1381"/>
      <c r="BW6" s="1380"/>
      <c r="BX6" s="1379" t="s">
        <v>9</v>
      </c>
      <c r="BY6" s="1380"/>
      <c r="BZ6" s="1379" t="s">
        <v>10</v>
      </c>
      <c r="CA6" s="1380"/>
      <c r="CB6" s="1370" t="s">
        <v>11</v>
      </c>
      <c r="CC6" s="1371"/>
      <c r="CD6" s="1372"/>
      <c r="CE6" s="1379" t="s">
        <v>8</v>
      </c>
      <c r="CF6" s="1381"/>
      <c r="CG6" s="1380"/>
      <c r="CH6" s="1370" t="s">
        <v>9</v>
      </c>
      <c r="CI6" s="1371"/>
      <c r="CJ6" s="1372"/>
      <c r="CK6" s="1379" t="s">
        <v>10</v>
      </c>
      <c r="CL6" s="1381"/>
      <c r="CM6" s="1380"/>
      <c r="CN6" s="1379" t="s">
        <v>421</v>
      </c>
      <c r="CO6" s="1380"/>
      <c r="CP6" s="1370" t="s">
        <v>9</v>
      </c>
      <c r="CQ6" s="1371"/>
      <c r="CR6" s="1372"/>
      <c r="CS6" s="1373" t="s">
        <v>10</v>
      </c>
      <c r="CT6" s="1374"/>
      <c r="CU6" s="1375"/>
      <c r="CV6" s="123" t="s">
        <v>11</v>
      </c>
      <c r="CW6" s="1393"/>
      <c r="CX6" s="1394"/>
      <c r="CY6" s="1394"/>
      <c r="CZ6" s="1394"/>
      <c r="DA6" s="1369"/>
    </row>
    <row r="7" spans="1:111">
      <c r="A7" s="115">
        <v>1</v>
      </c>
      <c r="B7" s="1376" t="s">
        <v>180</v>
      </c>
      <c r="C7" s="1377"/>
      <c r="D7" s="1377"/>
      <c r="E7" s="1378"/>
      <c r="F7" s="1208" t="s">
        <v>179</v>
      </c>
      <c r="G7" s="1209"/>
      <c r="H7" s="1210"/>
      <c r="I7" s="1188">
        <v>1</v>
      </c>
      <c r="J7" s="1211"/>
      <c r="K7" s="1188">
        <v>1</v>
      </c>
      <c r="L7" s="1211"/>
      <c r="M7" s="1205">
        <v>23</v>
      </c>
      <c r="N7" s="1207"/>
      <c r="O7" s="1205">
        <v>23</v>
      </c>
      <c r="P7" s="1207"/>
      <c r="Q7" s="1202">
        <v>46</v>
      </c>
      <c r="R7" s="1204"/>
      <c r="S7" s="1188">
        <v>2</v>
      </c>
      <c r="T7" s="1211"/>
      <c r="U7" s="1205">
        <v>44</v>
      </c>
      <c r="V7" s="1206"/>
      <c r="W7" s="1207"/>
      <c r="X7" s="1205">
        <v>36</v>
      </c>
      <c r="Y7" s="1206"/>
      <c r="Z7" s="1207"/>
      <c r="AA7" s="1205">
        <v>80</v>
      </c>
      <c r="AB7" s="1207"/>
      <c r="AC7" s="1205">
        <v>3</v>
      </c>
      <c r="AD7" s="1207"/>
      <c r="AE7" s="1205">
        <v>72</v>
      </c>
      <c r="AF7" s="1207"/>
      <c r="AG7" s="1202">
        <v>70</v>
      </c>
      <c r="AH7" s="1204"/>
      <c r="AI7" s="1188">
        <v>142</v>
      </c>
      <c r="AJ7" s="1211"/>
      <c r="AK7" s="1205">
        <v>6</v>
      </c>
      <c r="AL7" s="1207"/>
      <c r="AM7" s="1188">
        <v>139</v>
      </c>
      <c r="AN7" s="1211"/>
      <c r="AO7" s="1188">
        <v>129</v>
      </c>
      <c r="AP7" s="1189"/>
      <c r="AQ7" s="1189"/>
      <c r="AR7" s="1211"/>
      <c r="AS7" s="1188">
        <v>268</v>
      </c>
      <c r="AT7" s="1189"/>
      <c r="AU7" s="1211"/>
      <c r="AV7" s="1188">
        <v>0</v>
      </c>
      <c r="AW7" s="1211"/>
      <c r="AX7" s="1188">
        <v>0</v>
      </c>
      <c r="AY7" s="1211"/>
      <c r="AZ7" s="115">
        <v>0</v>
      </c>
      <c r="BA7" s="1188">
        <v>0</v>
      </c>
      <c r="BB7" s="1211"/>
      <c r="BC7" s="1188">
        <v>0</v>
      </c>
      <c r="BD7" s="1211"/>
      <c r="BE7" s="1205">
        <v>0</v>
      </c>
      <c r="BF7" s="1207"/>
      <c r="BG7" s="1205">
        <v>0</v>
      </c>
      <c r="BH7" s="1207"/>
      <c r="BI7" s="1188">
        <v>0</v>
      </c>
      <c r="BJ7" s="1189"/>
      <c r="BK7" s="1189"/>
      <c r="BL7" s="1211"/>
      <c r="BM7" s="1205">
        <v>0</v>
      </c>
      <c r="BN7" s="1206"/>
      <c r="BO7" s="1207"/>
      <c r="BP7" s="1188">
        <v>0</v>
      </c>
      <c r="BQ7" s="1211"/>
      <c r="BR7" s="1188">
        <v>0</v>
      </c>
      <c r="BS7" s="1211"/>
      <c r="BT7" s="115">
        <v>0</v>
      </c>
      <c r="BU7" s="1188">
        <v>0</v>
      </c>
      <c r="BV7" s="1189"/>
      <c r="BW7" s="1211"/>
      <c r="BX7" s="1188">
        <v>0</v>
      </c>
      <c r="BY7" s="1211"/>
      <c r="BZ7" s="1188">
        <v>0</v>
      </c>
      <c r="CA7" s="1211"/>
      <c r="CB7" s="1202">
        <v>0</v>
      </c>
      <c r="CC7" s="1203"/>
      <c r="CD7" s="1204"/>
      <c r="CE7" s="1188">
        <v>6</v>
      </c>
      <c r="CF7" s="1189"/>
      <c r="CG7" s="1211"/>
      <c r="CH7" s="1202">
        <v>139</v>
      </c>
      <c r="CI7" s="1203"/>
      <c r="CJ7" s="1204"/>
      <c r="CK7" s="1188">
        <v>129</v>
      </c>
      <c r="CL7" s="1189"/>
      <c r="CM7" s="1211"/>
      <c r="CN7" s="1188">
        <v>268</v>
      </c>
      <c r="CO7" s="1211"/>
      <c r="CP7" s="1202">
        <v>3</v>
      </c>
      <c r="CQ7" s="1203"/>
      <c r="CR7" s="1204"/>
      <c r="CS7" s="1205">
        <v>2</v>
      </c>
      <c r="CT7" s="1206"/>
      <c r="CU7" s="1207"/>
      <c r="CV7" s="116">
        <v>5</v>
      </c>
      <c r="CW7" s="1208" t="s">
        <v>35</v>
      </c>
      <c r="CX7" s="1209"/>
      <c r="CY7" s="1209"/>
      <c r="CZ7" s="1209"/>
      <c r="DA7" s="117">
        <f>IF(CN7&lt;1001,30000 * 3,50000*3)</f>
        <v>90000</v>
      </c>
    </row>
    <row r="8" spans="1:111">
      <c r="A8" s="115">
        <v>2</v>
      </c>
      <c r="B8" s="1376" t="s">
        <v>181</v>
      </c>
      <c r="C8" s="1377"/>
      <c r="D8" s="1377"/>
      <c r="E8" s="1378"/>
      <c r="F8" s="1208" t="s">
        <v>179</v>
      </c>
      <c r="G8" s="1209"/>
      <c r="H8" s="1210"/>
      <c r="I8" s="1188">
        <v>5</v>
      </c>
      <c r="J8" s="1211"/>
      <c r="K8" s="1188">
        <v>3</v>
      </c>
      <c r="L8" s="1211"/>
      <c r="M8" s="1205">
        <v>133</v>
      </c>
      <c r="N8" s="1207"/>
      <c r="O8" s="1205">
        <v>127</v>
      </c>
      <c r="P8" s="1207"/>
      <c r="Q8" s="1202">
        <v>260</v>
      </c>
      <c r="R8" s="1204"/>
      <c r="S8" s="1188">
        <v>3</v>
      </c>
      <c r="T8" s="1211"/>
      <c r="U8" s="1205">
        <v>95</v>
      </c>
      <c r="V8" s="1206"/>
      <c r="W8" s="1207"/>
      <c r="X8" s="1205">
        <v>91</v>
      </c>
      <c r="Y8" s="1206"/>
      <c r="Z8" s="1207"/>
      <c r="AA8" s="1205">
        <v>186</v>
      </c>
      <c r="AB8" s="1207"/>
      <c r="AC8" s="1205">
        <v>3</v>
      </c>
      <c r="AD8" s="1207"/>
      <c r="AE8" s="1205">
        <v>91</v>
      </c>
      <c r="AF8" s="1207"/>
      <c r="AG8" s="1202">
        <v>104</v>
      </c>
      <c r="AH8" s="1204"/>
      <c r="AI8" s="1188">
        <v>195</v>
      </c>
      <c r="AJ8" s="1211"/>
      <c r="AK8" s="1205">
        <v>9</v>
      </c>
      <c r="AL8" s="1207"/>
      <c r="AM8" s="1188">
        <v>319</v>
      </c>
      <c r="AN8" s="1211"/>
      <c r="AO8" s="1188">
        <v>322</v>
      </c>
      <c r="AP8" s="1189"/>
      <c r="AQ8" s="1189"/>
      <c r="AR8" s="1211"/>
      <c r="AS8" s="1188">
        <v>641</v>
      </c>
      <c r="AT8" s="1189"/>
      <c r="AU8" s="1211"/>
      <c r="AV8" s="1188">
        <v>0</v>
      </c>
      <c r="AW8" s="1211"/>
      <c r="AX8" s="1188">
        <v>0</v>
      </c>
      <c r="AY8" s="1211"/>
      <c r="AZ8" s="115">
        <v>0</v>
      </c>
      <c r="BA8" s="1188">
        <v>0</v>
      </c>
      <c r="BB8" s="1211"/>
      <c r="BC8" s="1188">
        <v>0</v>
      </c>
      <c r="BD8" s="1211"/>
      <c r="BE8" s="1205">
        <v>0</v>
      </c>
      <c r="BF8" s="1207"/>
      <c r="BG8" s="1205">
        <v>0</v>
      </c>
      <c r="BH8" s="1207"/>
      <c r="BI8" s="1188">
        <v>0</v>
      </c>
      <c r="BJ8" s="1189"/>
      <c r="BK8" s="1189"/>
      <c r="BL8" s="1211"/>
      <c r="BM8" s="1205">
        <v>0</v>
      </c>
      <c r="BN8" s="1206"/>
      <c r="BO8" s="1207"/>
      <c r="BP8" s="1188">
        <v>0</v>
      </c>
      <c r="BQ8" s="1211"/>
      <c r="BR8" s="1188">
        <v>0</v>
      </c>
      <c r="BS8" s="1211"/>
      <c r="BT8" s="115">
        <v>0</v>
      </c>
      <c r="BU8" s="1188">
        <v>0</v>
      </c>
      <c r="BV8" s="1189"/>
      <c r="BW8" s="1211"/>
      <c r="BX8" s="1188">
        <v>0</v>
      </c>
      <c r="BY8" s="1211"/>
      <c r="BZ8" s="1188">
        <v>0</v>
      </c>
      <c r="CA8" s="1211"/>
      <c r="CB8" s="1202">
        <v>0</v>
      </c>
      <c r="CC8" s="1203"/>
      <c r="CD8" s="1204"/>
      <c r="CE8" s="1188">
        <v>9</v>
      </c>
      <c r="CF8" s="1189"/>
      <c r="CG8" s="1211"/>
      <c r="CH8" s="1202">
        <v>319</v>
      </c>
      <c r="CI8" s="1203"/>
      <c r="CJ8" s="1204"/>
      <c r="CK8" s="1188">
        <v>322</v>
      </c>
      <c r="CL8" s="1189"/>
      <c r="CM8" s="1211"/>
      <c r="CN8" s="1188">
        <v>641</v>
      </c>
      <c r="CO8" s="1211"/>
      <c r="CP8" s="1202">
        <v>8</v>
      </c>
      <c r="CQ8" s="1203"/>
      <c r="CR8" s="1204"/>
      <c r="CS8" s="1205">
        <v>3</v>
      </c>
      <c r="CT8" s="1206"/>
      <c r="CU8" s="1207"/>
      <c r="CV8" s="116">
        <v>11</v>
      </c>
      <c r="CW8" s="1208" t="s">
        <v>35</v>
      </c>
      <c r="CX8" s="1209"/>
      <c r="CY8" s="1209"/>
      <c r="CZ8" s="1210"/>
      <c r="DA8" s="117">
        <f t="shared" ref="DA8:DA23" si="0">IF(CN8&lt;1001,30000 * 3,50000*3)</f>
        <v>90000</v>
      </c>
    </row>
    <row r="9" spans="1:111">
      <c r="A9" s="115">
        <v>3</v>
      </c>
      <c r="B9" s="1376" t="s">
        <v>182</v>
      </c>
      <c r="C9" s="1377"/>
      <c r="D9" s="1377"/>
      <c r="E9" s="1378"/>
      <c r="F9" s="1208" t="s">
        <v>183</v>
      </c>
      <c r="G9" s="1209"/>
      <c r="H9" s="1210"/>
      <c r="I9" s="1188">
        <v>8</v>
      </c>
      <c r="J9" s="1211"/>
      <c r="K9" s="1188">
        <v>6</v>
      </c>
      <c r="L9" s="1211"/>
      <c r="M9" s="1205">
        <v>158</v>
      </c>
      <c r="N9" s="1207"/>
      <c r="O9" s="1205">
        <v>130</v>
      </c>
      <c r="P9" s="1207"/>
      <c r="Q9" s="1202">
        <v>288</v>
      </c>
      <c r="R9" s="1204"/>
      <c r="S9" s="1188">
        <v>6</v>
      </c>
      <c r="T9" s="1211"/>
      <c r="U9" s="1205">
        <v>163</v>
      </c>
      <c r="V9" s="1206"/>
      <c r="W9" s="1207"/>
      <c r="X9" s="1205">
        <v>122</v>
      </c>
      <c r="Y9" s="1206"/>
      <c r="Z9" s="1207"/>
      <c r="AA9" s="1205">
        <v>285</v>
      </c>
      <c r="AB9" s="1207"/>
      <c r="AC9" s="1205">
        <v>4</v>
      </c>
      <c r="AD9" s="1207"/>
      <c r="AE9" s="1205">
        <v>132</v>
      </c>
      <c r="AF9" s="1207"/>
      <c r="AG9" s="1202">
        <v>107</v>
      </c>
      <c r="AH9" s="1204"/>
      <c r="AI9" s="1188">
        <v>239</v>
      </c>
      <c r="AJ9" s="1211"/>
      <c r="AK9" s="1205">
        <v>16</v>
      </c>
      <c r="AL9" s="1207"/>
      <c r="AM9" s="1188">
        <v>453</v>
      </c>
      <c r="AN9" s="1211"/>
      <c r="AO9" s="1188">
        <v>359</v>
      </c>
      <c r="AP9" s="1189"/>
      <c r="AQ9" s="1189"/>
      <c r="AR9" s="1211"/>
      <c r="AS9" s="1188">
        <v>812</v>
      </c>
      <c r="AT9" s="1189"/>
      <c r="AU9" s="1211"/>
      <c r="AV9" s="1188">
        <v>0</v>
      </c>
      <c r="AW9" s="1211"/>
      <c r="AX9" s="1188">
        <v>0</v>
      </c>
      <c r="AY9" s="1211"/>
      <c r="AZ9" s="115">
        <v>0</v>
      </c>
      <c r="BA9" s="1188">
        <v>0</v>
      </c>
      <c r="BB9" s="1211"/>
      <c r="BC9" s="1188">
        <v>0</v>
      </c>
      <c r="BD9" s="1211"/>
      <c r="BE9" s="1205">
        <v>0</v>
      </c>
      <c r="BF9" s="1207"/>
      <c r="BG9" s="1205">
        <v>0</v>
      </c>
      <c r="BH9" s="1207"/>
      <c r="BI9" s="1188">
        <v>0</v>
      </c>
      <c r="BJ9" s="1189"/>
      <c r="BK9" s="1189"/>
      <c r="BL9" s="1211"/>
      <c r="BM9" s="1205">
        <v>0</v>
      </c>
      <c r="BN9" s="1206"/>
      <c r="BO9" s="1207"/>
      <c r="BP9" s="1188">
        <v>0</v>
      </c>
      <c r="BQ9" s="1211"/>
      <c r="BR9" s="1188">
        <v>0</v>
      </c>
      <c r="BS9" s="1211"/>
      <c r="BT9" s="115">
        <v>0</v>
      </c>
      <c r="BU9" s="1188">
        <v>0</v>
      </c>
      <c r="BV9" s="1189"/>
      <c r="BW9" s="1211"/>
      <c r="BX9" s="1188">
        <v>0</v>
      </c>
      <c r="BY9" s="1211"/>
      <c r="BZ9" s="1188">
        <v>0</v>
      </c>
      <c r="CA9" s="1211"/>
      <c r="CB9" s="1202">
        <v>0</v>
      </c>
      <c r="CC9" s="1203"/>
      <c r="CD9" s="1204"/>
      <c r="CE9" s="1188">
        <v>16</v>
      </c>
      <c r="CF9" s="1189"/>
      <c r="CG9" s="1211"/>
      <c r="CH9" s="1202">
        <v>453</v>
      </c>
      <c r="CI9" s="1203"/>
      <c r="CJ9" s="1204"/>
      <c r="CK9" s="1188">
        <v>359</v>
      </c>
      <c r="CL9" s="1189"/>
      <c r="CM9" s="1211"/>
      <c r="CN9" s="1188">
        <v>812</v>
      </c>
      <c r="CO9" s="1211"/>
      <c r="CP9" s="1202">
        <v>8</v>
      </c>
      <c r="CQ9" s="1203"/>
      <c r="CR9" s="1204"/>
      <c r="CS9" s="1205">
        <v>1</v>
      </c>
      <c r="CT9" s="1206"/>
      <c r="CU9" s="1207"/>
      <c r="CV9" s="116">
        <v>9</v>
      </c>
      <c r="CW9" s="1208" t="s">
        <v>35</v>
      </c>
      <c r="CX9" s="1209"/>
      <c r="CY9" s="1209"/>
      <c r="CZ9" s="1210"/>
      <c r="DA9" s="117">
        <f t="shared" si="0"/>
        <v>90000</v>
      </c>
    </row>
    <row r="10" spans="1:111" ht="28.5" thickBot="1">
      <c r="A10" s="115">
        <v>4</v>
      </c>
      <c r="B10" s="1376" t="s">
        <v>181</v>
      </c>
      <c r="C10" s="1377"/>
      <c r="D10" s="1377"/>
      <c r="E10" s="1378"/>
      <c r="F10" s="1208" t="s">
        <v>179</v>
      </c>
      <c r="G10" s="1209"/>
      <c r="H10" s="1210"/>
      <c r="I10" s="1188">
        <v>4</v>
      </c>
      <c r="J10" s="1211"/>
      <c r="K10" s="1188">
        <v>2</v>
      </c>
      <c r="L10" s="1211"/>
      <c r="M10" s="1205">
        <v>47</v>
      </c>
      <c r="N10" s="1207"/>
      <c r="O10" s="1205">
        <v>32</v>
      </c>
      <c r="P10" s="1207"/>
      <c r="Q10" s="1202">
        <v>79</v>
      </c>
      <c r="R10" s="1204"/>
      <c r="S10" s="1188">
        <v>2</v>
      </c>
      <c r="T10" s="1211"/>
      <c r="U10" s="1205">
        <v>56</v>
      </c>
      <c r="V10" s="1206"/>
      <c r="W10" s="1207"/>
      <c r="X10" s="1205">
        <v>28</v>
      </c>
      <c r="Y10" s="1206"/>
      <c r="Z10" s="1207"/>
      <c r="AA10" s="1205">
        <v>84</v>
      </c>
      <c r="AB10" s="1207"/>
      <c r="AC10" s="1205">
        <v>1</v>
      </c>
      <c r="AD10" s="1207"/>
      <c r="AE10" s="1205">
        <v>31</v>
      </c>
      <c r="AF10" s="1207"/>
      <c r="AG10" s="1202">
        <v>31</v>
      </c>
      <c r="AH10" s="1204"/>
      <c r="AI10" s="1188">
        <v>62</v>
      </c>
      <c r="AJ10" s="1211"/>
      <c r="AK10" s="1205">
        <v>5</v>
      </c>
      <c r="AL10" s="1207"/>
      <c r="AM10" s="1188">
        <v>134</v>
      </c>
      <c r="AN10" s="1211"/>
      <c r="AO10" s="1188">
        <v>91</v>
      </c>
      <c r="AP10" s="1189"/>
      <c r="AQ10" s="1189"/>
      <c r="AR10" s="1211"/>
      <c r="AS10" s="1188">
        <v>225</v>
      </c>
      <c r="AT10" s="1189"/>
      <c r="AU10" s="1211"/>
      <c r="AV10" s="1188">
        <v>0</v>
      </c>
      <c r="AW10" s="1211"/>
      <c r="AX10" s="1188">
        <v>0</v>
      </c>
      <c r="AY10" s="1211"/>
      <c r="AZ10" s="115">
        <v>0</v>
      </c>
      <c r="BA10" s="1188">
        <v>0</v>
      </c>
      <c r="BB10" s="1211"/>
      <c r="BC10" s="1188">
        <v>0</v>
      </c>
      <c r="BD10" s="1211"/>
      <c r="BE10" s="1205">
        <v>0</v>
      </c>
      <c r="BF10" s="1207"/>
      <c r="BG10" s="1205">
        <v>0</v>
      </c>
      <c r="BH10" s="1207"/>
      <c r="BI10" s="1188">
        <v>0</v>
      </c>
      <c r="BJ10" s="1189"/>
      <c r="BK10" s="1189"/>
      <c r="BL10" s="1211"/>
      <c r="BM10" s="1205">
        <v>0</v>
      </c>
      <c r="BN10" s="1206"/>
      <c r="BO10" s="1207"/>
      <c r="BP10" s="1188">
        <v>0</v>
      </c>
      <c r="BQ10" s="1211"/>
      <c r="BR10" s="1188">
        <v>0</v>
      </c>
      <c r="BS10" s="1211"/>
      <c r="BT10" s="115">
        <v>0</v>
      </c>
      <c r="BU10" s="1188">
        <v>0</v>
      </c>
      <c r="BV10" s="1189"/>
      <c r="BW10" s="1211"/>
      <c r="BX10" s="1188">
        <v>0</v>
      </c>
      <c r="BY10" s="1211"/>
      <c r="BZ10" s="1188">
        <v>0</v>
      </c>
      <c r="CA10" s="1211"/>
      <c r="CB10" s="1202">
        <v>0</v>
      </c>
      <c r="CC10" s="1203"/>
      <c r="CD10" s="1204"/>
      <c r="CE10" s="1188">
        <v>5</v>
      </c>
      <c r="CF10" s="1189"/>
      <c r="CG10" s="1211"/>
      <c r="CH10" s="1433">
        <v>134</v>
      </c>
      <c r="CI10" s="1434"/>
      <c r="CJ10" s="1435"/>
      <c r="CK10" s="1188">
        <v>91</v>
      </c>
      <c r="CL10" s="1189"/>
      <c r="CM10" s="1211"/>
      <c r="CN10" s="1188">
        <v>225</v>
      </c>
      <c r="CO10" s="1211"/>
      <c r="CP10" s="1202">
        <v>1</v>
      </c>
      <c r="CQ10" s="1203"/>
      <c r="CR10" s="1204"/>
      <c r="CS10" s="1205">
        <v>2</v>
      </c>
      <c r="CT10" s="1206"/>
      <c r="CU10" s="1207"/>
      <c r="CV10" s="116">
        <v>3</v>
      </c>
      <c r="CW10" s="1208" t="s">
        <v>35</v>
      </c>
      <c r="CX10" s="1209"/>
      <c r="CY10" s="1209"/>
      <c r="CZ10" s="1210"/>
      <c r="DA10" s="117">
        <f t="shared" si="0"/>
        <v>90000</v>
      </c>
    </row>
    <row r="11" spans="1:111" ht="28.5" thickBot="1">
      <c r="A11" s="115">
        <v>5</v>
      </c>
      <c r="B11" s="1376" t="s">
        <v>184</v>
      </c>
      <c r="C11" s="1377"/>
      <c r="D11" s="1377"/>
      <c r="E11" s="1378"/>
      <c r="F11" s="1208" t="s">
        <v>179</v>
      </c>
      <c r="G11" s="1209"/>
      <c r="H11" s="1210"/>
      <c r="I11" s="1188">
        <v>1</v>
      </c>
      <c r="J11" s="1211"/>
      <c r="K11" s="1188">
        <v>4</v>
      </c>
      <c r="L11" s="1211"/>
      <c r="M11" s="1205">
        <v>170</v>
      </c>
      <c r="N11" s="1207"/>
      <c r="O11" s="1205">
        <v>150</v>
      </c>
      <c r="P11" s="1207"/>
      <c r="Q11" s="1202">
        <v>320</v>
      </c>
      <c r="R11" s="1204"/>
      <c r="S11" s="1188">
        <v>4</v>
      </c>
      <c r="T11" s="1211"/>
      <c r="U11" s="1205">
        <v>160</v>
      </c>
      <c r="V11" s="1206"/>
      <c r="W11" s="1207"/>
      <c r="X11" s="1205">
        <v>160</v>
      </c>
      <c r="Y11" s="1206"/>
      <c r="Z11" s="1207"/>
      <c r="AA11" s="1205">
        <v>320</v>
      </c>
      <c r="AB11" s="1207"/>
      <c r="AC11" s="1205">
        <v>4</v>
      </c>
      <c r="AD11" s="1207"/>
      <c r="AE11" s="1205">
        <v>111</v>
      </c>
      <c r="AF11" s="1207"/>
      <c r="AG11" s="1202">
        <v>95</v>
      </c>
      <c r="AH11" s="1204"/>
      <c r="AI11" s="1188">
        <v>206</v>
      </c>
      <c r="AJ11" s="1211"/>
      <c r="AK11" s="1205">
        <v>12</v>
      </c>
      <c r="AL11" s="1207"/>
      <c r="AM11" s="1188">
        <v>441</v>
      </c>
      <c r="AN11" s="1211"/>
      <c r="AO11" s="1188">
        <v>405</v>
      </c>
      <c r="AP11" s="1189"/>
      <c r="AQ11" s="1189"/>
      <c r="AR11" s="1211"/>
      <c r="AS11" s="1188">
        <v>846</v>
      </c>
      <c r="AT11" s="1189"/>
      <c r="AU11" s="1211"/>
      <c r="AV11" s="1188">
        <v>0</v>
      </c>
      <c r="AW11" s="1211"/>
      <c r="AX11" s="1188">
        <v>0</v>
      </c>
      <c r="AY11" s="1211"/>
      <c r="AZ11" s="115">
        <v>0</v>
      </c>
      <c r="BA11" s="1188">
        <v>0</v>
      </c>
      <c r="BB11" s="1211"/>
      <c r="BC11" s="1188">
        <v>0</v>
      </c>
      <c r="BD11" s="1211"/>
      <c r="BE11" s="1205">
        <v>0</v>
      </c>
      <c r="BF11" s="1207"/>
      <c r="BG11" s="1205">
        <v>0</v>
      </c>
      <c r="BH11" s="1207"/>
      <c r="BI11" s="1188">
        <v>0</v>
      </c>
      <c r="BJ11" s="1189"/>
      <c r="BK11" s="1189"/>
      <c r="BL11" s="1211"/>
      <c r="BM11" s="1205">
        <v>0</v>
      </c>
      <c r="BN11" s="1206"/>
      <c r="BO11" s="1207"/>
      <c r="BP11" s="1188">
        <v>0</v>
      </c>
      <c r="BQ11" s="1211"/>
      <c r="BR11" s="1188">
        <v>0</v>
      </c>
      <c r="BS11" s="1211"/>
      <c r="BT11" s="115">
        <v>0</v>
      </c>
      <c r="BU11" s="1188">
        <v>0</v>
      </c>
      <c r="BV11" s="1189"/>
      <c r="BW11" s="1211"/>
      <c r="BX11" s="1188">
        <v>0</v>
      </c>
      <c r="BY11" s="1211"/>
      <c r="BZ11" s="1188">
        <v>0</v>
      </c>
      <c r="CA11" s="1211"/>
      <c r="CB11" s="1202">
        <v>0</v>
      </c>
      <c r="CC11" s="1203"/>
      <c r="CD11" s="1204"/>
      <c r="CE11" s="1188">
        <v>12</v>
      </c>
      <c r="CF11" s="1189"/>
      <c r="CG11" s="1189"/>
      <c r="CH11" s="1430">
        <v>441</v>
      </c>
      <c r="CI11" s="1431"/>
      <c r="CJ11" s="1432"/>
      <c r="CK11" s="1189">
        <v>405</v>
      </c>
      <c r="CL11" s="1189"/>
      <c r="CM11" s="1211"/>
      <c r="CN11" s="1188">
        <v>846</v>
      </c>
      <c r="CO11" s="1211"/>
      <c r="CP11" s="1202">
        <v>6</v>
      </c>
      <c r="CQ11" s="1203"/>
      <c r="CR11" s="1204"/>
      <c r="CS11" s="1205">
        <v>7</v>
      </c>
      <c r="CT11" s="1206"/>
      <c r="CU11" s="1207"/>
      <c r="CV11" s="116">
        <v>13</v>
      </c>
      <c r="CW11" s="1208" t="s">
        <v>35</v>
      </c>
      <c r="CX11" s="1209"/>
      <c r="CY11" s="1209"/>
      <c r="CZ11" s="1210"/>
      <c r="DA11" s="117">
        <f t="shared" si="0"/>
        <v>90000</v>
      </c>
    </row>
    <row r="12" spans="1:111">
      <c r="A12" s="115">
        <v>6</v>
      </c>
      <c r="B12" s="1376" t="s">
        <v>185</v>
      </c>
      <c r="C12" s="1377"/>
      <c r="D12" s="1377"/>
      <c r="E12" s="1378"/>
      <c r="F12" s="1208" t="s">
        <v>183</v>
      </c>
      <c r="G12" s="1209"/>
      <c r="H12" s="1210"/>
      <c r="I12" s="1188">
        <v>7</v>
      </c>
      <c r="J12" s="1211"/>
      <c r="K12" s="1188">
        <v>2</v>
      </c>
      <c r="L12" s="1211"/>
      <c r="M12" s="1205">
        <v>58</v>
      </c>
      <c r="N12" s="1207"/>
      <c r="O12" s="1205">
        <v>38</v>
      </c>
      <c r="P12" s="1207"/>
      <c r="Q12" s="1202">
        <v>96</v>
      </c>
      <c r="R12" s="1204"/>
      <c r="S12" s="1188">
        <v>1</v>
      </c>
      <c r="T12" s="1211"/>
      <c r="U12" s="1205">
        <v>19</v>
      </c>
      <c r="V12" s="1206"/>
      <c r="W12" s="1207"/>
      <c r="X12" s="1205">
        <v>19</v>
      </c>
      <c r="Y12" s="1206"/>
      <c r="Z12" s="1207"/>
      <c r="AA12" s="1205">
        <v>38</v>
      </c>
      <c r="AB12" s="1207"/>
      <c r="AC12" s="1205">
        <v>1</v>
      </c>
      <c r="AD12" s="1207"/>
      <c r="AE12" s="1205">
        <v>19</v>
      </c>
      <c r="AF12" s="1207"/>
      <c r="AG12" s="1202">
        <v>21</v>
      </c>
      <c r="AH12" s="1204"/>
      <c r="AI12" s="1188">
        <v>40</v>
      </c>
      <c r="AJ12" s="1211"/>
      <c r="AK12" s="1205">
        <v>4</v>
      </c>
      <c r="AL12" s="1207"/>
      <c r="AM12" s="1188">
        <v>96</v>
      </c>
      <c r="AN12" s="1211"/>
      <c r="AO12" s="1188">
        <v>78</v>
      </c>
      <c r="AP12" s="1189"/>
      <c r="AQ12" s="1189"/>
      <c r="AR12" s="1211"/>
      <c r="AS12" s="1188">
        <v>174</v>
      </c>
      <c r="AT12" s="1189"/>
      <c r="AU12" s="1211"/>
      <c r="AV12" s="1188">
        <v>1</v>
      </c>
      <c r="AW12" s="1211"/>
      <c r="AX12" s="1188">
        <v>16</v>
      </c>
      <c r="AY12" s="1211"/>
      <c r="AZ12" s="115">
        <v>20</v>
      </c>
      <c r="BA12" s="1188">
        <v>36</v>
      </c>
      <c r="BB12" s="1211"/>
      <c r="BC12" s="1188">
        <v>1</v>
      </c>
      <c r="BD12" s="1211"/>
      <c r="BE12" s="1205">
        <v>15</v>
      </c>
      <c r="BF12" s="1207"/>
      <c r="BG12" s="1205">
        <v>25</v>
      </c>
      <c r="BH12" s="1207"/>
      <c r="BI12" s="1188">
        <v>40</v>
      </c>
      <c r="BJ12" s="1189"/>
      <c r="BK12" s="1189"/>
      <c r="BL12" s="1211"/>
      <c r="BM12" s="1205">
        <v>1</v>
      </c>
      <c r="BN12" s="1206"/>
      <c r="BO12" s="1207"/>
      <c r="BP12" s="1188">
        <v>19</v>
      </c>
      <c r="BQ12" s="1211"/>
      <c r="BR12" s="1188">
        <v>13</v>
      </c>
      <c r="BS12" s="1211"/>
      <c r="BT12" s="115">
        <v>32</v>
      </c>
      <c r="BU12" s="1188">
        <v>3</v>
      </c>
      <c r="BV12" s="1189"/>
      <c r="BW12" s="1211"/>
      <c r="BX12" s="1188">
        <v>50</v>
      </c>
      <c r="BY12" s="1211"/>
      <c r="BZ12" s="1188">
        <v>58</v>
      </c>
      <c r="CA12" s="1211"/>
      <c r="CB12" s="1202">
        <v>108</v>
      </c>
      <c r="CC12" s="1203"/>
      <c r="CD12" s="1204"/>
      <c r="CE12" s="1188">
        <v>7</v>
      </c>
      <c r="CF12" s="1189"/>
      <c r="CG12" s="1211"/>
      <c r="CH12" s="1427">
        <v>146</v>
      </c>
      <c r="CI12" s="1428"/>
      <c r="CJ12" s="1429"/>
      <c r="CK12" s="1188">
        <v>136</v>
      </c>
      <c r="CL12" s="1189"/>
      <c r="CM12" s="1211"/>
      <c r="CN12" s="1188">
        <v>282</v>
      </c>
      <c r="CO12" s="1211"/>
      <c r="CP12" s="1202">
        <v>8</v>
      </c>
      <c r="CQ12" s="1203"/>
      <c r="CR12" s="1204"/>
      <c r="CS12" s="1205">
        <v>3</v>
      </c>
      <c r="CT12" s="1206"/>
      <c r="CU12" s="1207"/>
      <c r="CV12" s="116">
        <v>11</v>
      </c>
      <c r="CW12" s="1208" t="s">
        <v>35</v>
      </c>
      <c r="CX12" s="1209"/>
      <c r="CY12" s="1209"/>
      <c r="CZ12" s="1210"/>
      <c r="DA12" s="117">
        <f t="shared" si="0"/>
        <v>90000</v>
      </c>
    </row>
    <row r="13" spans="1:111">
      <c r="A13" s="115">
        <v>7</v>
      </c>
      <c r="B13" s="1376" t="s">
        <v>186</v>
      </c>
      <c r="C13" s="1377"/>
      <c r="D13" s="1377"/>
      <c r="E13" s="1378"/>
      <c r="F13" s="1208" t="s">
        <v>183</v>
      </c>
      <c r="G13" s="1209"/>
      <c r="H13" s="1210"/>
      <c r="I13" s="1188">
        <v>7</v>
      </c>
      <c r="J13" s="1211"/>
      <c r="K13" s="1188">
        <v>1</v>
      </c>
      <c r="L13" s="1211"/>
      <c r="M13" s="1205">
        <v>17</v>
      </c>
      <c r="N13" s="1207"/>
      <c r="O13" s="1205">
        <v>11</v>
      </c>
      <c r="P13" s="1207"/>
      <c r="Q13" s="1202">
        <v>28</v>
      </c>
      <c r="R13" s="1204"/>
      <c r="S13" s="1188">
        <v>1</v>
      </c>
      <c r="T13" s="1211"/>
      <c r="U13" s="1205">
        <v>14</v>
      </c>
      <c r="V13" s="1206"/>
      <c r="W13" s="1207"/>
      <c r="X13" s="1205">
        <v>10</v>
      </c>
      <c r="Y13" s="1206"/>
      <c r="Z13" s="1207"/>
      <c r="AA13" s="1205">
        <v>24</v>
      </c>
      <c r="AB13" s="1207"/>
      <c r="AC13" s="1205">
        <v>1</v>
      </c>
      <c r="AD13" s="1207"/>
      <c r="AE13" s="1205">
        <v>16</v>
      </c>
      <c r="AF13" s="1207"/>
      <c r="AG13" s="1202">
        <v>8</v>
      </c>
      <c r="AH13" s="1204"/>
      <c r="AI13" s="1188">
        <v>24</v>
      </c>
      <c r="AJ13" s="1211"/>
      <c r="AK13" s="1205">
        <v>3</v>
      </c>
      <c r="AL13" s="1207"/>
      <c r="AM13" s="1188">
        <v>47</v>
      </c>
      <c r="AN13" s="1211"/>
      <c r="AO13" s="1188">
        <v>29</v>
      </c>
      <c r="AP13" s="1189"/>
      <c r="AQ13" s="1189"/>
      <c r="AR13" s="1211"/>
      <c r="AS13" s="1188">
        <v>76</v>
      </c>
      <c r="AT13" s="1189"/>
      <c r="AU13" s="1211"/>
      <c r="AV13" s="1188">
        <v>1</v>
      </c>
      <c r="AW13" s="1211"/>
      <c r="AX13" s="1188">
        <v>13</v>
      </c>
      <c r="AY13" s="1211"/>
      <c r="AZ13" s="115">
        <v>8</v>
      </c>
      <c r="BA13" s="1188">
        <v>21</v>
      </c>
      <c r="BB13" s="1211"/>
      <c r="BC13" s="1188">
        <v>1</v>
      </c>
      <c r="BD13" s="1211"/>
      <c r="BE13" s="1205">
        <v>10</v>
      </c>
      <c r="BF13" s="1207"/>
      <c r="BG13" s="1205">
        <v>5</v>
      </c>
      <c r="BH13" s="1207"/>
      <c r="BI13" s="1188">
        <v>15</v>
      </c>
      <c r="BJ13" s="1189"/>
      <c r="BK13" s="1189"/>
      <c r="BL13" s="1211"/>
      <c r="BM13" s="1205">
        <v>1</v>
      </c>
      <c r="BN13" s="1206"/>
      <c r="BO13" s="1207"/>
      <c r="BP13" s="1188">
        <v>6</v>
      </c>
      <c r="BQ13" s="1211"/>
      <c r="BR13" s="1188">
        <v>6</v>
      </c>
      <c r="BS13" s="1211"/>
      <c r="BT13" s="115">
        <v>12</v>
      </c>
      <c r="BU13" s="1188">
        <v>3</v>
      </c>
      <c r="BV13" s="1189"/>
      <c r="BW13" s="1211"/>
      <c r="BX13" s="1188">
        <v>29</v>
      </c>
      <c r="BY13" s="1211"/>
      <c r="BZ13" s="1188">
        <v>19</v>
      </c>
      <c r="CA13" s="1211"/>
      <c r="CB13" s="1202">
        <v>48</v>
      </c>
      <c r="CC13" s="1203"/>
      <c r="CD13" s="1204"/>
      <c r="CE13" s="1188">
        <v>6</v>
      </c>
      <c r="CF13" s="1189"/>
      <c r="CG13" s="1211"/>
      <c r="CH13" s="1202">
        <v>76</v>
      </c>
      <c r="CI13" s="1203"/>
      <c r="CJ13" s="1204"/>
      <c r="CK13" s="1188">
        <v>48</v>
      </c>
      <c r="CL13" s="1189"/>
      <c r="CM13" s="1211"/>
      <c r="CN13" s="1188">
        <v>124</v>
      </c>
      <c r="CO13" s="1211"/>
      <c r="CP13" s="1202">
        <v>4</v>
      </c>
      <c r="CQ13" s="1203"/>
      <c r="CR13" s="1204"/>
      <c r="CS13" s="1205">
        <v>1</v>
      </c>
      <c r="CT13" s="1206"/>
      <c r="CU13" s="1207"/>
      <c r="CV13" s="116">
        <v>5</v>
      </c>
      <c r="CW13" s="1208" t="s">
        <v>35</v>
      </c>
      <c r="CX13" s="1209"/>
      <c r="CY13" s="1209"/>
      <c r="CZ13" s="1210"/>
      <c r="DA13" s="117">
        <f t="shared" si="0"/>
        <v>90000</v>
      </c>
    </row>
    <row r="14" spans="1:111">
      <c r="A14" s="115">
        <v>8</v>
      </c>
      <c r="B14" s="1376" t="s">
        <v>186</v>
      </c>
      <c r="C14" s="1377"/>
      <c r="D14" s="1377"/>
      <c r="E14" s="1378"/>
      <c r="F14" s="1208" t="s">
        <v>179</v>
      </c>
      <c r="G14" s="1209"/>
      <c r="H14" s="1210"/>
      <c r="I14" s="1188">
        <v>2</v>
      </c>
      <c r="J14" s="1211"/>
      <c r="K14" s="1188">
        <v>1</v>
      </c>
      <c r="L14" s="1211"/>
      <c r="M14" s="1205">
        <v>15</v>
      </c>
      <c r="N14" s="1207"/>
      <c r="O14" s="1205">
        <v>16</v>
      </c>
      <c r="P14" s="1207"/>
      <c r="Q14" s="1202">
        <v>31</v>
      </c>
      <c r="R14" s="1204"/>
      <c r="S14" s="1188">
        <v>1</v>
      </c>
      <c r="T14" s="1211"/>
      <c r="U14" s="1218">
        <v>8</v>
      </c>
      <c r="V14" s="1219"/>
      <c r="W14" s="1220"/>
      <c r="X14" s="1205">
        <v>12</v>
      </c>
      <c r="Y14" s="1206"/>
      <c r="Z14" s="1207"/>
      <c r="AA14" s="1205">
        <v>20</v>
      </c>
      <c r="AB14" s="1207"/>
      <c r="AC14" s="1205">
        <v>1</v>
      </c>
      <c r="AD14" s="1207"/>
      <c r="AE14" s="1205">
        <v>20</v>
      </c>
      <c r="AF14" s="1207"/>
      <c r="AG14" s="1202">
        <v>11</v>
      </c>
      <c r="AH14" s="1204"/>
      <c r="AI14" s="1188">
        <v>31</v>
      </c>
      <c r="AJ14" s="1211"/>
      <c r="AK14" s="1205">
        <v>3</v>
      </c>
      <c r="AL14" s="1207"/>
      <c r="AM14" s="1188">
        <v>43</v>
      </c>
      <c r="AN14" s="1211"/>
      <c r="AO14" s="1188">
        <v>39</v>
      </c>
      <c r="AP14" s="1189"/>
      <c r="AQ14" s="1189"/>
      <c r="AR14" s="1211"/>
      <c r="AS14" s="1188">
        <v>82</v>
      </c>
      <c r="AT14" s="1189"/>
      <c r="AU14" s="1211"/>
      <c r="AV14" s="1188">
        <v>1</v>
      </c>
      <c r="AW14" s="1211"/>
      <c r="AX14" s="1188">
        <v>7</v>
      </c>
      <c r="AY14" s="1211"/>
      <c r="AZ14" s="115">
        <v>9</v>
      </c>
      <c r="BA14" s="1188">
        <v>16</v>
      </c>
      <c r="BB14" s="1211"/>
      <c r="BC14" s="1188">
        <v>1</v>
      </c>
      <c r="BD14" s="1211"/>
      <c r="BE14" s="1205">
        <v>21</v>
      </c>
      <c r="BF14" s="1207"/>
      <c r="BG14" s="1205">
        <v>5</v>
      </c>
      <c r="BH14" s="1207"/>
      <c r="BI14" s="1188">
        <v>26</v>
      </c>
      <c r="BJ14" s="1189"/>
      <c r="BK14" s="1189"/>
      <c r="BL14" s="1211"/>
      <c r="BM14" s="1205">
        <v>1</v>
      </c>
      <c r="BN14" s="1206"/>
      <c r="BO14" s="1207"/>
      <c r="BP14" s="1188">
        <v>10</v>
      </c>
      <c r="BQ14" s="1211"/>
      <c r="BR14" s="1188">
        <v>9</v>
      </c>
      <c r="BS14" s="1211"/>
      <c r="BT14" s="115">
        <v>19</v>
      </c>
      <c r="BU14" s="1188">
        <v>3</v>
      </c>
      <c r="BV14" s="1189"/>
      <c r="BW14" s="1211"/>
      <c r="BX14" s="1188">
        <v>38</v>
      </c>
      <c r="BY14" s="1211"/>
      <c r="BZ14" s="1188">
        <v>23</v>
      </c>
      <c r="CA14" s="1211"/>
      <c r="CB14" s="1202">
        <v>61</v>
      </c>
      <c r="CC14" s="1203"/>
      <c r="CD14" s="1204"/>
      <c r="CE14" s="1188">
        <v>6</v>
      </c>
      <c r="CF14" s="1189"/>
      <c r="CG14" s="1211"/>
      <c r="CH14" s="1202">
        <v>81</v>
      </c>
      <c r="CI14" s="1203"/>
      <c r="CJ14" s="1204"/>
      <c r="CK14" s="1188">
        <v>62</v>
      </c>
      <c r="CL14" s="1189"/>
      <c r="CM14" s="1211"/>
      <c r="CN14" s="1188">
        <v>143</v>
      </c>
      <c r="CO14" s="1211"/>
      <c r="CP14" s="1202">
        <v>4</v>
      </c>
      <c r="CQ14" s="1203"/>
      <c r="CR14" s="1204"/>
      <c r="CS14" s="1205">
        <v>0</v>
      </c>
      <c r="CT14" s="1206"/>
      <c r="CU14" s="1207"/>
      <c r="CV14" s="116">
        <v>4</v>
      </c>
      <c r="CW14" s="1208" t="s">
        <v>35</v>
      </c>
      <c r="CX14" s="1209"/>
      <c r="CY14" s="1209"/>
      <c r="CZ14" s="1210"/>
      <c r="DA14" s="117">
        <f t="shared" si="0"/>
        <v>90000</v>
      </c>
    </row>
    <row r="15" spans="1:111">
      <c r="A15" s="115">
        <v>9</v>
      </c>
      <c r="B15" s="1376" t="s">
        <v>187</v>
      </c>
      <c r="C15" s="1377"/>
      <c r="D15" s="1377"/>
      <c r="E15" s="1378"/>
      <c r="F15" s="1208" t="s">
        <v>179</v>
      </c>
      <c r="G15" s="1209"/>
      <c r="H15" s="1210"/>
      <c r="I15" s="1188">
        <v>2</v>
      </c>
      <c r="J15" s="1211"/>
      <c r="K15" s="1188">
        <v>1</v>
      </c>
      <c r="L15" s="1211"/>
      <c r="M15" s="1205">
        <v>4</v>
      </c>
      <c r="N15" s="1207"/>
      <c r="O15" s="1218">
        <v>4</v>
      </c>
      <c r="P15" s="1220"/>
      <c r="Q15" s="1202">
        <v>8</v>
      </c>
      <c r="R15" s="1204"/>
      <c r="S15" s="1188">
        <v>1</v>
      </c>
      <c r="T15" s="1211"/>
      <c r="U15" s="1218">
        <v>7</v>
      </c>
      <c r="V15" s="1219"/>
      <c r="W15" s="1220"/>
      <c r="X15" s="1205">
        <v>11</v>
      </c>
      <c r="Y15" s="1206"/>
      <c r="Z15" s="1207"/>
      <c r="AA15" s="1205">
        <v>18</v>
      </c>
      <c r="AB15" s="1207"/>
      <c r="AC15" s="1205">
        <v>1</v>
      </c>
      <c r="AD15" s="1207"/>
      <c r="AE15" s="1205">
        <v>8</v>
      </c>
      <c r="AF15" s="1207"/>
      <c r="AG15" s="1202">
        <v>5</v>
      </c>
      <c r="AH15" s="1204"/>
      <c r="AI15" s="1188">
        <v>13</v>
      </c>
      <c r="AJ15" s="1211"/>
      <c r="AK15" s="1205">
        <v>3</v>
      </c>
      <c r="AL15" s="1207"/>
      <c r="AM15" s="1188">
        <v>19</v>
      </c>
      <c r="AN15" s="1211"/>
      <c r="AO15" s="1188">
        <v>20</v>
      </c>
      <c r="AP15" s="1189"/>
      <c r="AQ15" s="1189"/>
      <c r="AR15" s="1211"/>
      <c r="AS15" s="1188">
        <v>39</v>
      </c>
      <c r="AT15" s="1189"/>
      <c r="AU15" s="1211"/>
      <c r="AV15" s="1188">
        <v>1</v>
      </c>
      <c r="AW15" s="1211"/>
      <c r="AX15" s="1188">
        <v>9</v>
      </c>
      <c r="AY15" s="1211"/>
      <c r="AZ15" s="115">
        <v>3</v>
      </c>
      <c r="BA15" s="1188">
        <v>12</v>
      </c>
      <c r="BB15" s="1211"/>
      <c r="BC15" s="1188">
        <v>1</v>
      </c>
      <c r="BD15" s="1211"/>
      <c r="BE15" s="1205">
        <v>13</v>
      </c>
      <c r="BF15" s="1207"/>
      <c r="BG15" s="1205">
        <v>7</v>
      </c>
      <c r="BH15" s="1207"/>
      <c r="BI15" s="1188">
        <v>20</v>
      </c>
      <c r="BJ15" s="1189"/>
      <c r="BK15" s="1189"/>
      <c r="BL15" s="1211"/>
      <c r="BM15" s="1205">
        <v>1</v>
      </c>
      <c r="BN15" s="1206"/>
      <c r="BO15" s="1207"/>
      <c r="BP15" s="1188">
        <v>13</v>
      </c>
      <c r="BQ15" s="1211"/>
      <c r="BR15" s="1188">
        <v>14</v>
      </c>
      <c r="BS15" s="1211"/>
      <c r="BT15" s="115">
        <v>27</v>
      </c>
      <c r="BU15" s="1188">
        <v>3</v>
      </c>
      <c r="BV15" s="1189"/>
      <c r="BW15" s="1211"/>
      <c r="BX15" s="1188">
        <v>35</v>
      </c>
      <c r="BY15" s="1211"/>
      <c r="BZ15" s="1188">
        <v>24</v>
      </c>
      <c r="CA15" s="1211"/>
      <c r="CB15" s="1202">
        <v>59</v>
      </c>
      <c r="CC15" s="1203"/>
      <c r="CD15" s="1204"/>
      <c r="CE15" s="1188">
        <v>6</v>
      </c>
      <c r="CF15" s="1189"/>
      <c r="CG15" s="1211"/>
      <c r="CH15" s="1202">
        <v>54</v>
      </c>
      <c r="CI15" s="1203"/>
      <c r="CJ15" s="1204"/>
      <c r="CK15" s="1188">
        <v>44</v>
      </c>
      <c r="CL15" s="1189"/>
      <c r="CM15" s="1211"/>
      <c r="CN15" s="1188">
        <v>98</v>
      </c>
      <c r="CO15" s="1211"/>
      <c r="CP15" s="1202">
        <v>4</v>
      </c>
      <c r="CQ15" s="1203"/>
      <c r="CR15" s="1204"/>
      <c r="CS15" s="1205">
        <v>0</v>
      </c>
      <c r="CT15" s="1206"/>
      <c r="CU15" s="1207"/>
      <c r="CV15" s="116">
        <v>4</v>
      </c>
      <c r="CW15" s="1208" t="s">
        <v>35</v>
      </c>
      <c r="CX15" s="1209"/>
      <c r="CY15" s="1209"/>
      <c r="CZ15" s="1210"/>
      <c r="DA15" s="117">
        <f t="shared" si="0"/>
        <v>90000</v>
      </c>
    </row>
    <row r="16" spans="1:111">
      <c r="A16" s="115">
        <v>10</v>
      </c>
      <c r="B16" s="1376" t="s">
        <v>188</v>
      </c>
      <c r="C16" s="1377"/>
      <c r="D16" s="1377"/>
      <c r="E16" s="1378"/>
      <c r="F16" s="1208" t="s">
        <v>179</v>
      </c>
      <c r="G16" s="1209"/>
      <c r="H16" s="1210"/>
      <c r="I16" s="1188">
        <v>3</v>
      </c>
      <c r="J16" s="1211"/>
      <c r="K16" s="1188">
        <v>1</v>
      </c>
      <c r="L16" s="1211"/>
      <c r="M16" s="1205">
        <v>29</v>
      </c>
      <c r="N16" s="1207"/>
      <c r="O16" s="1205">
        <v>24</v>
      </c>
      <c r="P16" s="1207"/>
      <c r="Q16" s="1202">
        <v>53</v>
      </c>
      <c r="R16" s="1204"/>
      <c r="S16" s="1188">
        <v>1</v>
      </c>
      <c r="T16" s="1211"/>
      <c r="U16" s="1205">
        <v>22</v>
      </c>
      <c r="V16" s="1206"/>
      <c r="W16" s="1207"/>
      <c r="X16" s="1205">
        <v>19</v>
      </c>
      <c r="Y16" s="1206"/>
      <c r="Z16" s="1207"/>
      <c r="AA16" s="1205">
        <v>41</v>
      </c>
      <c r="AB16" s="1207"/>
      <c r="AC16" s="1205">
        <v>1</v>
      </c>
      <c r="AD16" s="1207"/>
      <c r="AE16" s="1205">
        <v>17</v>
      </c>
      <c r="AF16" s="1207"/>
      <c r="AG16" s="1202">
        <v>13</v>
      </c>
      <c r="AH16" s="1204"/>
      <c r="AI16" s="1188">
        <v>30</v>
      </c>
      <c r="AJ16" s="1211"/>
      <c r="AK16" s="1205">
        <v>3</v>
      </c>
      <c r="AL16" s="1207"/>
      <c r="AM16" s="1188">
        <v>68</v>
      </c>
      <c r="AN16" s="1211"/>
      <c r="AO16" s="1188">
        <v>56</v>
      </c>
      <c r="AP16" s="1189"/>
      <c r="AQ16" s="1189"/>
      <c r="AR16" s="1211"/>
      <c r="AS16" s="1188">
        <v>124</v>
      </c>
      <c r="AT16" s="1189"/>
      <c r="AU16" s="1211"/>
      <c r="AV16" s="1188">
        <v>1</v>
      </c>
      <c r="AW16" s="1211"/>
      <c r="AX16" s="1188">
        <v>14</v>
      </c>
      <c r="AY16" s="1211"/>
      <c r="AZ16" s="115">
        <v>17</v>
      </c>
      <c r="BA16" s="1188">
        <v>31</v>
      </c>
      <c r="BB16" s="1211"/>
      <c r="BC16" s="1188">
        <v>1</v>
      </c>
      <c r="BD16" s="1211"/>
      <c r="BE16" s="1205">
        <v>11</v>
      </c>
      <c r="BF16" s="1207"/>
      <c r="BG16" s="1205">
        <v>14</v>
      </c>
      <c r="BH16" s="1207"/>
      <c r="BI16" s="1188">
        <v>25</v>
      </c>
      <c r="BJ16" s="1189"/>
      <c r="BK16" s="1189"/>
      <c r="BL16" s="1211"/>
      <c r="BM16" s="1205">
        <v>1</v>
      </c>
      <c r="BN16" s="1206"/>
      <c r="BO16" s="1207"/>
      <c r="BP16" s="1188">
        <v>11</v>
      </c>
      <c r="BQ16" s="1211"/>
      <c r="BR16" s="1188">
        <v>20</v>
      </c>
      <c r="BS16" s="1211"/>
      <c r="BT16" s="115">
        <v>31</v>
      </c>
      <c r="BU16" s="1188">
        <v>3</v>
      </c>
      <c r="BV16" s="1189"/>
      <c r="BW16" s="1211"/>
      <c r="BX16" s="1188">
        <v>36</v>
      </c>
      <c r="BY16" s="1211"/>
      <c r="BZ16" s="1188">
        <v>51</v>
      </c>
      <c r="CA16" s="1211"/>
      <c r="CB16" s="1202">
        <v>87</v>
      </c>
      <c r="CC16" s="1203"/>
      <c r="CD16" s="1204"/>
      <c r="CE16" s="1188">
        <v>6</v>
      </c>
      <c r="CF16" s="1189"/>
      <c r="CG16" s="1211"/>
      <c r="CH16" s="1202">
        <v>104</v>
      </c>
      <c r="CI16" s="1203"/>
      <c r="CJ16" s="1204"/>
      <c r="CK16" s="1188">
        <v>107</v>
      </c>
      <c r="CL16" s="1189"/>
      <c r="CM16" s="1211"/>
      <c r="CN16" s="1188">
        <v>211</v>
      </c>
      <c r="CO16" s="1211"/>
      <c r="CP16" s="1202">
        <v>7</v>
      </c>
      <c r="CQ16" s="1203"/>
      <c r="CR16" s="1204"/>
      <c r="CS16" s="1205">
        <v>2</v>
      </c>
      <c r="CT16" s="1206"/>
      <c r="CU16" s="1207"/>
      <c r="CV16" s="116">
        <v>9</v>
      </c>
      <c r="CW16" s="1208" t="s">
        <v>35</v>
      </c>
      <c r="CX16" s="1209"/>
      <c r="CY16" s="1209"/>
      <c r="CZ16" s="1210"/>
      <c r="DA16" s="117">
        <f t="shared" si="0"/>
        <v>90000</v>
      </c>
    </row>
    <row r="17" spans="1:105">
      <c r="A17" s="115">
        <v>11</v>
      </c>
      <c r="B17" s="1376" t="s">
        <v>189</v>
      </c>
      <c r="C17" s="1377"/>
      <c r="D17" s="1377"/>
      <c r="E17" s="1378"/>
      <c r="F17" s="1208" t="s">
        <v>179</v>
      </c>
      <c r="G17" s="1209"/>
      <c r="H17" s="1210"/>
      <c r="I17" s="1188">
        <v>1</v>
      </c>
      <c r="J17" s="1211"/>
      <c r="K17" s="1188">
        <v>3</v>
      </c>
      <c r="L17" s="1211"/>
      <c r="M17" s="1205">
        <v>56</v>
      </c>
      <c r="N17" s="1207"/>
      <c r="O17" s="1205">
        <v>69</v>
      </c>
      <c r="P17" s="1207"/>
      <c r="Q17" s="1202">
        <v>125</v>
      </c>
      <c r="R17" s="1204"/>
      <c r="S17" s="1188">
        <v>3</v>
      </c>
      <c r="T17" s="1211"/>
      <c r="U17" s="1205">
        <v>59</v>
      </c>
      <c r="V17" s="1206"/>
      <c r="W17" s="1207"/>
      <c r="X17" s="1205">
        <v>48</v>
      </c>
      <c r="Y17" s="1206"/>
      <c r="Z17" s="1207"/>
      <c r="AA17" s="1205">
        <v>107</v>
      </c>
      <c r="AB17" s="1207"/>
      <c r="AC17" s="1205">
        <v>2</v>
      </c>
      <c r="AD17" s="1207"/>
      <c r="AE17" s="1205">
        <v>62</v>
      </c>
      <c r="AF17" s="1207"/>
      <c r="AG17" s="1202">
        <v>38</v>
      </c>
      <c r="AH17" s="1204"/>
      <c r="AI17" s="1188">
        <v>100</v>
      </c>
      <c r="AJ17" s="1211"/>
      <c r="AK17" s="1205">
        <v>8</v>
      </c>
      <c r="AL17" s="1207"/>
      <c r="AM17" s="1188">
        <v>177</v>
      </c>
      <c r="AN17" s="1211"/>
      <c r="AO17" s="1188">
        <v>155</v>
      </c>
      <c r="AP17" s="1189"/>
      <c r="AQ17" s="1189"/>
      <c r="AR17" s="1211"/>
      <c r="AS17" s="1188">
        <v>332</v>
      </c>
      <c r="AT17" s="1189"/>
      <c r="AU17" s="1211"/>
      <c r="AV17" s="1188">
        <v>2</v>
      </c>
      <c r="AW17" s="1211"/>
      <c r="AX17" s="1188">
        <v>44</v>
      </c>
      <c r="AY17" s="1211"/>
      <c r="AZ17" s="115">
        <v>41</v>
      </c>
      <c r="BA17" s="1188">
        <v>85</v>
      </c>
      <c r="BB17" s="1211"/>
      <c r="BC17" s="1188">
        <v>2</v>
      </c>
      <c r="BD17" s="1211"/>
      <c r="BE17" s="1205">
        <v>34</v>
      </c>
      <c r="BF17" s="1207"/>
      <c r="BG17" s="1205">
        <v>18</v>
      </c>
      <c r="BH17" s="1207"/>
      <c r="BI17" s="1188">
        <v>52</v>
      </c>
      <c r="BJ17" s="1189"/>
      <c r="BK17" s="1189"/>
      <c r="BL17" s="1211"/>
      <c r="BM17" s="1205">
        <v>2</v>
      </c>
      <c r="BN17" s="1206"/>
      <c r="BO17" s="1207"/>
      <c r="BP17" s="1188">
        <v>42</v>
      </c>
      <c r="BQ17" s="1211"/>
      <c r="BR17" s="1188">
        <v>39</v>
      </c>
      <c r="BS17" s="1211"/>
      <c r="BT17" s="115">
        <v>81</v>
      </c>
      <c r="BU17" s="1188">
        <v>6</v>
      </c>
      <c r="BV17" s="1189"/>
      <c r="BW17" s="1211"/>
      <c r="BX17" s="1188">
        <v>120</v>
      </c>
      <c r="BY17" s="1211"/>
      <c r="BZ17" s="1188">
        <v>98</v>
      </c>
      <c r="CA17" s="1211"/>
      <c r="CB17" s="1202">
        <v>218</v>
      </c>
      <c r="CC17" s="1203"/>
      <c r="CD17" s="1204"/>
      <c r="CE17" s="1188">
        <v>14</v>
      </c>
      <c r="CF17" s="1189"/>
      <c r="CG17" s="1211"/>
      <c r="CH17" s="1202">
        <v>297</v>
      </c>
      <c r="CI17" s="1203"/>
      <c r="CJ17" s="1204"/>
      <c r="CK17" s="1188">
        <v>253</v>
      </c>
      <c r="CL17" s="1189"/>
      <c r="CM17" s="1211"/>
      <c r="CN17" s="1188">
        <v>550</v>
      </c>
      <c r="CO17" s="1211"/>
      <c r="CP17" s="1202">
        <v>13</v>
      </c>
      <c r="CQ17" s="1203"/>
      <c r="CR17" s="1204"/>
      <c r="CS17" s="1205">
        <v>5</v>
      </c>
      <c r="CT17" s="1206"/>
      <c r="CU17" s="1207"/>
      <c r="CV17" s="116">
        <v>18</v>
      </c>
      <c r="CW17" s="1208" t="s">
        <v>35</v>
      </c>
      <c r="CX17" s="1209"/>
      <c r="CY17" s="1209"/>
      <c r="CZ17" s="1210"/>
      <c r="DA17" s="117">
        <f t="shared" si="0"/>
        <v>90000</v>
      </c>
    </row>
    <row r="18" spans="1:105">
      <c r="A18" s="115">
        <v>12</v>
      </c>
      <c r="B18" s="1376" t="s">
        <v>190</v>
      </c>
      <c r="C18" s="1377"/>
      <c r="D18" s="1377"/>
      <c r="E18" s="1378"/>
      <c r="F18" s="1208" t="s">
        <v>179</v>
      </c>
      <c r="G18" s="1209"/>
      <c r="H18" s="1210"/>
      <c r="I18" s="1188">
        <v>5</v>
      </c>
      <c r="J18" s="1211"/>
      <c r="K18" s="1188">
        <v>2</v>
      </c>
      <c r="L18" s="1211"/>
      <c r="M18" s="1205">
        <v>50</v>
      </c>
      <c r="N18" s="1207"/>
      <c r="O18" s="1205">
        <v>43</v>
      </c>
      <c r="P18" s="1207"/>
      <c r="Q18" s="1202">
        <v>93</v>
      </c>
      <c r="R18" s="1204"/>
      <c r="S18" s="1188">
        <v>1</v>
      </c>
      <c r="T18" s="1211"/>
      <c r="U18" s="1205">
        <v>34</v>
      </c>
      <c r="V18" s="1206"/>
      <c r="W18" s="1207"/>
      <c r="X18" s="1205">
        <v>20</v>
      </c>
      <c r="Y18" s="1206"/>
      <c r="Z18" s="1207"/>
      <c r="AA18" s="1205">
        <v>54</v>
      </c>
      <c r="AB18" s="1207"/>
      <c r="AC18" s="1205">
        <v>1</v>
      </c>
      <c r="AD18" s="1207"/>
      <c r="AE18" s="1205">
        <v>29</v>
      </c>
      <c r="AF18" s="1207"/>
      <c r="AG18" s="1202">
        <v>25</v>
      </c>
      <c r="AH18" s="1204"/>
      <c r="AI18" s="1188">
        <v>54</v>
      </c>
      <c r="AJ18" s="1211"/>
      <c r="AK18" s="1205">
        <v>4</v>
      </c>
      <c r="AL18" s="1207"/>
      <c r="AM18" s="1188">
        <v>113</v>
      </c>
      <c r="AN18" s="1211"/>
      <c r="AO18" s="1188">
        <v>88</v>
      </c>
      <c r="AP18" s="1189"/>
      <c r="AQ18" s="1189"/>
      <c r="AR18" s="1211"/>
      <c r="AS18" s="1188">
        <v>201</v>
      </c>
      <c r="AT18" s="1189"/>
      <c r="AU18" s="1211"/>
      <c r="AV18" s="1188">
        <v>1</v>
      </c>
      <c r="AW18" s="1211"/>
      <c r="AX18" s="1188">
        <v>28</v>
      </c>
      <c r="AY18" s="1211"/>
      <c r="AZ18" s="115">
        <v>24</v>
      </c>
      <c r="BA18" s="1188">
        <v>52</v>
      </c>
      <c r="BB18" s="1211"/>
      <c r="BC18" s="1188">
        <v>1</v>
      </c>
      <c r="BD18" s="1211"/>
      <c r="BE18" s="1205">
        <v>18</v>
      </c>
      <c r="BF18" s="1207"/>
      <c r="BG18" s="1205">
        <v>25</v>
      </c>
      <c r="BH18" s="1207"/>
      <c r="BI18" s="1188">
        <v>43</v>
      </c>
      <c r="BJ18" s="1189"/>
      <c r="BK18" s="1189"/>
      <c r="BL18" s="1211"/>
      <c r="BM18" s="1205">
        <v>1</v>
      </c>
      <c r="BN18" s="1206"/>
      <c r="BO18" s="1207"/>
      <c r="BP18" s="1188">
        <v>26</v>
      </c>
      <c r="BQ18" s="1211"/>
      <c r="BR18" s="1188">
        <v>30</v>
      </c>
      <c r="BS18" s="1211"/>
      <c r="BT18" s="115">
        <v>56</v>
      </c>
      <c r="BU18" s="1188">
        <v>3</v>
      </c>
      <c r="BV18" s="1189"/>
      <c r="BW18" s="1211"/>
      <c r="BX18" s="1188">
        <v>72</v>
      </c>
      <c r="BY18" s="1211"/>
      <c r="BZ18" s="1188">
        <v>79</v>
      </c>
      <c r="CA18" s="1211"/>
      <c r="CB18" s="1202">
        <v>151</v>
      </c>
      <c r="CC18" s="1203"/>
      <c r="CD18" s="1204"/>
      <c r="CE18" s="1188">
        <v>7</v>
      </c>
      <c r="CF18" s="1189"/>
      <c r="CG18" s="1211"/>
      <c r="CH18" s="1202">
        <v>185</v>
      </c>
      <c r="CI18" s="1203"/>
      <c r="CJ18" s="1204"/>
      <c r="CK18" s="1188">
        <v>167</v>
      </c>
      <c r="CL18" s="1189"/>
      <c r="CM18" s="1211"/>
      <c r="CN18" s="1188">
        <v>352</v>
      </c>
      <c r="CO18" s="1211"/>
      <c r="CP18" s="1202">
        <v>5</v>
      </c>
      <c r="CQ18" s="1203"/>
      <c r="CR18" s="1204"/>
      <c r="CS18" s="1205">
        <v>3</v>
      </c>
      <c r="CT18" s="1206"/>
      <c r="CU18" s="1207"/>
      <c r="CV18" s="116">
        <v>8</v>
      </c>
      <c r="CW18" s="1208" t="s">
        <v>35</v>
      </c>
      <c r="CX18" s="1209"/>
      <c r="CY18" s="1209"/>
      <c r="CZ18" s="1210"/>
      <c r="DA18" s="117">
        <f t="shared" si="0"/>
        <v>90000</v>
      </c>
    </row>
    <row r="19" spans="1:105">
      <c r="A19" s="115">
        <v>13</v>
      </c>
      <c r="B19" s="1376" t="s">
        <v>191</v>
      </c>
      <c r="C19" s="1377"/>
      <c r="D19" s="1377"/>
      <c r="E19" s="1378"/>
      <c r="F19" s="1208" t="s">
        <v>179</v>
      </c>
      <c r="G19" s="1209"/>
      <c r="H19" s="1210"/>
      <c r="I19" s="1188">
        <v>1</v>
      </c>
      <c r="J19" s="1211"/>
      <c r="K19" s="1188">
        <v>0</v>
      </c>
      <c r="L19" s="1211"/>
      <c r="M19" s="1205">
        <v>0</v>
      </c>
      <c r="N19" s="1207"/>
      <c r="O19" s="1218">
        <v>0</v>
      </c>
      <c r="P19" s="1220"/>
      <c r="Q19" s="1202">
        <v>0</v>
      </c>
      <c r="R19" s="1204"/>
      <c r="S19" s="1188">
        <v>0</v>
      </c>
      <c r="T19" s="1211"/>
      <c r="U19" s="1218">
        <v>0</v>
      </c>
      <c r="V19" s="1219"/>
      <c r="W19" s="1220"/>
      <c r="X19" s="1218">
        <v>0</v>
      </c>
      <c r="Y19" s="1219"/>
      <c r="Z19" s="1220"/>
      <c r="AA19" s="1205">
        <v>0</v>
      </c>
      <c r="AB19" s="1207"/>
      <c r="AC19" s="1205">
        <v>0</v>
      </c>
      <c r="AD19" s="1207"/>
      <c r="AE19" s="1205">
        <v>0</v>
      </c>
      <c r="AF19" s="1207"/>
      <c r="AG19" s="1202">
        <v>0</v>
      </c>
      <c r="AH19" s="1204"/>
      <c r="AI19" s="1188">
        <v>0</v>
      </c>
      <c r="AJ19" s="1211"/>
      <c r="AK19" s="1205">
        <v>0</v>
      </c>
      <c r="AL19" s="1207"/>
      <c r="AM19" s="1188">
        <v>0</v>
      </c>
      <c r="AN19" s="1211"/>
      <c r="AO19" s="1188">
        <v>0</v>
      </c>
      <c r="AP19" s="1189"/>
      <c r="AQ19" s="1189"/>
      <c r="AR19" s="1211"/>
      <c r="AS19" s="1188">
        <v>0</v>
      </c>
      <c r="AT19" s="1189"/>
      <c r="AU19" s="1211"/>
      <c r="AV19" s="1188">
        <v>2</v>
      </c>
      <c r="AW19" s="1211"/>
      <c r="AX19" s="1188">
        <v>62</v>
      </c>
      <c r="AY19" s="1211"/>
      <c r="AZ19" s="115">
        <v>52</v>
      </c>
      <c r="BA19" s="1188">
        <v>114</v>
      </c>
      <c r="BB19" s="1211"/>
      <c r="BC19" s="1188">
        <v>3</v>
      </c>
      <c r="BD19" s="1211"/>
      <c r="BE19" s="1205">
        <v>64</v>
      </c>
      <c r="BF19" s="1207"/>
      <c r="BG19" s="1205">
        <v>43</v>
      </c>
      <c r="BH19" s="1207"/>
      <c r="BI19" s="1188">
        <v>107</v>
      </c>
      <c r="BJ19" s="1189"/>
      <c r="BK19" s="1189"/>
      <c r="BL19" s="1211"/>
      <c r="BM19" s="1205">
        <v>3</v>
      </c>
      <c r="BN19" s="1206"/>
      <c r="BO19" s="1207"/>
      <c r="BP19" s="1188">
        <v>61</v>
      </c>
      <c r="BQ19" s="1211"/>
      <c r="BR19" s="1188">
        <v>49</v>
      </c>
      <c r="BS19" s="1211"/>
      <c r="BT19" s="115">
        <v>110</v>
      </c>
      <c r="BU19" s="1188">
        <v>8</v>
      </c>
      <c r="BV19" s="1189"/>
      <c r="BW19" s="1211"/>
      <c r="BX19" s="1188">
        <v>187</v>
      </c>
      <c r="BY19" s="1211"/>
      <c r="BZ19" s="1188">
        <v>144</v>
      </c>
      <c r="CA19" s="1211"/>
      <c r="CB19" s="1202">
        <v>331</v>
      </c>
      <c r="CC19" s="1203"/>
      <c r="CD19" s="1204"/>
      <c r="CE19" s="1188">
        <v>8</v>
      </c>
      <c r="CF19" s="1189"/>
      <c r="CG19" s="1211"/>
      <c r="CH19" s="1202">
        <v>187</v>
      </c>
      <c r="CI19" s="1203"/>
      <c r="CJ19" s="1204"/>
      <c r="CK19" s="1188">
        <v>144</v>
      </c>
      <c r="CL19" s="1189"/>
      <c r="CM19" s="1211"/>
      <c r="CN19" s="1188">
        <v>331</v>
      </c>
      <c r="CO19" s="1211"/>
      <c r="CP19" s="1202">
        <v>5</v>
      </c>
      <c r="CQ19" s="1203"/>
      <c r="CR19" s="1204"/>
      <c r="CS19" s="1205">
        <v>4</v>
      </c>
      <c r="CT19" s="1206"/>
      <c r="CU19" s="1207"/>
      <c r="CV19" s="116">
        <v>9</v>
      </c>
      <c r="CW19" s="1208" t="s">
        <v>35</v>
      </c>
      <c r="CX19" s="1209"/>
      <c r="CY19" s="1209"/>
      <c r="CZ19" s="1210"/>
      <c r="DA19" s="117">
        <f t="shared" si="0"/>
        <v>90000</v>
      </c>
    </row>
    <row r="20" spans="1:105">
      <c r="A20" s="115">
        <v>14</v>
      </c>
      <c r="B20" s="1376" t="s">
        <v>192</v>
      </c>
      <c r="C20" s="1377"/>
      <c r="D20" s="1377"/>
      <c r="E20" s="1378"/>
      <c r="F20" s="1208" t="s">
        <v>179</v>
      </c>
      <c r="G20" s="1209"/>
      <c r="H20" s="1210"/>
      <c r="I20" s="1188">
        <v>5</v>
      </c>
      <c r="J20" s="1211"/>
      <c r="K20" s="1188">
        <v>0</v>
      </c>
      <c r="L20" s="1211"/>
      <c r="M20" s="1205">
        <v>0</v>
      </c>
      <c r="N20" s="1207"/>
      <c r="O20" s="1218">
        <v>0</v>
      </c>
      <c r="P20" s="1220"/>
      <c r="Q20" s="1202">
        <v>0</v>
      </c>
      <c r="R20" s="1204"/>
      <c r="S20" s="1188">
        <v>0</v>
      </c>
      <c r="T20" s="1211"/>
      <c r="U20" s="1218">
        <v>0</v>
      </c>
      <c r="V20" s="1219"/>
      <c r="W20" s="1220"/>
      <c r="X20" s="1218">
        <v>0</v>
      </c>
      <c r="Y20" s="1219"/>
      <c r="Z20" s="1220"/>
      <c r="AA20" s="1205">
        <v>0</v>
      </c>
      <c r="AB20" s="1207"/>
      <c r="AC20" s="1205">
        <v>0</v>
      </c>
      <c r="AD20" s="1207"/>
      <c r="AE20" s="1205">
        <v>0</v>
      </c>
      <c r="AF20" s="1207"/>
      <c r="AG20" s="1202">
        <v>0</v>
      </c>
      <c r="AH20" s="1204"/>
      <c r="AI20" s="1188">
        <v>0</v>
      </c>
      <c r="AJ20" s="1211"/>
      <c r="AK20" s="1205">
        <v>0</v>
      </c>
      <c r="AL20" s="1207"/>
      <c r="AM20" s="1188">
        <v>0</v>
      </c>
      <c r="AN20" s="1211"/>
      <c r="AO20" s="1188">
        <v>0</v>
      </c>
      <c r="AP20" s="1189"/>
      <c r="AQ20" s="1189"/>
      <c r="AR20" s="1211"/>
      <c r="AS20" s="1188">
        <v>0</v>
      </c>
      <c r="AT20" s="1189"/>
      <c r="AU20" s="1211"/>
      <c r="AV20" s="1188">
        <v>4</v>
      </c>
      <c r="AW20" s="1211"/>
      <c r="AX20" s="1188">
        <v>95</v>
      </c>
      <c r="AY20" s="1211"/>
      <c r="AZ20" s="115">
        <v>96</v>
      </c>
      <c r="BA20" s="1188">
        <v>191</v>
      </c>
      <c r="BB20" s="1211"/>
      <c r="BC20" s="1188">
        <v>3</v>
      </c>
      <c r="BD20" s="1211"/>
      <c r="BE20" s="1205">
        <v>83</v>
      </c>
      <c r="BF20" s="1207"/>
      <c r="BG20" s="1205">
        <v>71</v>
      </c>
      <c r="BH20" s="1207"/>
      <c r="BI20" s="1188">
        <v>154</v>
      </c>
      <c r="BJ20" s="1189"/>
      <c r="BK20" s="1189"/>
      <c r="BL20" s="1211"/>
      <c r="BM20" s="1205">
        <v>3</v>
      </c>
      <c r="BN20" s="1206"/>
      <c r="BO20" s="1207"/>
      <c r="BP20" s="1188">
        <v>81</v>
      </c>
      <c r="BQ20" s="1211"/>
      <c r="BR20" s="1188">
        <v>59</v>
      </c>
      <c r="BS20" s="1211"/>
      <c r="BT20" s="115">
        <v>140</v>
      </c>
      <c r="BU20" s="1188">
        <v>10</v>
      </c>
      <c r="BV20" s="1189"/>
      <c r="BW20" s="1211"/>
      <c r="BX20" s="1188">
        <v>259</v>
      </c>
      <c r="BY20" s="1211"/>
      <c r="BZ20" s="1188">
        <v>226</v>
      </c>
      <c r="CA20" s="1211"/>
      <c r="CB20" s="1202">
        <v>485</v>
      </c>
      <c r="CC20" s="1203"/>
      <c r="CD20" s="1204"/>
      <c r="CE20" s="1188">
        <v>10</v>
      </c>
      <c r="CF20" s="1189"/>
      <c r="CG20" s="1211"/>
      <c r="CH20" s="1202">
        <v>259</v>
      </c>
      <c r="CI20" s="1203"/>
      <c r="CJ20" s="1204"/>
      <c r="CK20" s="1188">
        <v>226</v>
      </c>
      <c r="CL20" s="1189"/>
      <c r="CM20" s="1211"/>
      <c r="CN20" s="1188">
        <v>485</v>
      </c>
      <c r="CO20" s="1211"/>
      <c r="CP20" s="1202">
        <v>7</v>
      </c>
      <c r="CQ20" s="1203"/>
      <c r="CR20" s="1204"/>
      <c r="CS20" s="1205">
        <v>1</v>
      </c>
      <c r="CT20" s="1206"/>
      <c r="CU20" s="1207"/>
      <c r="CV20" s="116">
        <v>8</v>
      </c>
      <c r="CW20" s="1208" t="s">
        <v>35</v>
      </c>
      <c r="CX20" s="1209"/>
      <c r="CY20" s="1209"/>
      <c r="CZ20" s="1210"/>
      <c r="DA20" s="117">
        <f t="shared" si="0"/>
        <v>90000</v>
      </c>
    </row>
    <row r="21" spans="1:105">
      <c r="A21" s="115">
        <v>15</v>
      </c>
      <c r="B21" s="1376" t="s">
        <v>193</v>
      </c>
      <c r="C21" s="1377"/>
      <c r="D21" s="1377"/>
      <c r="E21" s="1378"/>
      <c r="F21" s="1208" t="s">
        <v>183</v>
      </c>
      <c r="G21" s="1209"/>
      <c r="H21" s="1210"/>
      <c r="I21" s="1188">
        <v>8</v>
      </c>
      <c r="J21" s="1211"/>
      <c r="K21" s="1188">
        <v>0</v>
      </c>
      <c r="L21" s="1211"/>
      <c r="M21" s="1205">
        <v>0</v>
      </c>
      <c r="N21" s="1207"/>
      <c r="O21" s="1218">
        <v>0</v>
      </c>
      <c r="P21" s="1220"/>
      <c r="Q21" s="1202">
        <v>0</v>
      </c>
      <c r="R21" s="1204"/>
      <c r="S21" s="1188">
        <v>0</v>
      </c>
      <c r="T21" s="1211"/>
      <c r="U21" s="1218">
        <v>0</v>
      </c>
      <c r="V21" s="1219"/>
      <c r="W21" s="1220"/>
      <c r="X21" s="1218">
        <v>0</v>
      </c>
      <c r="Y21" s="1219"/>
      <c r="Z21" s="1220"/>
      <c r="AA21" s="1205">
        <v>0</v>
      </c>
      <c r="AB21" s="1207"/>
      <c r="AC21" s="1205">
        <v>0</v>
      </c>
      <c r="AD21" s="1207"/>
      <c r="AE21" s="1205">
        <v>0</v>
      </c>
      <c r="AF21" s="1207"/>
      <c r="AG21" s="1202">
        <v>0</v>
      </c>
      <c r="AH21" s="1204"/>
      <c r="AI21" s="1188">
        <v>0</v>
      </c>
      <c r="AJ21" s="1211"/>
      <c r="AK21" s="1205">
        <v>0</v>
      </c>
      <c r="AL21" s="1207"/>
      <c r="AM21" s="1188">
        <v>0</v>
      </c>
      <c r="AN21" s="1211"/>
      <c r="AO21" s="1188">
        <v>0</v>
      </c>
      <c r="AP21" s="1189"/>
      <c r="AQ21" s="1189"/>
      <c r="AR21" s="1211"/>
      <c r="AS21" s="1188">
        <v>0</v>
      </c>
      <c r="AT21" s="1189"/>
      <c r="AU21" s="1211"/>
      <c r="AV21" s="1188">
        <v>3</v>
      </c>
      <c r="AW21" s="1211"/>
      <c r="AX21" s="1188">
        <v>100</v>
      </c>
      <c r="AY21" s="1211"/>
      <c r="AZ21" s="115">
        <v>13</v>
      </c>
      <c r="BA21" s="1188">
        <v>113</v>
      </c>
      <c r="BB21" s="1211"/>
      <c r="BC21" s="1188">
        <v>3</v>
      </c>
      <c r="BD21" s="1211"/>
      <c r="BE21" s="1205">
        <v>84</v>
      </c>
      <c r="BF21" s="1207"/>
      <c r="BG21" s="1205">
        <v>22</v>
      </c>
      <c r="BH21" s="1207"/>
      <c r="BI21" s="1188">
        <v>106</v>
      </c>
      <c r="BJ21" s="1189"/>
      <c r="BK21" s="1189"/>
      <c r="BL21" s="1211"/>
      <c r="BM21" s="1205">
        <v>3</v>
      </c>
      <c r="BN21" s="1206"/>
      <c r="BO21" s="1207"/>
      <c r="BP21" s="1188">
        <v>48</v>
      </c>
      <c r="BQ21" s="1211"/>
      <c r="BR21" s="1188">
        <v>36</v>
      </c>
      <c r="BS21" s="1211"/>
      <c r="BT21" s="115">
        <v>84</v>
      </c>
      <c r="BU21" s="1188">
        <v>9</v>
      </c>
      <c r="BV21" s="1189"/>
      <c r="BW21" s="1211"/>
      <c r="BX21" s="1188">
        <v>232</v>
      </c>
      <c r="BY21" s="1211"/>
      <c r="BZ21" s="1188">
        <v>71</v>
      </c>
      <c r="CA21" s="1211"/>
      <c r="CB21" s="1202">
        <v>303</v>
      </c>
      <c r="CC21" s="1203"/>
      <c r="CD21" s="1204"/>
      <c r="CE21" s="1188">
        <v>9</v>
      </c>
      <c r="CF21" s="1189"/>
      <c r="CG21" s="1211"/>
      <c r="CH21" s="1202">
        <v>232</v>
      </c>
      <c r="CI21" s="1203"/>
      <c r="CJ21" s="1204"/>
      <c r="CK21" s="1188">
        <v>71</v>
      </c>
      <c r="CL21" s="1189"/>
      <c r="CM21" s="1211"/>
      <c r="CN21" s="1188">
        <v>303</v>
      </c>
      <c r="CO21" s="1211"/>
      <c r="CP21" s="1202">
        <v>8</v>
      </c>
      <c r="CQ21" s="1203"/>
      <c r="CR21" s="1204"/>
      <c r="CS21" s="1205">
        <v>5</v>
      </c>
      <c r="CT21" s="1206"/>
      <c r="CU21" s="1207"/>
      <c r="CV21" s="116">
        <v>13</v>
      </c>
      <c r="CW21" s="1208" t="s">
        <v>35</v>
      </c>
      <c r="CX21" s="1209"/>
      <c r="CY21" s="1209"/>
      <c r="CZ21" s="1210"/>
      <c r="DA21" s="117">
        <f t="shared" si="0"/>
        <v>90000</v>
      </c>
    </row>
    <row r="22" spans="1:105" ht="28.5" thickBot="1">
      <c r="A22" s="115">
        <v>16</v>
      </c>
      <c r="B22" s="1424" t="s">
        <v>192</v>
      </c>
      <c r="C22" s="1425"/>
      <c r="D22" s="1425"/>
      <c r="E22" s="1426"/>
      <c r="F22" s="1208" t="s">
        <v>179</v>
      </c>
      <c r="G22" s="1209"/>
      <c r="H22" s="1210"/>
      <c r="I22" s="1188">
        <v>4</v>
      </c>
      <c r="J22" s="1211"/>
      <c r="K22" s="1188">
        <v>0</v>
      </c>
      <c r="L22" s="1211"/>
      <c r="M22" s="1205">
        <v>0</v>
      </c>
      <c r="N22" s="1207"/>
      <c r="O22" s="1218">
        <v>0</v>
      </c>
      <c r="P22" s="1220"/>
      <c r="Q22" s="1202">
        <v>0</v>
      </c>
      <c r="R22" s="1204"/>
      <c r="S22" s="1188">
        <v>0</v>
      </c>
      <c r="T22" s="1211"/>
      <c r="U22" s="1218">
        <v>0</v>
      </c>
      <c r="V22" s="1219"/>
      <c r="W22" s="1220"/>
      <c r="X22" s="1218">
        <v>0</v>
      </c>
      <c r="Y22" s="1219"/>
      <c r="Z22" s="1220"/>
      <c r="AA22" s="1205">
        <v>0</v>
      </c>
      <c r="AB22" s="1207"/>
      <c r="AC22" s="1205">
        <v>0</v>
      </c>
      <c r="AD22" s="1207"/>
      <c r="AE22" s="1205">
        <v>0</v>
      </c>
      <c r="AF22" s="1207"/>
      <c r="AG22" s="1202">
        <v>0</v>
      </c>
      <c r="AH22" s="1204"/>
      <c r="AI22" s="1188">
        <v>0</v>
      </c>
      <c r="AJ22" s="1211"/>
      <c r="AK22" s="1205">
        <v>0</v>
      </c>
      <c r="AL22" s="1207"/>
      <c r="AM22" s="1188">
        <v>0</v>
      </c>
      <c r="AN22" s="1211"/>
      <c r="AO22" s="1188">
        <v>0</v>
      </c>
      <c r="AP22" s="1189"/>
      <c r="AQ22" s="1189"/>
      <c r="AR22" s="1211"/>
      <c r="AS22" s="1188">
        <v>0</v>
      </c>
      <c r="AT22" s="1189"/>
      <c r="AU22" s="1211"/>
      <c r="AV22" s="1188">
        <v>1</v>
      </c>
      <c r="AW22" s="1211"/>
      <c r="AX22" s="1188">
        <v>42</v>
      </c>
      <c r="AY22" s="1211"/>
      <c r="AZ22" s="115">
        <v>21</v>
      </c>
      <c r="BA22" s="1188">
        <v>63</v>
      </c>
      <c r="BB22" s="1211"/>
      <c r="BC22" s="1188">
        <v>1</v>
      </c>
      <c r="BD22" s="1211"/>
      <c r="BE22" s="1205">
        <v>34</v>
      </c>
      <c r="BF22" s="1207"/>
      <c r="BG22" s="1205">
        <v>21</v>
      </c>
      <c r="BH22" s="1207"/>
      <c r="BI22" s="1188">
        <v>55</v>
      </c>
      <c r="BJ22" s="1189"/>
      <c r="BK22" s="1189"/>
      <c r="BL22" s="1211"/>
      <c r="BM22" s="1205">
        <v>1</v>
      </c>
      <c r="BN22" s="1206"/>
      <c r="BO22" s="1207"/>
      <c r="BP22" s="1188">
        <v>46</v>
      </c>
      <c r="BQ22" s="1211"/>
      <c r="BR22" s="1188">
        <v>23</v>
      </c>
      <c r="BS22" s="1211"/>
      <c r="BT22" s="115">
        <v>69</v>
      </c>
      <c r="BU22" s="1188">
        <v>3</v>
      </c>
      <c r="BV22" s="1189"/>
      <c r="BW22" s="1211"/>
      <c r="BX22" s="1188">
        <v>122</v>
      </c>
      <c r="BY22" s="1211"/>
      <c r="BZ22" s="1188">
        <v>65</v>
      </c>
      <c r="CA22" s="1211"/>
      <c r="CB22" s="1202">
        <v>187</v>
      </c>
      <c r="CC22" s="1203"/>
      <c r="CD22" s="1204"/>
      <c r="CE22" s="1188">
        <v>3</v>
      </c>
      <c r="CF22" s="1189"/>
      <c r="CG22" s="1211"/>
      <c r="CH22" s="1202">
        <v>122</v>
      </c>
      <c r="CI22" s="1203"/>
      <c r="CJ22" s="1204"/>
      <c r="CK22" s="1188">
        <v>65</v>
      </c>
      <c r="CL22" s="1189"/>
      <c r="CM22" s="1211"/>
      <c r="CN22" s="1188">
        <v>187</v>
      </c>
      <c r="CO22" s="1211"/>
      <c r="CP22" s="1202">
        <v>2</v>
      </c>
      <c r="CQ22" s="1203"/>
      <c r="CR22" s="1204"/>
      <c r="CS22" s="1205">
        <v>0</v>
      </c>
      <c r="CT22" s="1206"/>
      <c r="CU22" s="1207"/>
      <c r="CV22" s="116">
        <v>2</v>
      </c>
      <c r="CW22" s="1208" t="s">
        <v>35</v>
      </c>
      <c r="CX22" s="1209"/>
      <c r="CY22" s="1209"/>
      <c r="CZ22" s="1210"/>
      <c r="DA22" s="117">
        <f t="shared" si="0"/>
        <v>90000</v>
      </c>
    </row>
    <row r="23" spans="1:105" ht="28.5" thickBot="1">
      <c r="A23" s="217">
        <v>17</v>
      </c>
      <c r="B23" s="1421" t="s">
        <v>194</v>
      </c>
      <c r="C23" s="1422"/>
      <c r="D23" s="1422"/>
      <c r="E23" s="1423"/>
      <c r="F23" s="1209" t="s">
        <v>179</v>
      </c>
      <c r="G23" s="1209"/>
      <c r="H23" s="1210"/>
      <c r="I23" s="1188">
        <v>1</v>
      </c>
      <c r="J23" s="1211"/>
      <c r="K23" s="1188">
        <v>0</v>
      </c>
      <c r="L23" s="1211"/>
      <c r="M23" s="1205">
        <v>0</v>
      </c>
      <c r="N23" s="1207"/>
      <c r="O23" s="1218">
        <v>0</v>
      </c>
      <c r="P23" s="1220"/>
      <c r="Q23" s="1202">
        <v>0</v>
      </c>
      <c r="R23" s="1204"/>
      <c r="S23" s="1188">
        <v>0</v>
      </c>
      <c r="T23" s="1211"/>
      <c r="U23" s="1218">
        <v>0</v>
      </c>
      <c r="V23" s="1219"/>
      <c r="W23" s="1220"/>
      <c r="X23" s="1218">
        <v>0</v>
      </c>
      <c r="Y23" s="1219"/>
      <c r="Z23" s="1220"/>
      <c r="AA23" s="1205">
        <v>0</v>
      </c>
      <c r="AB23" s="1207"/>
      <c r="AC23" s="1205">
        <v>0</v>
      </c>
      <c r="AD23" s="1207"/>
      <c r="AE23" s="1205">
        <v>0</v>
      </c>
      <c r="AF23" s="1207"/>
      <c r="AG23" s="1202">
        <v>0</v>
      </c>
      <c r="AH23" s="1204"/>
      <c r="AI23" s="1188">
        <v>0</v>
      </c>
      <c r="AJ23" s="1211"/>
      <c r="AK23" s="1205">
        <v>0</v>
      </c>
      <c r="AL23" s="1207"/>
      <c r="AM23" s="1188">
        <v>0</v>
      </c>
      <c r="AN23" s="1211"/>
      <c r="AO23" s="1188">
        <v>0</v>
      </c>
      <c r="AP23" s="1189"/>
      <c r="AQ23" s="1189"/>
      <c r="AR23" s="1211"/>
      <c r="AS23" s="1188">
        <v>0</v>
      </c>
      <c r="AT23" s="1189"/>
      <c r="AU23" s="1211"/>
      <c r="AV23" s="1188">
        <v>3</v>
      </c>
      <c r="AW23" s="1211"/>
      <c r="AX23" s="1188">
        <v>142</v>
      </c>
      <c r="AY23" s="1211"/>
      <c r="AZ23" s="115">
        <v>99</v>
      </c>
      <c r="BA23" s="1188">
        <v>241</v>
      </c>
      <c r="BB23" s="1211"/>
      <c r="BC23" s="1188">
        <v>3</v>
      </c>
      <c r="BD23" s="1211"/>
      <c r="BE23" s="1205">
        <v>100</v>
      </c>
      <c r="BF23" s="1207"/>
      <c r="BG23" s="1205">
        <v>81</v>
      </c>
      <c r="BH23" s="1207"/>
      <c r="BI23" s="1188">
        <v>181</v>
      </c>
      <c r="BJ23" s="1189"/>
      <c r="BK23" s="1189"/>
      <c r="BL23" s="1211"/>
      <c r="BM23" s="1205">
        <v>3</v>
      </c>
      <c r="BN23" s="1206"/>
      <c r="BO23" s="1207"/>
      <c r="BP23" s="1188">
        <v>49</v>
      </c>
      <c r="BQ23" s="1211"/>
      <c r="BR23" s="1188">
        <v>42</v>
      </c>
      <c r="BS23" s="1211"/>
      <c r="BT23" s="115">
        <v>91</v>
      </c>
      <c r="BU23" s="1188">
        <v>9</v>
      </c>
      <c r="BV23" s="1189"/>
      <c r="BW23" s="1211"/>
      <c r="BX23" s="1188">
        <v>291</v>
      </c>
      <c r="BY23" s="1211"/>
      <c r="BZ23" s="1188">
        <v>222</v>
      </c>
      <c r="CA23" s="1211"/>
      <c r="CB23" s="1202">
        <v>513</v>
      </c>
      <c r="CC23" s="1203"/>
      <c r="CD23" s="1204"/>
      <c r="CE23" s="1188">
        <v>9</v>
      </c>
      <c r="CF23" s="1189"/>
      <c r="CG23" s="1211"/>
      <c r="CH23" s="1202">
        <v>291</v>
      </c>
      <c r="CI23" s="1203"/>
      <c r="CJ23" s="1204"/>
      <c r="CK23" s="1188">
        <v>222</v>
      </c>
      <c r="CL23" s="1189"/>
      <c r="CM23" s="1211"/>
      <c r="CN23" s="1188">
        <v>513</v>
      </c>
      <c r="CO23" s="1211"/>
      <c r="CP23" s="1202">
        <v>8</v>
      </c>
      <c r="CQ23" s="1203"/>
      <c r="CR23" s="1204"/>
      <c r="CS23" s="1205">
        <v>2</v>
      </c>
      <c r="CT23" s="1206"/>
      <c r="CU23" s="1207"/>
      <c r="CV23" s="116">
        <v>10</v>
      </c>
      <c r="CW23" s="1208" t="s">
        <v>35</v>
      </c>
      <c r="CX23" s="1209"/>
      <c r="CY23" s="1209"/>
      <c r="CZ23" s="1210"/>
      <c r="DA23" s="117">
        <f t="shared" si="0"/>
        <v>90000</v>
      </c>
    </row>
    <row r="24" spans="1:105" hidden="1">
      <c r="A24" s="115">
        <v>18</v>
      </c>
      <c r="B24" s="1418"/>
      <c r="C24" s="1419"/>
      <c r="D24" s="1419"/>
      <c r="E24" s="1420"/>
      <c r="F24" s="1412"/>
      <c r="G24" s="1414"/>
      <c r="H24" s="1413"/>
      <c r="I24" s="1412"/>
      <c r="J24" s="1413"/>
      <c r="K24" s="1412"/>
      <c r="L24" s="1413"/>
      <c r="M24" s="1412"/>
      <c r="N24" s="1413"/>
      <c r="O24" s="1412"/>
      <c r="P24" s="1413"/>
      <c r="Q24" s="1412"/>
      <c r="R24" s="1413"/>
      <c r="S24" s="1412"/>
      <c r="T24" s="1413"/>
      <c r="U24" s="1412"/>
      <c r="V24" s="1414"/>
      <c r="W24" s="1413"/>
      <c r="X24" s="1412"/>
      <c r="Y24" s="1414"/>
      <c r="Z24" s="1413"/>
      <c r="AA24" s="1412"/>
      <c r="AB24" s="1413"/>
      <c r="AC24" s="1412"/>
      <c r="AD24" s="1413"/>
      <c r="AE24" s="1412"/>
      <c r="AF24" s="1413"/>
      <c r="AG24" s="1412"/>
      <c r="AH24" s="1413"/>
      <c r="AI24" s="1412"/>
      <c r="AJ24" s="1413"/>
      <c r="AK24" s="1412"/>
      <c r="AL24" s="1413"/>
      <c r="AM24" s="1412"/>
      <c r="AN24" s="1413"/>
      <c r="AO24" s="1412"/>
      <c r="AP24" s="1414"/>
      <c r="AQ24" s="1414"/>
      <c r="AR24" s="1413"/>
      <c r="AS24" s="1412"/>
      <c r="AT24" s="1414"/>
      <c r="AU24" s="1413"/>
      <c r="AV24" s="1412"/>
      <c r="AW24" s="1413"/>
      <c r="AX24" s="1412"/>
      <c r="AY24" s="1413"/>
      <c r="AZ24" s="118"/>
      <c r="BA24" s="1412"/>
      <c r="BB24" s="1413"/>
      <c r="BC24" s="1412"/>
      <c r="BD24" s="1413"/>
      <c r="BE24" s="1412"/>
      <c r="BF24" s="1413"/>
      <c r="BG24" s="1412"/>
      <c r="BH24" s="1413"/>
      <c r="BI24" s="1412"/>
      <c r="BJ24" s="1414"/>
      <c r="BK24" s="1414"/>
      <c r="BL24" s="1413"/>
      <c r="BM24" s="1412"/>
      <c r="BN24" s="1414"/>
      <c r="BO24" s="1413"/>
      <c r="BP24" s="1412"/>
      <c r="BQ24" s="1413"/>
      <c r="BR24" s="1412"/>
      <c r="BS24" s="1413"/>
      <c r="BT24" s="118"/>
      <c r="BU24" s="1412"/>
      <c r="BV24" s="1414"/>
      <c r="BW24" s="1413"/>
      <c r="BX24" s="1412"/>
      <c r="BY24" s="1413"/>
      <c r="BZ24" s="1412"/>
      <c r="CA24" s="1413"/>
      <c r="CB24" s="1412"/>
      <c r="CC24" s="1414"/>
      <c r="CD24" s="1413"/>
      <c r="CE24" s="1412"/>
      <c r="CF24" s="1414"/>
      <c r="CG24" s="1413"/>
      <c r="CH24" s="1412"/>
      <c r="CI24" s="1414"/>
      <c r="CJ24" s="1413"/>
      <c r="CK24" s="1412"/>
      <c r="CL24" s="1414"/>
      <c r="CM24" s="1413"/>
      <c r="CN24" s="1412"/>
      <c r="CO24" s="1413"/>
      <c r="CP24" s="1412"/>
      <c r="CQ24" s="1414"/>
      <c r="CR24" s="1413"/>
      <c r="CS24" s="1412"/>
      <c r="CT24" s="1414"/>
      <c r="CU24" s="1413"/>
      <c r="CV24" s="118"/>
      <c r="CW24" s="1412"/>
      <c r="CX24" s="1414"/>
      <c r="CY24" s="1414"/>
      <c r="CZ24" s="1413"/>
      <c r="DA24" s="117">
        <f t="shared" ref="DA24:DA54" si="1">CN24*150</f>
        <v>0</v>
      </c>
    </row>
    <row r="25" spans="1:105" hidden="1">
      <c r="A25" s="115">
        <v>19</v>
      </c>
      <c r="B25" s="1412"/>
      <c r="C25" s="1414"/>
      <c r="D25" s="1414"/>
      <c r="E25" s="1413"/>
      <c r="F25" s="1412"/>
      <c r="G25" s="1414"/>
      <c r="H25" s="1413"/>
      <c r="I25" s="1412"/>
      <c r="J25" s="1413"/>
      <c r="K25" s="1412"/>
      <c r="L25" s="1413"/>
      <c r="M25" s="1412"/>
      <c r="N25" s="1413"/>
      <c r="O25" s="1412"/>
      <c r="P25" s="1413"/>
      <c r="Q25" s="1412"/>
      <c r="R25" s="1413"/>
      <c r="S25" s="1412"/>
      <c r="T25" s="1413"/>
      <c r="U25" s="1412"/>
      <c r="V25" s="1414"/>
      <c r="W25" s="1413"/>
      <c r="X25" s="1412"/>
      <c r="Y25" s="1414"/>
      <c r="Z25" s="1413"/>
      <c r="AA25" s="1412"/>
      <c r="AB25" s="1413"/>
      <c r="AC25" s="1412"/>
      <c r="AD25" s="1413"/>
      <c r="AE25" s="1412"/>
      <c r="AF25" s="1413"/>
      <c r="AG25" s="1412"/>
      <c r="AH25" s="1413"/>
      <c r="AI25" s="1412"/>
      <c r="AJ25" s="1413"/>
      <c r="AK25" s="1412"/>
      <c r="AL25" s="1413"/>
      <c r="AM25" s="1412"/>
      <c r="AN25" s="1413"/>
      <c r="AO25" s="1412"/>
      <c r="AP25" s="1414"/>
      <c r="AQ25" s="1414"/>
      <c r="AR25" s="1413"/>
      <c r="AS25" s="1412"/>
      <c r="AT25" s="1414"/>
      <c r="AU25" s="1413"/>
      <c r="AV25" s="1412"/>
      <c r="AW25" s="1413"/>
      <c r="AX25" s="1412"/>
      <c r="AY25" s="1413"/>
      <c r="AZ25" s="118"/>
      <c r="BA25" s="1412"/>
      <c r="BB25" s="1413"/>
      <c r="BC25" s="1412"/>
      <c r="BD25" s="1413"/>
      <c r="BE25" s="1412"/>
      <c r="BF25" s="1413"/>
      <c r="BG25" s="1412"/>
      <c r="BH25" s="1413"/>
      <c r="BI25" s="1412"/>
      <c r="BJ25" s="1414"/>
      <c r="BK25" s="1414"/>
      <c r="BL25" s="1413"/>
      <c r="BM25" s="1412"/>
      <c r="BN25" s="1414"/>
      <c r="BO25" s="1413"/>
      <c r="BP25" s="1412"/>
      <c r="BQ25" s="1413"/>
      <c r="BR25" s="1412"/>
      <c r="BS25" s="1413"/>
      <c r="BT25" s="118"/>
      <c r="BU25" s="1412"/>
      <c r="BV25" s="1414"/>
      <c r="BW25" s="1413"/>
      <c r="BX25" s="1412"/>
      <c r="BY25" s="1413"/>
      <c r="BZ25" s="1412"/>
      <c r="CA25" s="1413"/>
      <c r="CB25" s="1412"/>
      <c r="CC25" s="1414"/>
      <c r="CD25" s="1413"/>
      <c r="CE25" s="1412"/>
      <c r="CF25" s="1414"/>
      <c r="CG25" s="1413"/>
      <c r="CH25" s="1412"/>
      <c r="CI25" s="1414"/>
      <c r="CJ25" s="1413"/>
      <c r="CK25" s="1412"/>
      <c r="CL25" s="1414"/>
      <c r="CM25" s="1413"/>
      <c r="CN25" s="1412"/>
      <c r="CO25" s="1413"/>
      <c r="CP25" s="1412"/>
      <c r="CQ25" s="1414"/>
      <c r="CR25" s="1413"/>
      <c r="CS25" s="1412"/>
      <c r="CT25" s="1414"/>
      <c r="CU25" s="1413"/>
      <c r="CV25" s="118"/>
      <c r="CW25" s="1412"/>
      <c r="CX25" s="1414"/>
      <c r="CY25" s="1414"/>
      <c r="CZ25" s="1413"/>
      <c r="DA25" s="117">
        <f t="shared" si="1"/>
        <v>0</v>
      </c>
    </row>
    <row r="26" spans="1:105" hidden="1">
      <c r="A26" s="115">
        <v>20</v>
      </c>
      <c r="B26" s="1412"/>
      <c r="C26" s="1414"/>
      <c r="D26" s="1414"/>
      <c r="E26" s="1413"/>
      <c r="F26" s="1412"/>
      <c r="G26" s="1414"/>
      <c r="H26" s="1413"/>
      <c r="I26" s="1412"/>
      <c r="J26" s="1413"/>
      <c r="K26" s="1412"/>
      <c r="L26" s="1413"/>
      <c r="M26" s="1412"/>
      <c r="N26" s="1413"/>
      <c r="O26" s="1412"/>
      <c r="P26" s="1413"/>
      <c r="Q26" s="1412"/>
      <c r="R26" s="1413"/>
      <c r="S26" s="1412"/>
      <c r="T26" s="1413"/>
      <c r="U26" s="1412"/>
      <c r="V26" s="1414"/>
      <c r="W26" s="1413"/>
      <c r="X26" s="1412"/>
      <c r="Y26" s="1414"/>
      <c r="Z26" s="1413"/>
      <c r="AA26" s="1412"/>
      <c r="AB26" s="1413"/>
      <c r="AC26" s="1412"/>
      <c r="AD26" s="1413"/>
      <c r="AE26" s="1412"/>
      <c r="AF26" s="1413"/>
      <c r="AG26" s="1412"/>
      <c r="AH26" s="1413"/>
      <c r="AI26" s="1412"/>
      <c r="AJ26" s="1413"/>
      <c r="AK26" s="1412"/>
      <c r="AL26" s="1413"/>
      <c r="AM26" s="1412"/>
      <c r="AN26" s="1413"/>
      <c r="AO26" s="1412"/>
      <c r="AP26" s="1414"/>
      <c r="AQ26" s="1414"/>
      <c r="AR26" s="1413"/>
      <c r="AS26" s="1412"/>
      <c r="AT26" s="1414"/>
      <c r="AU26" s="1413"/>
      <c r="AV26" s="1412"/>
      <c r="AW26" s="1413"/>
      <c r="AX26" s="1412"/>
      <c r="AY26" s="1413"/>
      <c r="AZ26" s="118"/>
      <c r="BA26" s="1412"/>
      <c r="BB26" s="1413"/>
      <c r="BC26" s="1412"/>
      <c r="BD26" s="1413"/>
      <c r="BE26" s="1412"/>
      <c r="BF26" s="1413"/>
      <c r="BG26" s="1412"/>
      <c r="BH26" s="1413"/>
      <c r="BI26" s="1412"/>
      <c r="BJ26" s="1414"/>
      <c r="BK26" s="1414"/>
      <c r="BL26" s="1413"/>
      <c r="BM26" s="1412"/>
      <c r="BN26" s="1414"/>
      <c r="BO26" s="1413"/>
      <c r="BP26" s="1412"/>
      <c r="BQ26" s="1413"/>
      <c r="BR26" s="1412"/>
      <c r="BS26" s="1413"/>
      <c r="BT26" s="118"/>
      <c r="BU26" s="1412"/>
      <c r="BV26" s="1414"/>
      <c r="BW26" s="1413"/>
      <c r="BX26" s="1412"/>
      <c r="BY26" s="1413"/>
      <c r="BZ26" s="1412"/>
      <c r="CA26" s="1413"/>
      <c r="CB26" s="1412"/>
      <c r="CC26" s="1414"/>
      <c r="CD26" s="1413"/>
      <c r="CE26" s="1412"/>
      <c r="CF26" s="1414"/>
      <c r="CG26" s="1413"/>
      <c r="CH26" s="1412"/>
      <c r="CI26" s="1414"/>
      <c r="CJ26" s="1413"/>
      <c r="CK26" s="1412"/>
      <c r="CL26" s="1414"/>
      <c r="CM26" s="1413"/>
      <c r="CN26" s="1412"/>
      <c r="CO26" s="1413"/>
      <c r="CP26" s="1412"/>
      <c r="CQ26" s="1414"/>
      <c r="CR26" s="1413"/>
      <c r="CS26" s="1412"/>
      <c r="CT26" s="1414"/>
      <c r="CU26" s="1413"/>
      <c r="CV26" s="118"/>
      <c r="CW26" s="1412"/>
      <c r="CX26" s="1414"/>
      <c r="CY26" s="1414"/>
      <c r="CZ26" s="1413"/>
      <c r="DA26" s="117">
        <f t="shared" si="1"/>
        <v>0</v>
      </c>
    </row>
    <row r="27" spans="1:105" hidden="1">
      <c r="A27" s="115">
        <v>21</v>
      </c>
      <c r="B27" s="1412"/>
      <c r="C27" s="1414"/>
      <c r="D27" s="1414"/>
      <c r="E27" s="1413"/>
      <c r="F27" s="1412"/>
      <c r="G27" s="1414"/>
      <c r="H27" s="1413"/>
      <c r="I27" s="1412"/>
      <c r="J27" s="1413"/>
      <c r="K27" s="1412"/>
      <c r="L27" s="1413"/>
      <c r="M27" s="1412"/>
      <c r="N27" s="1413"/>
      <c r="O27" s="1412"/>
      <c r="P27" s="1413"/>
      <c r="Q27" s="1412"/>
      <c r="R27" s="1413"/>
      <c r="S27" s="1412"/>
      <c r="T27" s="1413"/>
      <c r="U27" s="1412"/>
      <c r="V27" s="1414"/>
      <c r="W27" s="1413"/>
      <c r="X27" s="1412"/>
      <c r="Y27" s="1414"/>
      <c r="Z27" s="1413"/>
      <c r="AA27" s="1412"/>
      <c r="AB27" s="1413"/>
      <c r="AC27" s="1412"/>
      <c r="AD27" s="1413"/>
      <c r="AE27" s="1412"/>
      <c r="AF27" s="1413"/>
      <c r="AG27" s="1412"/>
      <c r="AH27" s="1413"/>
      <c r="AI27" s="1412"/>
      <c r="AJ27" s="1413"/>
      <c r="AK27" s="1412"/>
      <c r="AL27" s="1413"/>
      <c r="AM27" s="1412"/>
      <c r="AN27" s="1413"/>
      <c r="AO27" s="1412"/>
      <c r="AP27" s="1414"/>
      <c r="AQ27" s="1414"/>
      <c r="AR27" s="1413"/>
      <c r="AS27" s="1412"/>
      <c r="AT27" s="1414"/>
      <c r="AU27" s="1413"/>
      <c r="AV27" s="1412"/>
      <c r="AW27" s="1413"/>
      <c r="AX27" s="1412"/>
      <c r="AY27" s="1413"/>
      <c r="AZ27" s="118"/>
      <c r="BA27" s="1412"/>
      <c r="BB27" s="1413"/>
      <c r="BC27" s="1412"/>
      <c r="BD27" s="1413"/>
      <c r="BE27" s="1412"/>
      <c r="BF27" s="1413"/>
      <c r="BG27" s="1412"/>
      <c r="BH27" s="1413"/>
      <c r="BI27" s="1412"/>
      <c r="BJ27" s="1414"/>
      <c r="BK27" s="1414"/>
      <c r="BL27" s="1413"/>
      <c r="BM27" s="1412"/>
      <c r="BN27" s="1414"/>
      <c r="BO27" s="1413"/>
      <c r="BP27" s="1412"/>
      <c r="BQ27" s="1413"/>
      <c r="BR27" s="1412"/>
      <c r="BS27" s="1413"/>
      <c r="BT27" s="118"/>
      <c r="BU27" s="1412"/>
      <c r="BV27" s="1414"/>
      <c r="BW27" s="1413"/>
      <c r="BX27" s="1412"/>
      <c r="BY27" s="1413"/>
      <c r="BZ27" s="1412"/>
      <c r="CA27" s="1413"/>
      <c r="CB27" s="1412"/>
      <c r="CC27" s="1414"/>
      <c r="CD27" s="1413"/>
      <c r="CE27" s="1412"/>
      <c r="CF27" s="1414"/>
      <c r="CG27" s="1413"/>
      <c r="CH27" s="1412"/>
      <c r="CI27" s="1414"/>
      <c r="CJ27" s="1413"/>
      <c r="CK27" s="1412"/>
      <c r="CL27" s="1414"/>
      <c r="CM27" s="1413"/>
      <c r="CN27" s="1412"/>
      <c r="CO27" s="1413"/>
      <c r="CP27" s="1412"/>
      <c r="CQ27" s="1414"/>
      <c r="CR27" s="1413"/>
      <c r="CS27" s="1412"/>
      <c r="CT27" s="1414"/>
      <c r="CU27" s="1413"/>
      <c r="CV27" s="118"/>
      <c r="CW27" s="1412"/>
      <c r="CX27" s="1414"/>
      <c r="CY27" s="1414"/>
      <c r="CZ27" s="1413"/>
      <c r="DA27" s="117">
        <f t="shared" si="1"/>
        <v>0</v>
      </c>
    </row>
    <row r="28" spans="1:105" hidden="1">
      <c r="A28" s="115">
        <v>22</v>
      </c>
      <c r="B28" s="1412"/>
      <c r="C28" s="1414"/>
      <c r="D28" s="1414"/>
      <c r="E28" s="1413"/>
      <c r="F28" s="1412"/>
      <c r="G28" s="1414"/>
      <c r="H28" s="1413"/>
      <c r="I28" s="1412"/>
      <c r="J28" s="1413"/>
      <c r="K28" s="1412"/>
      <c r="L28" s="1413"/>
      <c r="M28" s="1412"/>
      <c r="N28" s="1413"/>
      <c r="O28" s="1412"/>
      <c r="P28" s="1413"/>
      <c r="Q28" s="1412"/>
      <c r="R28" s="1413"/>
      <c r="S28" s="1412"/>
      <c r="T28" s="1413"/>
      <c r="U28" s="1412"/>
      <c r="V28" s="1414"/>
      <c r="W28" s="1413"/>
      <c r="X28" s="1412"/>
      <c r="Y28" s="1414"/>
      <c r="Z28" s="1413"/>
      <c r="AA28" s="1412"/>
      <c r="AB28" s="1413"/>
      <c r="AC28" s="1412"/>
      <c r="AD28" s="1413"/>
      <c r="AE28" s="1412"/>
      <c r="AF28" s="1413"/>
      <c r="AG28" s="1412"/>
      <c r="AH28" s="1413"/>
      <c r="AI28" s="1412"/>
      <c r="AJ28" s="1413"/>
      <c r="AK28" s="1412"/>
      <c r="AL28" s="1413"/>
      <c r="AM28" s="1412"/>
      <c r="AN28" s="1413"/>
      <c r="AO28" s="1412"/>
      <c r="AP28" s="1414"/>
      <c r="AQ28" s="1414"/>
      <c r="AR28" s="1413"/>
      <c r="AS28" s="1412"/>
      <c r="AT28" s="1414"/>
      <c r="AU28" s="1413"/>
      <c r="AV28" s="1412"/>
      <c r="AW28" s="1413"/>
      <c r="AX28" s="1412"/>
      <c r="AY28" s="1413"/>
      <c r="AZ28" s="118"/>
      <c r="BA28" s="1412"/>
      <c r="BB28" s="1413"/>
      <c r="BC28" s="1412"/>
      <c r="BD28" s="1413"/>
      <c r="BE28" s="1412"/>
      <c r="BF28" s="1413"/>
      <c r="BG28" s="1412"/>
      <c r="BH28" s="1413"/>
      <c r="BI28" s="1412"/>
      <c r="BJ28" s="1414"/>
      <c r="BK28" s="1414"/>
      <c r="BL28" s="1413"/>
      <c r="BM28" s="1412"/>
      <c r="BN28" s="1414"/>
      <c r="BO28" s="1413"/>
      <c r="BP28" s="1412"/>
      <c r="BQ28" s="1413"/>
      <c r="BR28" s="1412"/>
      <c r="BS28" s="1413"/>
      <c r="BT28" s="118"/>
      <c r="BU28" s="1412"/>
      <c r="BV28" s="1414"/>
      <c r="BW28" s="1413"/>
      <c r="BX28" s="1412"/>
      <c r="BY28" s="1413"/>
      <c r="BZ28" s="1412"/>
      <c r="CA28" s="1413"/>
      <c r="CB28" s="1412"/>
      <c r="CC28" s="1414"/>
      <c r="CD28" s="1413"/>
      <c r="CE28" s="1412"/>
      <c r="CF28" s="1414"/>
      <c r="CG28" s="1413"/>
      <c r="CH28" s="1412"/>
      <c r="CI28" s="1414"/>
      <c r="CJ28" s="1413"/>
      <c r="CK28" s="1412"/>
      <c r="CL28" s="1414"/>
      <c r="CM28" s="1413"/>
      <c r="CN28" s="1412"/>
      <c r="CO28" s="1413"/>
      <c r="CP28" s="1412"/>
      <c r="CQ28" s="1414"/>
      <c r="CR28" s="1413"/>
      <c r="CS28" s="1412"/>
      <c r="CT28" s="1414"/>
      <c r="CU28" s="1413"/>
      <c r="CV28" s="118"/>
      <c r="CW28" s="1412"/>
      <c r="CX28" s="1414"/>
      <c r="CY28" s="1414"/>
      <c r="CZ28" s="1413"/>
      <c r="DA28" s="117">
        <f t="shared" si="1"/>
        <v>0</v>
      </c>
    </row>
    <row r="29" spans="1:105" hidden="1">
      <c r="A29" s="115">
        <v>23</v>
      </c>
      <c r="B29" s="1412"/>
      <c r="C29" s="1414"/>
      <c r="D29" s="1414"/>
      <c r="E29" s="1413"/>
      <c r="F29" s="1412"/>
      <c r="G29" s="1414"/>
      <c r="H29" s="1413"/>
      <c r="I29" s="1412"/>
      <c r="J29" s="1413"/>
      <c r="K29" s="1412"/>
      <c r="L29" s="1413"/>
      <c r="M29" s="1412"/>
      <c r="N29" s="1413"/>
      <c r="O29" s="1412"/>
      <c r="P29" s="1413"/>
      <c r="Q29" s="1412"/>
      <c r="R29" s="1413"/>
      <c r="S29" s="1412"/>
      <c r="T29" s="1413"/>
      <c r="U29" s="1412"/>
      <c r="V29" s="1414"/>
      <c r="W29" s="1413"/>
      <c r="X29" s="1412"/>
      <c r="Y29" s="1414"/>
      <c r="Z29" s="1413"/>
      <c r="AA29" s="1412"/>
      <c r="AB29" s="1413"/>
      <c r="AC29" s="1412"/>
      <c r="AD29" s="1413"/>
      <c r="AE29" s="1412"/>
      <c r="AF29" s="1413"/>
      <c r="AG29" s="1412"/>
      <c r="AH29" s="1413"/>
      <c r="AI29" s="1412"/>
      <c r="AJ29" s="1413"/>
      <c r="AK29" s="1412"/>
      <c r="AL29" s="1413"/>
      <c r="AM29" s="1412"/>
      <c r="AN29" s="1413"/>
      <c r="AO29" s="1412"/>
      <c r="AP29" s="1414"/>
      <c r="AQ29" s="1414"/>
      <c r="AR29" s="1413"/>
      <c r="AS29" s="1412"/>
      <c r="AT29" s="1414"/>
      <c r="AU29" s="1413"/>
      <c r="AV29" s="1412"/>
      <c r="AW29" s="1413"/>
      <c r="AX29" s="1412"/>
      <c r="AY29" s="1413"/>
      <c r="AZ29" s="118"/>
      <c r="BA29" s="1412"/>
      <c r="BB29" s="1413"/>
      <c r="BC29" s="1412"/>
      <c r="BD29" s="1413"/>
      <c r="BE29" s="1412"/>
      <c r="BF29" s="1413"/>
      <c r="BG29" s="1412"/>
      <c r="BH29" s="1413"/>
      <c r="BI29" s="1412"/>
      <c r="BJ29" s="1414"/>
      <c r="BK29" s="1414"/>
      <c r="BL29" s="1413"/>
      <c r="BM29" s="1412"/>
      <c r="BN29" s="1414"/>
      <c r="BO29" s="1413"/>
      <c r="BP29" s="1412"/>
      <c r="BQ29" s="1413"/>
      <c r="BR29" s="1412"/>
      <c r="BS29" s="1413"/>
      <c r="BT29" s="118"/>
      <c r="BU29" s="1412"/>
      <c r="BV29" s="1414"/>
      <c r="BW29" s="1413"/>
      <c r="BX29" s="1412"/>
      <c r="BY29" s="1413"/>
      <c r="BZ29" s="1412"/>
      <c r="CA29" s="1413"/>
      <c r="CB29" s="1412"/>
      <c r="CC29" s="1414"/>
      <c r="CD29" s="1413"/>
      <c r="CE29" s="1412"/>
      <c r="CF29" s="1414"/>
      <c r="CG29" s="1413"/>
      <c r="CH29" s="1412"/>
      <c r="CI29" s="1414"/>
      <c r="CJ29" s="1413"/>
      <c r="CK29" s="1412"/>
      <c r="CL29" s="1414"/>
      <c r="CM29" s="1413"/>
      <c r="CN29" s="1412"/>
      <c r="CO29" s="1413"/>
      <c r="CP29" s="1412"/>
      <c r="CQ29" s="1414"/>
      <c r="CR29" s="1413"/>
      <c r="CS29" s="1412"/>
      <c r="CT29" s="1414"/>
      <c r="CU29" s="1413"/>
      <c r="CV29" s="118"/>
      <c r="CW29" s="1412"/>
      <c r="CX29" s="1414"/>
      <c r="CY29" s="1414"/>
      <c r="CZ29" s="1413"/>
      <c r="DA29" s="117">
        <f t="shared" si="1"/>
        <v>0</v>
      </c>
    </row>
    <row r="30" spans="1:105" hidden="1">
      <c r="A30" s="115">
        <v>24</v>
      </c>
      <c r="B30" s="1412"/>
      <c r="C30" s="1414"/>
      <c r="D30" s="1414"/>
      <c r="E30" s="1413"/>
      <c r="F30" s="1412"/>
      <c r="G30" s="1414"/>
      <c r="H30" s="1413"/>
      <c r="I30" s="1412"/>
      <c r="J30" s="1413"/>
      <c r="K30" s="1412"/>
      <c r="L30" s="1413"/>
      <c r="M30" s="1412"/>
      <c r="N30" s="1413"/>
      <c r="O30" s="1412"/>
      <c r="P30" s="1413"/>
      <c r="Q30" s="1412"/>
      <c r="R30" s="1413"/>
      <c r="S30" s="1412"/>
      <c r="T30" s="1413"/>
      <c r="U30" s="1412"/>
      <c r="V30" s="1414"/>
      <c r="W30" s="1413"/>
      <c r="X30" s="1412"/>
      <c r="Y30" s="1414"/>
      <c r="Z30" s="1413"/>
      <c r="AA30" s="1412"/>
      <c r="AB30" s="1413"/>
      <c r="AC30" s="1412"/>
      <c r="AD30" s="1413"/>
      <c r="AE30" s="1412"/>
      <c r="AF30" s="1413"/>
      <c r="AG30" s="1412"/>
      <c r="AH30" s="1413"/>
      <c r="AI30" s="1412"/>
      <c r="AJ30" s="1413"/>
      <c r="AK30" s="1412"/>
      <c r="AL30" s="1413"/>
      <c r="AM30" s="1412"/>
      <c r="AN30" s="1413"/>
      <c r="AO30" s="1412"/>
      <c r="AP30" s="1414"/>
      <c r="AQ30" s="1414"/>
      <c r="AR30" s="1413"/>
      <c r="AS30" s="1412"/>
      <c r="AT30" s="1414"/>
      <c r="AU30" s="1413"/>
      <c r="AV30" s="1412"/>
      <c r="AW30" s="1413"/>
      <c r="AX30" s="1412"/>
      <c r="AY30" s="1413"/>
      <c r="AZ30" s="118"/>
      <c r="BA30" s="1412"/>
      <c r="BB30" s="1413"/>
      <c r="BC30" s="1412"/>
      <c r="BD30" s="1413"/>
      <c r="BE30" s="1412"/>
      <c r="BF30" s="1413"/>
      <c r="BG30" s="1412"/>
      <c r="BH30" s="1413"/>
      <c r="BI30" s="1412"/>
      <c r="BJ30" s="1414"/>
      <c r="BK30" s="1414"/>
      <c r="BL30" s="1413"/>
      <c r="BM30" s="1412"/>
      <c r="BN30" s="1414"/>
      <c r="BO30" s="1413"/>
      <c r="BP30" s="1412"/>
      <c r="BQ30" s="1413"/>
      <c r="BR30" s="1412"/>
      <c r="BS30" s="1413"/>
      <c r="BT30" s="118"/>
      <c r="BU30" s="1412"/>
      <c r="BV30" s="1414"/>
      <c r="BW30" s="1413"/>
      <c r="BX30" s="1412"/>
      <c r="BY30" s="1413"/>
      <c r="BZ30" s="1412"/>
      <c r="CA30" s="1413"/>
      <c r="CB30" s="1412"/>
      <c r="CC30" s="1414"/>
      <c r="CD30" s="1413"/>
      <c r="CE30" s="1412"/>
      <c r="CF30" s="1414"/>
      <c r="CG30" s="1413"/>
      <c r="CH30" s="1412"/>
      <c r="CI30" s="1414"/>
      <c r="CJ30" s="1413"/>
      <c r="CK30" s="1412"/>
      <c r="CL30" s="1414"/>
      <c r="CM30" s="1413"/>
      <c r="CN30" s="1412"/>
      <c r="CO30" s="1413"/>
      <c r="CP30" s="1412"/>
      <c r="CQ30" s="1414"/>
      <c r="CR30" s="1413"/>
      <c r="CS30" s="1412"/>
      <c r="CT30" s="1414"/>
      <c r="CU30" s="1413"/>
      <c r="CV30" s="118"/>
      <c r="CW30" s="1412"/>
      <c r="CX30" s="1414"/>
      <c r="CY30" s="1414"/>
      <c r="CZ30" s="1413"/>
      <c r="DA30" s="117">
        <f t="shared" si="1"/>
        <v>0</v>
      </c>
    </row>
    <row r="31" spans="1:105" hidden="1">
      <c r="A31" s="115">
        <v>25</v>
      </c>
      <c r="B31" s="1412"/>
      <c r="C31" s="1414"/>
      <c r="D31" s="1414"/>
      <c r="E31" s="1413"/>
      <c r="F31" s="1412"/>
      <c r="G31" s="1414"/>
      <c r="H31" s="1413"/>
      <c r="I31" s="1412"/>
      <c r="J31" s="1413"/>
      <c r="K31" s="1412"/>
      <c r="L31" s="1413"/>
      <c r="M31" s="1412"/>
      <c r="N31" s="1413"/>
      <c r="O31" s="1412"/>
      <c r="P31" s="1413"/>
      <c r="Q31" s="1412"/>
      <c r="R31" s="1413"/>
      <c r="S31" s="1412"/>
      <c r="T31" s="1413"/>
      <c r="U31" s="1412"/>
      <c r="V31" s="1414"/>
      <c r="W31" s="1413"/>
      <c r="X31" s="1412"/>
      <c r="Y31" s="1414"/>
      <c r="Z31" s="1413"/>
      <c r="AA31" s="1412"/>
      <c r="AB31" s="1413"/>
      <c r="AC31" s="1412"/>
      <c r="AD31" s="1413"/>
      <c r="AE31" s="1412"/>
      <c r="AF31" s="1413"/>
      <c r="AG31" s="1412"/>
      <c r="AH31" s="1413"/>
      <c r="AI31" s="1412"/>
      <c r="AJ31" s="1413"/>
      <c r="AK31" s="1412"/>
      <c r="AL31" s="1413"/>
      <c r="AM31" s="1412"/>
      <c r="AN31" s="1413"/>
      <c r="AO31" s="1412"/>
      <c r="AP31" s="1414"/>
      <c r="AQ31" s="1414"/>
      <c r="AR31" s="1413"/>
      <c r="AS31" s="1412"/>
      <c r="AT31" s="1414"/>
      <c r="AU31" s="1413"/>
      <c r="AV31" s="1412"/>
      <c r="AW31" s="1413"/>
      <c r="AX31" s="1412"/>
      <c r="AY31" s="1413"/>
      <c r="AZ31" s="118"/>
      <c r="BA31" s="1412"/>
      <c r="BB31" s="1413"/>
      <c r="BC31" s="1412"/>
      <c r="BD31" s="1413"/>
      <c r="BE31" s="1412"/>
      <c r="BF31" s="1413"/>
      <c r="BG31" s="1412"/>
      <c r="BH31" s="1413"/>
      <c r="BI31" s="1412"/>
      <c r="BJ31" s="1414"/>
      <c r="BK31" s="1414"/>
      <c r="BL31" s="1413"/>
      <c r="BM31" s="1412"/>
      <c r="BN31" s="1414"/>
      <c r="BO31" s="1413"/>
      <c r="BP31" s="1412"/>
      <c r="BQ31" s="1413"/>
      <c r="BR31" s="1412"/>
      <c r="BS31" s="1413"/>
      <c r="BT31" s="118"/>
      <c r="BU31" s="1412"/>
      <c r="BV31" s="1414"/>
      <c r="BW31" s="1413"/>
      <c r="BX31" s="1412"/>
      <c r="BY31" s="1413"/>
      <c r="BZ31" s="1412"/>
      <c r="CA31" s="1413"/>
      <c r="CB31" s="1412"/>
      <c r="CC31" s="1414"/>
      <c r="CD31" s="1413"/>
      <c r="CE31" s="1412"/>
      <c r="CF31" s="1414"/>
      <c r="CG31" s="1413"/>
      <c r="CH31" s="1412"/>
      <c r="CI31" s="1414"/>
      <c r="CJ31" s="1413"/>
      <c r="CK31" s="1412"/>
      <c r="CL31" s="1414"/>
      <c r="CM31" s="1413"/>
      <c r="CN31" s="1412"/>
      <c r="CO31" s="1413"/>
      <c r="CP31" s="1412"/>
      <c r="CQ31" s="1414"/>
      <c r="CR31" s="1413"/>
      <c r="CS31" s="1412"/>
      <c r="CT31" s="1414"/>
      <c r="CU31" s="1413"/>
      <c r="CV31" s="118"/>
      <c r="CW31" s="1412"/>
      <c r="CX31" s="1414"/>
      <c r="CY31" s="1414"/>
      <c r="CZ31" s="1413"/>
      <c r="DA31" s="117">
        <f t="shared" si="1"/>
        <v>0</v>
      </c>
    </row>
    <row r="32" spans="1:105" hidden="1">
      <c r="A32" s="115">
        <v>26</v>
      </c>
      <c r="B32" s="1412"/>
      <c r="C32" s="1414"/>
      <c r="D32" s="1414"/>
      <c r="E32" s="1413"/>
      <c r="F32" s="1412"/>
      <c r="G32" s="1414"/>
      <c r="H32" s="1413"/>
      <c r="I32" s="1412"/>
      <c r="J32" s="1413"/>
      <c r="K32" s="1412"/>
      <c r="L32" s="1413"/>
      <c r="M32" s="1412"/>
      <c r="N32" s="1413"/>
      <c r="O32" s="1412"/>
      <c r="P32" s="1413"/>
      <c r="Q32" s="1412"/>
      <c r="R32" s="1413"/>
      <c r="S32" s="1412"/>
      <c r="T32" s="1413"/>
      <c r="U32" s="1412"/>
      <c r="V32" s="1414"/>
      <c r="W32" s="1413"/>
      <c r="X32" s="1412"/>
      <c r="Y32" s="1414"/>
      <c r="Z32" s="1413"/>
      <c r="AA32" s="1412"/>
      <c r="AB32" s="1413"/>
      <c r="AC32" s="1412"/>
      <c r="AD32" s="1413"/>
      <c r="AE32" s="1412"/>
      <c r="AF32" s="1413"/>
      <c r="AG32" s="1412"/>
      <c r="AH32" s="1413"/>
      <c r="AI32" s="1412"/>
      <c r="AJ32" s="1413"/>
      <c r="AK32" s="1412"/>
      <c r="AL32" s="1413"/>
      <c r="AM32" s="1412"/>
      <c r="AN32" s="1413"/>
      <c r="AO32" s="1412"/>
      <c r="AP32" s="1414"/>
      <c r="AQ32" s="1414"/>
      <c r="AR32" s="1413"/>
      <c r="AS32" s="1412"/>
      <c r="AT32" s="1414"/>
      <c r="AU32" s="1413"/>
      <c r="AV32" s="1412"/>
      <c r="AW32" s="1413"/>
      <c r="AX32" s="1412"/>
      <c r="AY32" s="1413"/>
      <c r="AZ32" s="118"/>
      <c r="BA32" s="1412"/>
      <c r="BB32" s="1413"/>
      <c r="BC32" s="1412"/>
      <c r="BD32" s="1413"/>
      <c r="BE32" s="1412"/>
      <c r="BF32" s="1413"/>
      <c r="BG32" s="1412"/>
      <c r="BH32" s="1413"/>
      <c r="BI32" s="1412"/>
      <c r="BJ32" s="1414"/>
      <c r="BK32" s="1414"/>
      <c r="BL32" s="1413"/>
      <c r="BM32" s="1412"/>
      <c r="BN32" s="1414"/>
      <c r="BO32" s="1413"/>
      <c r="BP32" s="1412"/>
      <c r="BQ32" s="1413"/>
      <c r="BR32" s="1412"/>
      <c r="BS32" s="1413"/>
      <c r="BT32" s="118"/>
      <c r="BU32" s="1412"/>
      <c r="BV32" s="1414"/>
      <c r="BW32" s="1413"/>
      <c r="BX32" s="1412"/>
      <c r="BY32" s="1413"/>
      <c r="BZ32" s="1412"/>
      <c r="CA32" s="1413"/>
      <c r="CB32" s="1412"/>
      <c r="CC32" s="1414"/>
      <c r="CD32" s="1413"/>
      <c r="CE32" s="1412"/>
      <c r="CF32" s="1414"/>
      <c r="CG32" s="1413"/>
      <c r="CH32" s="1412"/>
      <c r="CI32" s="1414"/>
      <c r="CJ32" s="1413"/>
      <c r="CK32" s="1412"/>
      <c r="CL32" s="1414"/>
      <c r="CM32" s="1413"/>
      <c r="CN32" s="1412"/>
      <c r="CO32" s="1413"/>
      <c r="CP32" s="1412"/>
      <c r="CQ32" s="1414"/>
      <c r="CR32" s="1413"/>
      <c r="CS32" s="1412"/>
      <c r="CT32" s="1414"/>
      <c r="CU32" s="1413"/>
      <c r="CV32" s="118"/>
      <c r="CW32" s="1412"/>
      <c r="CX32" s="1414"/>
      <c r="CY32" s="1414"/>
      <c r="CZ32" s="1413"/>
      <c r="DA32" s="117">
        <f t="shared" si="1"/>
        <v>0</v>
      </c>
    </row>
    <row r="33" spans="1:105" hidden="1">
      <c r="A33" s="115">
        <v>27</v>
      </c>
      <c r="B33" s="1412"/>
      <c r="C33" s="1414"/>
      <c r="D33" s="1414"/>
      <c r="E33" s="1413"/>
      <c r="F33" s="1412"/>
      <c r="G33" s="1414"/>
      <c r="H33" s="1413"/>
      <c r="I33" s="1412"/>
      <c r="J33" s="1413"/>
      <c r="K33" s="1412"/>
      <c r="L33" s="1413"/>
      <c r="M33" s="1412"/>
      <c r="N33" s="1413"/>
      <c r="O33" s="1412"/>
      <c r="P33" s="1413"/>
      <c r="Q33" s="1412"/>
      <c r="R33" s="1413"/>
      <c r="S33" s="1412"/>
      <c r="T33" s="1413"/>
      <c r="U33" s="1412"/>
      <c r="V33" s="1414"/>
      <c r="W33" s="1413"/>
      <c r="X33" s="1412"/>
      <c r="Y33" s="1414"/>
      <c r="Z33" s="1413"/>
      <c r="AA33" s="1412"/>
      <c r="AB33" s="1413"/>
      <c r="AC33" s="1412"/>
      <c r="AD33" s="1413"/>
      <c r="AE33" s="1412"/>
      <c r="AF33" s="1413"/>
      <c r="AG33" s="1412"/>
      <c r="AH33" s="1413"/>
      <c r="AI33" s="1412"/>
      <c r="AJ33" s="1413"/>
      <c r="AK33" s="1412"/>
      <c r="AL33" s="1413"/>
      <c r="AM33" s="1412"/>
      <c r="AN33" s="1413"/>
      <c r="AO33" s="1412"/>
      <c r="AP33" s="1414"/>
      <c r="AQ33" s="1414"/>
      <c r="AR33" s="1413"/>
      <c r="AS33" s="1412"/>
      <c r="AT33" s="1414"/>
      <c r="AU33" s="1413"/>
      <c r="AV33" s="1412"/>
      <c r="AW33" s="1413"/>
      <c r="AX33" s="1412"/>
      <c r="AY33" s="1413"/>
      <c r="AZ33" s="118"/>
      <c r="BA33" s="1412"/>
      <c r="BB33" s="1413"/>
      <c r="BC33" s="1412"/>
      <c r="BD33" s="1413"/>
      <c r="BE33" s="1412"/>
      <c r="BF33" s="1413"/>
      <c r="BG33" s="1412"/>
      <c r="BH33" s="1413"/>
      <c r="BI33" s="1412"/>
      <c r="BJ33" s="1414"/>
      <c r="BK33" s="1414"/>
      <c r="BL33" s="1413"/>
      <c r="BM33" s="1412"/>
      <c r="BN33" s="1414"/>
      <c r="BO33" s="1413"/>
      <c r="BP33" s="1412"/>
      <c r="BQ33" s="1413"/>
      <c r="BR33" s="1412"/>
      <c r="BS33" s="1413"/>
      <c r="BT33" s="118"/>
      <c r="BU33" s="1412"/>
      <c r="BV33" s="1414"/>
      <c r="BW33" s="1413"/>
      <c r="BX33" s="1412"/>
      <c r="BY33" s="1413"/>
      <c r="BZ33" s="1412"/>
      <c r="CA33" s="1413"/>
      <c r="CB33" s="1412"/>
      <c r="CC33" s="1414"/>
      <c r="CD33" s="1413"/>
      <c r="CE33" s="1412"/>
      <c r="CF33" s="1414"/>
      <c r="CG33" s="1413"/>
      <c r="CH33" s="1412"/>
      <c r="CI33" s="1414"/>
      <c r="CJ33" s="1413"/>
      <c r="CK33" s="1412"/>
      <c r="CL33" s="1414"/>
      <c r="CM33" s="1413"/>
      <c r="CN33" s="1412"/>
      <c r="CO33" s="1413"/>
      <c r="CP33" s="1412"/>
      <c r="CQ33" s="1414"/>
      <c r="CR33" s="1413"/>
      <c r="CS33" s="1412"/>
      <c r="CT33" s="1414"/>
      <c r="CU33" s="1413"/>
      <c r="CV33" s="118"/>
      <c r="CW33" s="1412"/>
      <c r="CX33" s="1414"/>
      <c r="CY33" s="1414"/>
      <c r="CZ33" s="1413"/>
      <c r="DA33" s="117">
        <f t="shared" si="1"/>
        <v>0</v>
      </c>
    </row>
    <row r="34" spans="1:105" hidden="1">
      <c r="A34" s="115">
        <v>28</v>
      </c>
      <c r="B34" s="1412"/>
      <c r="C34" s="1414"/>
      <c r="D34" s="1414"/>
      <c r="E34" s="1413"/>
      <c r="F34" s="1412"/>
      <c r="G34" s="1414"/>
      <c r="H34" s="1413"/>
      <c r="I34" s="1412"/>
      <c r="J34" s="1413"/>
      <c r="K34" s="1412"/>
      <c r="L34" s="1413"/>
      <c r="M34" s="1412"/>
      <c r="N34" s="1413"/>
      <c r="O34" s="1412"/>
      <c r="P34" s="1413"/>
      <c r="Q34" s="1412"/>
      <c r="R34" s="1413"/>
      <c r="S34" s="1412"/>
      <c r="T34" s="1413"/>
      <c r="U34" s="1412"/>
      <c r="V34" s="1414"/>
      <c r="W34" s="1413"/>
      <c r="X34" s="1412"/>
      <c r="Y34" s="1414"/>
      <c r="Z34" s="1413"/>
      <c r="AA34" s="1412"/>
      <c r="AB34" s="1413"/>
      <c r="AC34" s="1412"/>
      <c r="AD34" s="1413"/>
      <c r="AE34" s="1412"/>
      <c r="AF34" s="1413"/>
      <c r="AG34" s="1412"/>
      <c r="AH34" s="1413"/>
      <c r="AI34" s="1412"/>
      <c r="AJ34" s="1413"/>
      <c r="AK34" s="1412"/>
      <c r="AL34" s="1413"/>
      <c r="AM34" s="1412"/>
      <c r="AN34" s="1413"/>
      <c r="AO34" s="1412"/>
      <c r="AP34" s="1414"/>
      <c r="AQ34" s="1414"/>
      <c r="AR34" s="1413"/>
      <c r="AS34" s="1412"/>
      <c r="AT34" s="1414"/>
      <c r="AU34" s="1413"/>
      <c r="AV34" s="1412"/>
      <c r="AW34" s="1413"/>
      <c r="AX34" s="1412"/>
      <c r="AY34" s="1413"/>
      <c r="AZ34" s="118"/>
      <c r="BA34" s="1412"/>
      <c r="BB34" s="1413"/>
      <c r="BC34" s="1412"/>
      <c r="BD34" s="1413"/>
      <c r="BE34" s="1412"/>
      <c r="BF34" s="1413"/>
      <c r="BG34" s="1412"/>
      <c r="BH34" s="1413"/>
      <c r="BI34" s="1412"/>
      <c r="BJ34" s="1414"/>
      <c r="BK34" s="1414"/>
      <c r="BL34" s="1413"/>
      <c r="BM34" s="1412"/>
      <c r="BN34" s="1414"/>
      <c r="BO34" s="1413"/>
      <c r="BP34" s="1412"/>
      <c r="BQ34" s="1413"/>
      <c r="BR34" s="1412"/>
      <c r="BS34" s="1413"/>
      <c r="BT34" s="118"/>
      <c r="BU34" s="1412"/>
      <c r="BV34" s="1414"/>
      <c r="BW34" s="1413"/>
      <c r="BX34" s="1412"/>
      <c r="BY34" s="1413"/>
      <c r="BZ34" s="1412"/>
      <c r="CA34" s="1413"/>
      <c r="CB34" s="1412"/>
      <c r="CC34" s="1414"/>
      <c r="CD34" s="1413"/>
      <c r="CE34" s="1412"/>
      <c r="CF34" s="1414"/>
      <c r="CG34" s="1413"/>
      <c r="CH34" s="1412"/>
      <c r="CI34" s="1414"/>
      <c r="CJ34" s="1413"/>
      <c r="CK34" s="1412"/>
      <c r="CL34" s="1414"/>
      <c r="CM34" s="1413"/>
      <c r="CN34" s="1412"/>
      <c r="CO34" s="1413"/>
      <c r="CP34" s="1412"/>
      <c r="CQ34" s="1414"/>
      <c r="CR34" s="1413"/>
      <c r="CS34" s="1412"/>
      <c r="CT34" s="1414"/>
      <c r="CU34" s="1413"/>
      <c r="CV34" s="118"/>
      <c r="CW34" s="1412"/>
      <c r="CX34" s="1414"/>
      <c r="CY34" s="1414"/>
      <c r="CZ34" s="1413"/>
      <c r="DA34" s="117">
        <f t="shared" si="1"/>
        <v>0</v>
      </c>
    </row>
    <row r="35" spans="1:105" hidden="1">
      <c r="A35" s="115">
        <v>29</v>
      </c>
      <c r="B35" s="1412"/>
      <c r="C35" s="1414"/>
      <c r="D35" s="1414"/>
      <c r="E35" s="1413"/>
      <c r="F35" s="1412"/>
      <c r="G35" s="1414"/>
      <c r="H35" s="1413"/>
      <c r="I35" s="1412"/>
      <c r="J35" s="1413"/>
      <c r="K35" s="1412"/>
      <c r="L35" s="1413"/>
      <c r="M35" s="1412"/>
      <c r="N35" s="1413"/>
      <c r="O35" s="1412"/>
      <c r="P35" s="1413"/>
      <c r="Q35" s="1412"/>
      <c r="R35" s="1413"/>
      <c r="S35" s="1412"/>
      <c r="T35" s="1413"/>
      <c r="U35" s="1412"/>
      <c r="V35" s="1414"/>
      <c r="W35" s="1413"/>
      <c r="X35" s="1412"/>
      <c r="Y35" s="1414"/>
      <c r="Z35" s="1413"/>
      <c r="AA35" s="1412"/>
      <c r="AB35" s="1413"/>
      <c r="AC35" s="1412"/>
      <c r="AD35" s="1413"/>
      <c r="AE35" s="1412"/>
      <c r="AF35" s="1413"/>
      <c r="AG35" s="1412"/>
      <c r="AH35" s="1413"/>
      <c r="AI35" s="1412"/>
      <c r="AJ35" s="1413"/>
      <c r="AK35" s="1412"/>
      <c r="AL35" s="1413"/>
      <c r="AM35" s="1412"/>
      <c r="AN35" s="1413"/>
      <c r="AO35" s="1412"/>
      <c r="AP35" s="1414"/>
      <c r="AQ35" s="1414"/>
      <c r="AR35" s="1413"/>
      <c r="AS35" s="1412"/>
      <c r="AT35" s="1414"/>
      <c r="AU35" s="1413"/>
      <c r="AV35" s="1412"/>
      <c r="AW35" s="1413"/>
      <c r="AX35" s="1412"/>
      <c r="AY35" s="1413"/>
      <c r="AZ35" s="118"/>
      <c r="BA35" s="1412"/>
      <c r="BB35" s="1413"/>
      <c r="BC35" s="1412"/>
      <c r="BD35" s="1413"/>
      <c r="BE35" s="1412"/>
      <c r="BF35" s="1413"/>
      <c r="BG35" s="1412"/>
      <c r="BH35" s="1413"/>
      <c r="BI35" s="1412"/>
      <c r="BJ35" s="1414"/>
      <c r="BK35" s="1414"/>
      <c r="BL35" s="1413"/>
      <c r="BM35" s="1412"/>
      <c r="BN35" s="1414"/>
      <c r="BO35" s="1413"/>
      <c r="BP35" s="1412"/>
      <c r="BQ35" s="1413"/>
      <c r="BR35" s="1412"/>
      <c r="BS35" s="1413"/>
      <c r="BT35" s="118"/>
      <c r="BU35" s="1412"/>
      <c r="BV35" s="1414"/>
      <c r="BW35" s="1413"/>
      <c r="BX35" s="1412"/>
      <c r="BY35" s="1413"/>
      <c r="BZ35" s="1412"/>
      <c r="CA35" s="1413"/>
      <c r="CB35" s="1412"/>
      <c r="CC35" s="1414"/>
      <c r="CD35" s="1413"/>
      <c r="CE35" s="1412"/>
      <c r="CF35" s="1414"/>
      <c r="CG35" s="1413"/>
      <c r="CH35" s="1412"/>
      <c r="CI35" s="1414"/>
      <c r="CJ35" s="1413"/>
      <c r="CK35" s="1412"/>
      <c r="CL35" s="1414"/>
      <c r="CM35" s="1413"/>
      <c r="CN35" s="1412"/>
      <c r="CO35" s="1413"/>
      <c r="CP35" s="1412"/>
      <c r="CQ35" s="1414"/>
      <c r="CR35" s="1413"/>
      <c r="CS35" s="1412"/>
      <c r="CT35" s="1414"/>
      <c r="CU35" s="1413"/>
      <c r="CV35" s="118"/>
      <c r="CW35" s="1412"/>
      <c r="CX35" s="1414"/>
      <c r="CY35" s="1414"/>
      <c r="CZ35" s="1413"/>
      <c r="DA35" s="117">
        <f t="shared" si="1"/>
        <v>0</v>
      </c>
    </row>
    <row r="36" spans="1:105" hidden="1">
      <c r="A36" s="115">
        <v>30</v>
      </c>
      <c r="B36" s="1412"/>
      <c r="C36" s="1414"/>
      <c r="D36" s="1414"/>
      <c r="E36" s="1413"/>
      <c r="F36" s="1412"/>
      <c r="G36" s="1414"/>
      <c r="H36" s="1413"/>
      <c r="I36" s="1412"/>
      <c r="J36" s="1413"/>
      <c r="K36" s="1412"/>
      <c r="L36" s="1413"/>
      <c r="M36" s="1412"/>
      <c r="N36" s="1413"/>
      <c r="O36" s="1412"/>
      <c r="P36" s="1413"/>
      <c r="Q36" s="1412"/>
      <c r="R36" s="1413"/>
      <c r="S36" s="1412"/>
      <c r="T36" s="1413"/>
      <c r="U36" s="1412"/>
      <c r="V36" s="1414"/>
      <c r="W36" s="1413"/>
      <c r="X36" s="1412"/>
      <c r="Y36" s="1414"/>
      <c r="Z36" s="1413"/>
      <c r="AA36" s="1412"/>
      <c r="AB36" s="1413"/>
      <c r="AC36" s="1412"/>
      <c r="AD36" s="1413"/>
      <c r="AE36" s="1412"/>
      <c r="AF36" s="1413"/>
      <c r="AG36" s="1412"/>
      <c r="AH36" s="1413"/>
      <c r="AI36" s="1412"/>
      <c r="AJ36" s="1413"/>
      <c r="AK36" s="1412"/>
      <c r="AL36" s="1413"/>
      <c r="AM36" s="1412"/>
      <c r="AN36" s="1413"/>
      <c r="AO36" s="1412"/>
      <c r="AP36" s="1414"/>
      <c r="AQ36" s="1414"/>
      <c r="AR36" s="1413"/>
      <c r="AS36" s="1412"/>
      <c r="AT36" s="1414"/>
      <c r="AU36" s="1413"/>
      <c r="AV36" s="1412"/>
      <c r="AW36" s="1413"/>
      <c r="AX36" s="1412"/>
      <c r="AY36" s="1413"/>
      <c r="AZ36" s="118"/>
      <c r="BA36" s="1412"/>
      <c r="BB36" s="1413"/>
      <c r="BC36" s="1412"/>
      <c r="BD36" s="1413"/>
      <c r="BE36" s="1412"/>
      <c r="BF36" s="1413"/>
      <c r="BG36" s="1412"/>
      <c r="BH36" s="1413"/>
      <c r="BI36" s="1412"/>
      <c r="BJ36" s="1414"/>
      <c r="BK36" s="1414"/>
      <c r="BL36" s="1413"/>
      <c r="BM36" s="1412"/>
      <c r="BN36" s="1414"/>
      <c r="BO36" s="1413"/>
      <c r="BP36" s="1412"/>
      <c r="BQ36" s="1413"/>
      <c r="BR36" s="1412"/>
      <c r="BS36" s="1413"/>
      <c r="BT36" s="118"/>
      <c r="BU36" s="1412"/>
      <c r="BV36" s="1414"/>
      <c r="BW36" s="1413"/>
      <c r="BX36" s="1412"/>
      <c r="BY36" s="1413"/>
      <c r="BZ36" s="1412"/>
      <c r="CA36" s="1413"/>
      <c r="CB36" s="1412"/>
      <c r="CC36" s="1414"/>
      <c r="CD36" s="1413"/>
      <c r="CE36" s="1412"/>
      <c r="CF36" s="1414"/>
      <c r="CG36" s="1413"/>
      <c r="CH36" s="1412"/>
      <c r="CI36" s="1414"/>
      <c r="CJ36" s="1413"/>
      <c r="CK36" s="1412"/>
      <c r="CL36" s="1414"/>
      <c r="CM36" s="1413"/>
      <c r="CN36" s="1412"/>
      <c r="CO36" s="1413"/>
      <c r="CP36" s="1412"/>
      <c r="CQ36" s="1414"/>
      <c r="CR36" s="1413"/>
      <c r="CS36" s="1412"/>
      <c r="CT36" s="1414"/>
      <c r="CU36" s="1413"/>
      <c r="CV36" s="118"/>
      <c r="CW36" s="1412"/>
      <c r="CX36" s="1414"/>
      <c r="CY36" s="1414"/>
      <c r="CZ36" s="1413"/>
      <c r="DA36" s="117">
        <f t="shared" si="1"/>
        <v>0</v>
      </c>
    </row>
    <row r="37" spans="1:105" hidden="1">
      <c r="A37" s="115">
        <v>31</v>
      </c>
      <c r="B37" s="1412"/>
      <c r="C37" s="1414"/>
      <c r="D37" s="1414"/>
      <c r="E37" s="1413"/>
      <c r="F37" s="1412"/>
      <c r="G37" s="1414"/>
      <c r="H37" s="1413"/>
      <c r="I37" s="1412"/>
      <c r="J37" s="1413"/>
      <c r="K37" s="1412"/>
      <c r="L37" s="1413"/>
      <c r="M37" s="1412"/>
      <c r="N37" s="1413"/>
      <c r="O37" s="1412"/>
      <c r="P37" s="1413"/>
      <c r="Q37" s="1412"/>
      <c r="R37" s="1413"/>
      <c r="S37" s="1412"/>
      <c r="T37" s="1413"/>
      <c r="U37" s="1412"/>
      <c r="V37" s="1414"/>
      <c r="W37" s="1413"/>
      <c r="X37" s="1412"/>
      <c r="Y37" s="1414"/>
      <c r="Z37" s="1413"/>
      <c r="AA37" s="1412"/>
      <c r="AB37" s="1413"/>
      <c r="AC37" s="1412"/>
      <c r="AD37" s="1413"/>
      <c r="AE37" s="1412"/>
      <c r="AF37" s="1413"/>
      <c r="AG37" s="1412"/>
      <c r="AH37" s="1413"/>
      <c r="AI37" s="1412"/>
      <c r="AJ37" s="1413"/>
      <c r="AK37" s="1412"/>
      <c r="AL37" s="1413"/>
      <c r="AM37" s="1412"/>
      <c r="AN37" s="1413"/>
      <c r="AO37" s="1412"/>
      <c r="AP37" s="1414"/>
      <c r="AQ37" s="1414"/>
      <c r="AR37" s="1413"/>
      <c r="AS37" s="1412"/>
      <c r="AT37" s="1414"/>
      <c r="AU37" s="1413"/>
      <c r="AV37" s="1412"/>
      <c r="AW37" s="1413"/>
      <c r="AX37" s="1412"/>
      <c r="AY37" s="1413"/>
      <c r="AZ37" s="118"/>
      <c r="BA37" s="1412"/>
      <c r="BB37" s="1413"/>
      <c r="BC37" s="1412"/>
      <c r="BD37" s="1413"/>
      <c r="BE37" s="1412"/>
      <c r="BF37" s="1413"/>
      <c r="BG37" s="1412"/>
      <c r="BH37" s="1413"/>
      <c r="BI37" s="1412"/>
      <c r="BJ37" s="1414"/>
      <c r="BK37" s="1414"/>
      <c r="BL37" s="1413"/>
      <c r="BM37" s="1412"/>
      <c r="BN37" s="1414"/>
      <c r="BO37" s="1413"/>
      <c r="BP37" s="1412"/>
      <c r="BQ37" s="1413"/>
      <c r="BR37" s="1412"/>
      <c r="BS37" s="1413"/>
      <c r="BT37" s="118"/>
      <c r="BU37" s="1412"/>
      <c r="BV37" s="1414"/>
      <c r="BW37" s="1413"/>
      <c r="BX37" s="1412"/>
      <c r="BY37" s="1413"/>
      <c r="BZ37" s="1412"/>
      <c r="CA37" s="1413"/>
      <c r="CB37" s="1412"/>
      <c r="CC37" s="1414"/>
      <c r="CD37" s="1413"/>
      <c r="CE37" s="1412"/>
      <c r="CF37" s="1414"/>
      <c r="CG37" s="1413"/>
      <c r="CH37" s="1412"/>
      <c r="CI37" s="1414"/>
      <c r="CJ37" s="1413"/>
      <c r="CK37" s="1412"/>
      <c r="CL37" s="1414"/>
      <c r="CM37" s="1413"/>
      <c r="CN37" s="1412"/>
      <c r="CO37" s="1413"/>
      <c r="CP37" s="1412"/>
      <c r="CQ37" s="1414"/>
      <c r="CR37" s="1413"/>
      <c r="CS37" s="1412"/>
      <c r="CT37" s="1414"/>
      <c r="CU37" s="1413"/>
      <c r="CV37" s="118"/>
      <c r="CW37" s="1412"/>
      <c r="CX37" s="1414"/>
      <c r="CY37" s="1414"/>
      <c r="CZ37" s="1413"/>
      <c r="DA37" s="117">
        <f t="shared" si="1"/>
        <v>0</v>
      </c>
    </row>
    <row r="38" spans="1:105" hidden="1">
      <c r="A38" s="115">
        <v>32</v>
      </c>
      <c r="B38" s="1412"/>
      <c r="C38" s="1414"/>
      <c r="D38" s="1414"/>
      <c r="E38" s="1413"/>
      <c r="F38" s="1412"/>
      <c r="G38" s="1414"/>
      <c r="H38" s="1413"/>
      <c r="I38" s="1412"/>
      <c r="J38" s="1413"/>
      <c r="K38" s="1412"/>
      <c r="L38" s="1413"/>
      <c r="M38" s="1412"/>
      <c r="N38" s="1413"/>
      <c r="O38" s="1412"/>
      <c r="P38" s="1413"/>
      <c r="Q38" s="1412"/>
      <c r="R38" s="1413"/>
      <c r="S38" s="1412"/>
      <c r="T38" s="1413"/>
      <c r="U38" s="1412"/>
      <c r="V38" s="1414"/>
      <c r="W38" s="1413"/>
      <c r="X38" s="1412"/>
      <c r="Y38" s="1414"/>
      <c r="Z38" s="1413"/>
      <c r="AA38" s="1412"/>
      <c r="AB38" s="1413"/>
      <c r="AC38" s="1412"/>
      <c r="AD38" s="1413"/>
      <c r="AE38" s="1412"/>
      <c r="AF38" s="1413"/>
      <c r="AG38" s="1412"/>
      <c r="AH38" s="1413"/>
      <c r="AI38" s="1412"/>
      <c r="AJ38" s="1413"/>
      <c r="AK38" s="1412"/>
      <c r="AL38" s="1413"/>
      <c r="AM38" s="1412"/>
      <c r="AN38" s="1413"/>
      <c r="AO38" s="1412"/>
      <c r="AP38" s="1414"/>
      <c r="AQ38" s="1414"/>
      <c r="AR38" s="1413"/>
      <c r="AS38" s="1412"/>
      <c r="AT38" s="1414"/>
      <c r="AU38" s="1413"/>
      <c r="AV38" s="1412"/>
      <c r="AW38" s="1413"/>
      <c r="AX38" s="1412"/>
      <c r="AY38" s="1413"/>
      <c r="AZ38" s="118"/>
      <c r="BA38" s="1412"/>
      <c r="BB38" s="1413"/>
      <c r="BC38" s="1412"/>
      <c r="BD38" s="1413"/>
      <c r="BE38" s="1412"/>
      <c r="BF38" s="1413"/>
      <c r="BG38" s="1412"/>
      <c r="BH38" s="1413"/>
      <c r="BI38" s="1412"/>
      <c r="BJ38" s="1414"/>
      <c r="BK38" s="1414"/>
      <c r="BL38" s="1413"/>
      <c r="BM38" s="1412"/>
      <c r="BN38" s="1414"/>
      <c r="BO38" s="1413"/>
      <c r="BP38" s="1412"/>
      <c r="BQ38" s="1413"/>
      <c r="BR38" s="1412"/>
      <c r="BS38" s="1413"/>
      <c r="BT38" s="118"/>
      <c r="BU38" s="1412"/>
      <c r="BV38" s="1414"/>
      <c r="BW38" s="1413"/>
      <c r="BX38" s="1412"/>
      <c r="BY38" s="1413"/>
      <c r="BZ38" s="1412"/>
      <c r="CA38" s="1413"/>
      <c r="CB38" s="1412"/>
      <c r="CC38" s="1414"/>
      <c r="CD38" s="1413"/>
      <c r="CE38" s="1412"/>
      <c r="CF38" s="1414"/>
      <c r="CG38" s="1413"/>
      <c r="CH38" s="1412"/>
      <c r="CI38" s="1414"/>
      <c r="CJ38" s="1413"/>
      <c r="CK38" s="1412"/>
      <c r="CL38" s="1414"/>
      <c r="CM38" s="1413"/>
      <c r="CN38" s="1412"/>
      <c r="CO38" s="1413"/>
      <c r="CP38" s="1412"/>
      <c r="CQ38" s="1414"/>
      <c r="CR38" s="1413"/>
      <c r="CS38" s="1412"/>
      <c r="CT38" s="1414"/>
      <c r="CU38" s="1413"/>
      <c r="CV38" s="118"/>
      <c r="CW38" s="1412"/>
      <c r="CX38" s="1414"/>
      <c r="CY38" s="1414"/>
      <c r="CZ38" s="1413"/>
      <c r="DA38" s="117">
        <f t="shared" si="1"/>
        <v>0</v>
      </c>
    </row>
    <row r="39" spans="1:105" hidden="1">
      <c r="A39" s="115">
        <v>33</v>
      </c>
      <c r="B39" s="1412"/>
      <c r="C39" s="1414"/>
      <c r="D39" s="1414"/>
      <c r="E39" s="1413"/>
      <c r="F39" s="1412"/>
      <c r="G39" s="1414"/>
      <c r="H39" s="1413"/>
      <c r="I39" s="1412"/>
      <c r="J39" s="1413"/>
      <c r="K39" s="1412"/>
      <c r="L39" s="1413"/>
      <c r="M39" s="1412"/>
      <c r="N39" s="1413"/>
      <c r="O39" s="1412"/>
      <c r="P39" s="1413"/>
      <c r="Q39" s="1412"/>
      <c r="R39" s="1413"/>
      <c r="S39" s="1412"/>
      <c r="T39" s="1413"/>
      <c r="U39" s="1412"/>
      <c r="V39" s="1414"/>
      <c r="W39" s="1413"/>
      <c r="X39" s="1412"/>
      <c r="Y39" s="1414"/>
      <c r="Z39" s="1413"/>
      <c r="AA39" s="1412"/>
      <c r="AB39" s="1413"/>
      <c r="AC39" s="1412"/>
      <c r="AD39" s="1413"/>
      <c r="AE39" s="1412"/>
      <c r="AF39" s="1413"/>
      <c r="AG39" s="1412"/>
      <c r="AH39" s="1413"/>
      <c r="AI39" s="1412"/>
      <c r="AJ39" s="1413"/>
      <c r="AK39" s="1412"/>
      <c r="AL39" s="1413"/>
      <c r="AM39" s="1412"/>
      <c r="AN39" s="1413"/>
      <c r="AO39" s="1412"/>
      <c r="AP39" s="1414"/>
      <c r="AQ39" s="1414"/>
      <c r="AR39" s="1413"/>
      <c r="AS39" s="1412"/>
      <c r="AT39" s="1414"/>
      <c r="AU39" s="1413"/>
      <c r="AV39" s="1412"/>
      <c r="AW39" s="1413"/>
      <c r="AX39" s="1412"/>
      <c r="AY39" s="1413"/>
      <c r="AZ39" s="118"/>
      <c r="BA39" s="1412"/>
      <c r="BB39" s="1413"/>
      <c r="BC39" s="1412"/>
      <c r="BD39" s="1413"/>
      <c r="BE39" s="1412"/>
      <c r="BF39" s="1413"/>
      <c r="BG39" s="1412"/>
      <c r="BH39" s="1413"/>
      <c r="BI39" s="1412"/>
      <c r="BJ39" s="1414"/>
      <c r="BK39" s="1414"/>
      <c r="BL39" s="1413"/>
      <c r="BM39" s="1412"/>
      <c r="BN39" s="1414"/>
      <c r="BO39" s="1413"/>
      <c r="BP39" s="1412"/>
      <c r="BQ39" s="1413"/>
      <c r="BR39" s="1412"/>
      <c r="BS39" s="1413"/>
      <c r="BT39" s="118"/>
      <c r="BU39" s="1412"/>
      <c r="BV39" s="1414"/>
      <c r="BW39" s="1413"/>
      <c r="BX39" s="1412"/>
      <c r="BY39" s="1413"/>
      <c r="BZ39" s="1412"/>
      <c r="CA39" s="1413"/>
      <c r="CB39" s="1412"/>
      <c r="CC39" s="1414"/>
      <c r="CD39" s="1413"/>
      <c r="CE39" s="1412"/>
      <c r="CF39" s="1414"/>
      <c r="CG39" s="1413"/>
      <c r="CH39" s="1412"/>
      <c r="CI39" s="1414"/>
      <c r="CJ39" s="1413"/>
      <c r="CK39" s="1412"/>
      <c r="CL39" s="1414"/>
      <c r="CM39" s="1413"/>
      <c r="CN39" s="1412"/>
      <c r="CO39" s="1413"/>
      <c r="CP39" s="1412"/>
      <c r="CQ39" s="1414"/>
      <c r="CR39" s="1413"/>
      <c r="CS39" s="1412"/>
      <c r="CT39" s="1414"/>
      <c r="CU39" s="1413"/>
      <c r="CV39" s="118"/>
      <c r="CW39" s="1412"/>
      <c r="CX39" s="1414"/>
      <c r="CY39" s="1414"/>
      <c r="CZ39" s="1413"/>
      <c r="DA39" s="117">
        <f t="shared" si="1"/>
        <v>0</v>
      </c>
    </row>
    <row r="40" spans="1:105" hidden="1">
      <c r="A40" s="115">
        <v>34</v>
      </c>
      <c r="B40" s="1412"/>
      <c r="C40" s="1414"/>
      <c r="D40" s="1414"/>
      <c r="E40" s="1413"/>
      <c r="F40" s="1412"/>
      <c r="G40" s="1414"/>
      <c r="H40" s="1413"/>
      <c r="I40" s="1412"/>
      <c r="J40" s="1413"/>
      <c r="K40" s="1412"/>
      <c r="L40" s="1413"/>
      <c r="M40" s="1412"/>
      <c r="N40" s="1413"/>
      <c r="O40" s="1412"/>
      <c r="P40" s="1413"/>
      <c r="Q40" s="1412"/>
      <c r="R40" s="1413"/>
      <c r="S40" s="1412"/>
      <c r="T40" s="1413"/>
      <c r="U40" s="1412"/>
      <c r="V40" s="1414"/>
      <c r="W40" s="1413"/>
      <c r="X40" s="1412"/>
      <c r="Y40" s="1414"/>
      <c r="Z40" s="1413"/>
      <c r="AA40" s="1412"/>
      <c r="AB40" s="1413"/>
      <c r="AC40" s="1412"/>
      <c r="AD40" s="1413"/>
      <c r="AE40" s="1412"/>
      <c r="AF40" s="1413"/>
      <c r="AG40" s="1412"/>
      <c r="AH40" s="1413"/>
      <c r="AI40" s="1412"/>
      <c r="AJ40" s="1413"/>
      <c r="AK40" s="1412"/>
      <c r="AL40" s="1413"/>
      <c r="AM40" s="1412"/>
      <c r="AN40" s="1413"/>
      <c r="AO40" s="1412"/>
      <c r="AP40" s="1414"/>
      <c r="AQ40" s="1414"/>
      <c r="AR40" s="1413"/>
      <c r="AS40" s="1412"/>
      <c r="AT40" s="1414"/>
      <c r="AU40" s="1413"/>
      <c r="AV40" s="1412"/>
      <c r="AW40" s="1413"/>
      <c r="AX40" s="1412"/>
      <c r="AY40" s="1413"/>
      <c r="AZ40" s="118"/>
      <c r="BA40" s="1412"/>
      <c r="BB40" s="1413"/>
      <c r="BC40" s="1412"/>
      <c r="BD40" s="1413"/>
      <c r="BE40" s="1412"/>
      <c r="BF40" s="1413"/>
      <c r="BG40" s="1412"/>
      <c r="BH40" s="1413"/>
      <c r="BI40" s="1412"/>
      <c r="BJ40" s="1414"/>
      <c r="BK40" s="1414"/>
      <c r="BL40" s="1413"/>
      <c r="BM40" s="1412"/>
      <c r="BN40" s="1414"/>
      <c r="BO40" s="1413"/>
      <c r="BP40" s="1412"/>
      <c r="BQ40" s="1413"/>
      <c r="BR40" s="1412"/>
      <c r="BS40" s="1413"/>
      <c r="BT40" s="118"/>
      <c r="BU40" s="1412"/>
      <c r="BV40" s="1414"/>
      <c r="BW40" s="1413"/>
      <c r="BX40" s="1412"/>
      <c r="BY40" s="1413"/>
      <c r="BZ40" s="1412"/>
      <c r="CA40" s="1413"/>
      <c r="CB40" s="1412"/>
      <c r="CC40" s="1414"/>
      <c r="CD40" s="1413"/>
      <c r="CE40" s="1412"/>
      <c r="CF40" s="1414"/>
      <c r="CG40" s="1413"/>
      <c r="CH40" s="1412"/>
      <c r="CI40" s="1414"/>
      <c r="CJ40" s="1413"/>
      <c r="CK40" s="1412"/>
      <c r="CL40" s="1414"/>
      <c r="CM40" s="1413"/>
      <c r="CN40" s="1412"/>
      <c r="CO40" s="1413"/>
      <c r="CP40" s="1412"/>
      <c r="CQ40" s="1414"/>
      <c r="CR40" s="1413"/>
      <c r="CS40" s="1412"/>
      <c r="CT40" s="1414"/>
      <c r="CU40" s="1413"/>
      <c r="CV40" s="118"/>
      <c r="CW40" s="1412"/>
      <c r="CX40" s="1414"/>
      <c r="CY40" s="1414"/>
      <c r="CZ40" s="1413"/>
      <c r="DA40" s="117">
        <f t="shared" si="1"/>
        <v>0</v>
      </c>
    </row>
    <row r="41" spans="1:105" hidden="1">
      <c r="A41" s="115">
        <v>35</v>
      </c>
      <c r="B41" s="1412"/>
      <c r="C41" s="1414"/>
      <c r="D41" s="1414"/>
      <c r="E41" s="1413"/>
      <c r="F41" s="1412"/>
      <c r="G41" s="1414"/>
      <c r="H41" s="1413"/>
      <c r="I41" s="1412"/>
      <c r="J41" s="1413"/>
      <c r="K41" s="1412"/>
      <c r="L41" s="1413"/>
      <c r="M41" s="1412"/>
      <c r="N41" s="1413"/>
      <c r="O41" s="1412"/>
      <c r="P41" s="1413"/>
      <c r="Q41" s="1412"/>
      <c r="R41" s="1413"/>
      <c r="S41" s="1412"/>
      <c r="T41" s="1413"/>
      <c r="U41" s="1412"/>
      <c r="V41" s="1414"/>
      <c r="W41" s="1413"/>
      <c r="X41" s="1412"/>
      <c r="Y41" s="1414"/>
      <c r="Z41" s="1413"/>
      <c r="AA41" s="1412"/>
      <c r="AB41" s="1413"/>
      <c r="AC41" s="1412"/>
      <c r="AD41" s="1413"/>
      <c r="AE41" s="1412"/>
      <c r="AF41" s="1413"/>
      <c r="AG41" s="1412"/>
      <c r="AH41" s="1413"/>
      <c r="AI41" s="1412"/>
      <c r="AJ41" s="1413"/>
      <c r="AK41" s="1412"/>
      <c r="AL41" s="1413"/>
      <c r="AM41" s="1412"/>
      <c r="AN41" s="1413"/>
      <c r="AO41" s="1412"/>
      <c r="AP41" s="1414"/>
      <c r="AQ41" s="1414"/>
      <c r="AR41" s="1413"/>
      <c r="AS41" s="1412"/>
      <c r="AT41" s="1414"/>
      <c r="AU41" s="1413"/>
      <c r="AV41" s="1412"/>
      <c r="AW41" s="1413"/>
      <c r="AX41" s="1412"/>
      <c r="AY41" s="1413"/>
      <c r="AZ41" s="118"/>
      <c r="BA41" s="1412"/>
      <c r="BB41" s="1413"/>
      <c r="BC41" s="1412"/>
      <c r="BD41" s="1413"/>
      <c r="BE41" s="1412"/>
      <c r="BF41" s="1413"/>
      <c r="BG41" s="1412"/>
      <c r="BH41" s="1413"/>
      <c r="BI41" s="1412"/>
      <c r="BJ41" s="1414"/>
      <c r="BK41" s="1414"/>
      <c r="BL41" s="1413"/>
      <c r="BM41" s="1412"/>
      <c r="BN41" s="1414"/>
      <c r="BO41" s="1413"/>
      <c r="BP41" s="1412"/>
      <c r="BQ41" s="1413"/>
      <c r="BR41" s="1412"/>
      <c r="BS41" s="1413"/>
      <c r="BT41" s="118"/>
      <c r="BU41" s="1412"/>
      <c r="BV41" s="1414"/>
      <c r="BW41" s="1413"/>
      <c r="BX41" s="1412"/>
      <c r="BY41" s="1413"/>
      <c r="BZ41" s="1412"/>
      <c r="CA41" s="1413"/>
      <c r="CB41" s="1412"/>
      <c r="CC41" s="1414"/>
      <c r="CD41" s="1413"/>
      <c r="CE41" s="1412"/>
      <c r="CF41" s="1414"/>
      <c r="CG41" s="1413"/>
      <c r="CH41" s="1412"/>
      <c r="CI41" s="1414"/>
      <c r="CJ41" s="1413"/>
      <c r="CK41" s="1412"/>
      <c r="CL41" s="1414"/>
      <c r="CM41" s="1413"/>
      <c r="CN41" s="1412"/>
      <c r="CO41" s="1413"/>
      <c r="CP41" s="1412"/>
      <c r="CQ41" s="1414"/>
      <c r="CR41" s="1413"/>
      <c r="CS41" s="1412"/>
      <c r="CT41" s="1414"/>
      <c r="CU41" s="1413"/>
      <c r="CV41" s="118"/>
      <c r="CW41" s="1412"/>
      <c r="CX41" s="1414"/>
      <c r="CY41" s="1414"/>
      <c r="CZ41" s="1413"/>
      <c r="DA41" s="117">
        <f t="shared" si="1"/>
        <v>0</v>
      </c>
    </row>
    <row r="42" spans="1:105" hidden="1">
      <c r="A42" s="115">
        <v>36</v>
      </c>
      <c r="B42" s="1412"/>
      <c r="C42" s="1414"/>
      <c r="D42" s="1414"/>
      <c r="E42" s="1413"/>
      <c r="F42" s="1412"/>
      <c r="G42" s="1414"/>
      <c r="H42" s="1413"/>
      <c r="I42" s="1412"/>
      <c r="J42" s="1413"/>
      <c r="K42" s="1412"/>
      <c r="L42" s="1413"/>
      <c r="M42" s="1412"/>
      <c r="N42" s="1413"/>
      <c r="O42" s="1412"/>
      <c r="P42" s="1413"/>
      <c r="Q42" s="1412"/>
      <c r="R42" s="1413"/>
      <c r="S42" s="1412"/>
      <c r="T42" s="1413"/>
      <c r="U42" s="1412"/>
      <c r="V42" s="1414"/>
      <c r="W42" s="1413"/>
      <c r="X42" s="1412"/>
      <c r="Y42" s="1414"/>
      <c r="Z42" s="1413"/>
      <c r="AA42" s="1412"/>
      <c r="AB42" s="1413"/>
      <c r="AC42" s="1412"/>
      <c r="AD42" s="1413"/>
      <c r="AE42" s="1412"/>
      <c r="AF42" s="1413"/>
      <c r="AG42" s="1412"/>
      <c r="AH42" s="1413"/>
      <c r="AI42" s="1412"/>
      <c r="AJ42" s="1413"/>
      <c r="AK42" s="1412"/>
      <c r="AL42" s="1413"/>
      <c r="AM42" s="1412"/>
      <c r="AN42" s="1413"/>
      <c r="AO42" s="1412"/>
      <c r="AP42" s="1414"/>
      <c r="AQ42" s="1414"/>
      <c r="AR42" s="1413"/>
      <c r="AS42" s="1412"/>
      <c r="AT42" s="1414"/>
      <c r="AU42" s="1413"/>
      <c r="AV42" s="1412"/>
      <c r="AW42" s="1413"/>
      <c r="AX42" s="1412"/>
      <c r="AY42" s="1413"/>
      <c r="AZ42" s="118"/>
      <c r="BA42" s="1412"/>
      <c r="BB42" s="1413"/>
      <c r="BC42" s="1412"/>
      <c r="BD42" s="1413"/>
      <c r="BE42" s="1412"/>
      <c r="BF42" s="1413"/>
      <c r="BG42" s="1412"/>
      <c r="BH42" s="1413"/>
      <c r="BI42" s="1412"/>
      <c r="BJ42" s="1414"/>
      <c r="BK42" s="1414"/>
      <c r="BL42" s="1413"/>
      <c r="BM42" s="1412"/>
      <c r="BN42" s="1414"/>
      <c r="BO42" s="1413"/>
      <c r="BP42" s="1412"/>
      <c r="BQ42" s="1413"/>
      <c r="BR42" s="1412"/>
      <c r="BS42" s="1413"/>
      <c r="BT42" s="118"/>
      <c r="BU42" s="1412"/>
      <c r="BV42" s="1414"/>
      <c r="BW42" s="1413"/>
      <c r="BX42" s="1412"/>
      <c r="BY42" s="1413"/>
      <c r="BZ42" s="1412"/>
      <c r="CA42" s="1413"/>
      <c r="CB42" s="1412"/>
      <c r="CC42" s="1414"/>
      <c r="CD42" s="1413"/>
      <c r="CE42" s="1412"/>
      <c r="CF42" s="1414"/>
      <c r="CG42" s="1413"/>
      <c r="CH42" s="1412"/>
      <c r="CI42" s="1414"/>
      <c r="CJ42" s="1413"/>
      <c r="CK42" s="1412"/>
      <c r="CL42" s="1414"/>
      <c r="CM42" s="1413"/>
      <c r="CN42" s="1412"/>
      <c r="CO42" s="1413"/>
      <c r="CP42" s="1412"/>
      <c r="CQ42" s="1414"/>
      <c r="CR42" s="1413"/>
      <c r="CS42" s="1412"/>
      <c r="CT42" s="1414"/>
      <c r="CU42" s="1413"/>
      <c r="CV42" s="118"/>
      <c r="CW42" s="1412"/>
      <c r="CX42" s="1414"/>
      <c r="CY42" s="1414"/>
      <c r="CZ42" s="1413"/>
      <c r="DA42" s="117">
        <f t="shared" si="1"/>
        <v>0</v>
      </c>
    </row>
    <row r="43" spans="1:105" hidden="1">
      <c r="A43" s="115">
        <v>37</v>
      </c>
      <c r="B43" s="1412"/>
      <c r="C43" s="1414"/>
      <c r="D43" s="1414"/>
      <c r="E43" s="1413"/>
      <c r="F43" s="1412"/>
      <c r="G43" s="1414"/>
      <c r="H43" s="1413"/>
      <c r="I43" s="1412"/>
      <c r="J43" s="1413"/>
      <c r="K43" s="1412"/>
      <c r="L43" s="1413"/>
      <c r="M43" s="1412"/>
      <c r="N43" s="1413"/>
      <c r="O43" s="1412"/>
      <c r="P43" s="1413"/>
      <c r="Q43" s="1412"/>
      <c r="R43" s="1413"/>
      <c r="S43" s="1412"/>
      <c r="T43" s="1413"/>
      <c r="U43" s="1412"/>
      <c r="V43" s="1414"/>
      <c r="W43" s="1413"/>
      <c r="X43" s="1412"/>
      <c r="Y43" s="1414"/>
      <c r="Z43" s="1413"/>
      <c r="AA43" s="1412"/>
      <c r="AB43" s="1413"/>
      <c r="AC43" s="1412"/>
      <c r="AD43" s="1413"/>
      <c r="AE43" s="1412"/>
      <c r="AF43" s="1413"/>
      <c r="AG43" s="1412"/>
      <c r="AH43" s="1413"/>
      <c r="AI43" s="1412"/>
      <c r="AJ43" s="1413"/>
      <c r="AK43" s="1412"/>
      <c r="AL43" s="1413"/>
      <c r="AM43" s="1412"/>
      <c r="AN43" s="1413"/>
      <c r="AO43" s="1412"/>
      <c r="AP43" s="1414"/>
      <c r="AQ43" s="1414"/>
      <c r="AR43" s="1413"/>
      <c r="AS43" s="1412"/>
      <c r="AT43" s="1414"/>
      <c r="AU43" s="1413"/>
      <c r="AV43" s="1412"/>
      <c r="AW43" s="1413"/>
      <c r="AX43" s="1412"/>
      <c r="AY43" s="1413"/>
      <c r="AZ43" s="118"/>
      <c r="BA43" s="1412"/>
      <c r="BB43" s="1413"/>
      <c r="BC43" s="1412"/>
      <c r="BD43" s="1413"/>
      <c r="BE43" s="1412"/>
      <c r="BF43" s="1413"/>
      <c r="BG43" s="1412"/>
      <c r="BH43" s="1413"/>
      <c r="BI43" s="1412"/>
      <c r="BJ43" s="1414"/>
      <c r="BK43" s="1414"/>
      <c r="BL43" s="1413"/>
      <c r="BM43" s="1412"/>
      <c r="BN43" s="1414"/>
      <c r="BO43" s="1413"/>
      <c r="BP43" s="1412"/>
      <c r="BQ43" s="1413"/>
      <c r="BR43" s="1412"/>
      <c r="BS43" s="1413"/>
      <c r="BT43" s="118"/>
      <c r="BU43" s="1412"/>
      <c r="BV43" s="1414"/>
      <c r="BW43" s="1413"/>
      <c r="BX43" s="1412"/>
      <c r="BY43" s="1413"/>
      <c r="BZ43" s="1412"/>
      <c r="CA43" s="1413"/>
      <c r="CB43" s="1412"/>
      <c r="CC43" s="1414"/>
      <c r="CD43" s="1413"/>
      <c r="CE43" s="1412"/>
      <c r="CF43" s="1414"/>
      <c r="CG43" s="1413"/>
      <c r="CH43" s="1412"/>
      <c r="CI43" s="1414"/>
      <c r="CJ43" s="1413"/>
      <c r="CK43" s="1412"/>
      <c r="CL43" s="1414"/>
      <c r="CM43" s="1413"/>
      <c r="CN43" s="1412"/>
      <c r="CO43" s="1413"/>
      <c r="CP43" s="1412"/>
      <c r="CQ43" s="1414"/>
      <c r="CR43" s="1413"/>
      <c r="CS43" s="1412"/>
      <c r="CT43" s="1414"/>
      <c r="CU43" s="1413"/>
      <c r="CV43" s="118"/>
      <c r="CW43" s="1412"/>
      <c r="CX43" s="1414"/>
      <c r="CY43" s="1414"/>
      <c r="CZ43" s="1413"/>
      <c r="DA43" s="117">
        <f t="shared" si="1"/>
        <v>0</v>
      </c>
    </row>
    <row r="44" spans="1:105" hidden="1">
      <c r="A44" s="115">
        <v>38</v>
      </c>
      <c r="B44" s="1412"/>
      <c r="C44" s="1414"/>
      <c r="D44" s="1414"/>
      <c r="E44" s="1413"/>
      <c r="F44" s="1412"/>
      <c r="G44" s="1414"/>
      <c r="H44" s="1413"/>
      <c r="I44" s="1412"/>
      <c r="J44" s="1413"/>
      <c r="K44" s="1412"/>
      <c r="L44" s="1413"/>
      <c r="M44" s="1412"/>
      <c r="N44" s="1413"/>
      <c r="O44" s="1412"/>
      <c r="P44" s="1413"/>
      <c r="Q44" s="1412"/>
      <c r="R44" s="1413"/>
      <c r="S44" s="1412"/>
      <c r="T44" s="1413"/>
      <c r="U44" s="1412"/>
      <c r="V44" s="1414"/>
      <c r="W44" s="1413"/>
      <c r="X44" s="1412"/>
      <c r="Y44" s="1414"/>
      <c r="Z44" s="1413"/>
      <c r="AA44" s="1412"/>
      <c r="AB44" s="1413"/>
      <c r="AC44" s="1412"/>
      <c r="AD44" s="1413"/>
      <c r="AE44" s="1412"/>
      <c r="AF44" s="1413"/>
      <c r="AG44" s="1412"/>
      <c r="AH44" s="1413"/>
      <c r="AI44" s="1412"/>
      <c r="AJ44" s="1413"/>
      <c r="AK44" s="1412"/>
      <c r="AL44" s="1413"/>
      <c r="AM44" s="1412"/>
      <c r="AN44" s="1413"/>
      <c r="AO44" s="1412"/>
      <c r="AP44" s="1414"/>
      <c r="AQ44" s="1414"/>
      <c r="AR44" s="1413"/>
      <c r="AS44" s="1412"/>
      <c r="AT44" s="1414"/>
      <c r="AU44" s="1413"/>
      <c r="AV44" s="1412"/>
      <c r="AW44" s="1413"/>
      <c r="AX44" s="1412"/>
      <c r="AY44" s="1413"/>
      <c r="AZ44" s="118"/>
      <c r="BA44" s="1412"/>
      <c r="BB44" s="1413"/>
      <c r="BC44" s="1412"/>
      <c r="BD44" s="1413"/>
      <c r="BE44" s="1412"/>
      <c r="BF44" s="1413"/>
      <c r="BG44" s="1412"/>
      <c r="BH44" s="1413"/>
      <c r="BI44" s="1412"/>
      <c r="BJ44" s="1414"/>
      <c r="BK44" s="1414"/>
      <c r="BL44" s="1413"/>
      <c r="BM44" s="1412"/>
      <c r="BN44" s="1414"/>
      <c r="BO44" s="1413"/>
      <c r="BP44" s="1412"/>
      <c r="BQ44" s="1413"/>
      <c r="BR44" s="1412"/>
      <c r="BS44" s="1413"/>
      <c r="BT44" s="118"/>
      <c r="BU44" s="1412"/>
      <c r="BV44" s="1414"/>
      <c r="BW44" s="1413"/>
      <c r="BX44" s="1412"/>
      <c r="BY44" s="1413"/>
      <c r="BZ44" s="1412"/>
      <c r="CA44" s="1413"/>
      <c r="CB44" s="1412"/>
      <c r="CC44" s="1414"/>
      <c r="CD44" s="1413"/>
      <c r="CE44" s="1412"/>
      <c r="CF44" s="1414"/>
      <c r="CG44" s="1413"/>
      <c r="CH44" s="1412"/>
      <c r="CI44" s="1414"/>
      <c r="CJ44" s="1413"/>
      <c r="CK44" s="1412"/>
      <c r="CL44" s="1414"/>
      <c r="CM44" s="1413"/>
      <c r="CN44" s="1412"/>
      <c r="CO44" s="1413"/>
      <c r="CP44" s="1412"/>
      <c r="CQ44" s="1414"/>
      <c r="CR44" s="1413"/>
      <c r="CS44" s="1412"/>
      <c r="CT44" s="1414"/>
      <c r="CU44" s="1413"/>
      <c r="CV44" s="118"/>
      <c r="CW44" s="1412"/>
      <c r="CX44" s="1414"/>
      <c r="CY44" s="1414"/>
      <c r="CZ44" s="1413"/>
      <c r="DA44" s="117">
        <f t="shared" si="1"/>
        <v>0</v>
      </c>
    </row>
    <row r="45" spans="1:105" hidden="1">
      <c r="A45" s="115">
        <v>39</v>
      </c>
      <c r="B45" s="1412"/>
      <c r="C45" s="1414"/>
      <c r="D45" s="1414"/>
      <c r="E45" s="1413"/>
      <c r="F45" s="1412"/>
      <c r="G45" s="1414"/>
      <c r="H45" s="1413"/>
      <c r="I45" s="1412"/>
      <c r="J45" s="1413"/>
      <c r="K45" s="1412"/>
      <c r="L45" s="1413"/>
      <c r="M45" s="1412"/>
      <c r="N45" s="1413"/>
      <c r="O45" s="1412"/>
      <c r="P45" s="1413"/>
      <c r="Q45" s="1412"/>
      <c r="R45" s="1413"/>
      <c r="S45" s="1412"/>
      <c r="T45" s="1413"/>
      <c r="U45" s="1412"/>
      <c r="V45" s="1414"/>
      <c r="W45" s="1413"/>
      <c r="X45" s="1412"/>
      <c r="Y45" s="1414"/>
      <c r="Z45" s="1413"/>
      <c r="AA45" s="1412"/>
      <c r="AB45" s="1413"/>
      <c r="AC45" s="1412"/>
      <c r="AD45" s="1413"/>
      <c r="AE45" s="1412"/>
      <c r="AF45" s="1413"/>
      <c r="AG45" s="1412"/>
      <c r="AH45" s="1413"/>
      <c r="AI45" s="1412"/>
      <c r="AJ45" s="1413"/>
      <c r="AK45" s="1412"/>
      <c r="AL45" s="1413"/>
      <c r="AM45" s="1412"/>
      <c r="AN45" s="1413"/>
      <c r="AO45" s="1412"/>
      <c r="AP45" s="1414"/>
      <c r="AQ45" s="1414"/>
      <c r="AR45" s="1413"/>
      <c r="AS45" s="1412"/>
      <c r="AT45" s="1414"/>
      <c r="AU45" s="1413"/>
      <c r="AV45" s="1412"/>
      <c r="AW45" s="1413"/>
      <c r="AX45" s="1412"/>
      <c r="AY45" s="1413"/>
      <c r="AZ45" s="118"/>
      <c r="BA45" s="1412"/>
      <c r="BB45" s="1413"/>
      <c r="BC45" s="1412"/>
      <c r="BD45" s="1413"/>
      <c r="BE45" s="1412"/>
      <c r="BF45" s="1413"/>
      <c r="BG45" s="1412"/>
      <c r="BH45" s="1413"/>
      <c r="BI45" s="1412"/>
      <c r="BJ45" s="1414"/>
      <c r="BK45" s="1414"/>
      <c r="BL45" s="1413"/>
      <c r="BM45" s="1412"/>
      <c r="BN45" s="1414"/>
      <c r="BO45" s="1413"/>
      <c r="BP45" s="1412"/>
      <c r="BQ45" s="1413"/>
      <c r="BR45" s="1412"/>
      <c r="BS45" s="1413"/>
      <c r="BT45" s="118"/>
      <c r="BU45" s="1412"/>
      <c r="BV45" s="1414"/>
      <c r="BW45" s="1413"/>
      <c r="BX45" s="1412"/>
      <c r="BY45" s="1413"/>
      <c r="BZ45" s="1412"/>
      <c r="CA45" s="1413"/>
      <c r="CB45" s="1412"/>
      <c r="CC45" s="1414"/>
      <c r="CD45" s="1413"/>
      <c r="CE45" s="1412"/>
      <c r="CF45" s="1414"/>
      <c r="CG45" s="1413"/>
      <c r="CH45" s="1412"/>
      <c r="CI45" s="1414"/>
      <c r="CJ45" s="1413"/>
      <c r="CK45" s="1412"/>
      <c r="CL45" s="1414"/>
      <c r="CM45" s="1413"/>
      <c r="CN45" s="1412"/>
      <c r="CO45" s="1413"/>
      <c r="CP45" s="1412"/>
      <c r="CQ45" s="1414"/>
      <c r="CR45" s="1413"/>
      <c r="CS45" s="1412"/>
      <c r="CT45" s="1414"/>
      <c r="CU45" s="1413"/>
      <c r="CV45" s="118"/>
      <c r="CW45" s="1412"/>
      <c r="CX45" s="1414"/>
      <c r="CY45" s="1414"/>
      <c r="CZ45" s="1413"/>
      <c r="DA45" s="117">
        <f t="shared" si="1"/>
        <v>0</v>
      </c>
    </row>
    <row r="46" spans="1:105" hidden="1">
      <c r="A46" s="115">
        <v>40</v>
      </c>
      <c r="B46" s="1412"/>
      <c r="C46" s="1414"/>
      <c r="D46" s="1414"/>
      <c r="E46" s="1413"/>
      <c r="F46" s="1412"/>
      <c r="G46" s="1414"/>
      <c r="H46" s="1413"/>
      <c r="I46" s="1412"/>
      <c r="J46" s="1413"/>
      <c r="K46" s="1412"/>
      <c r="L46" s="1413"/>
      <c r="M46" s="1412"/>
      <c r="N46" s="1413"/>
      <c r="O46" s="1412"/>
      <c r="P46" s="1413"/>
      <c r="Q46" s="1412"/>
      <c r="R46" s="1413"/>
      <c r="S46" s="1412"/>
      <c r="T46" s="1413"/>
      <c r="U46" s="1412"/>
      <c r="V46" s="1414"/>
      <c r="W46" s="1413"/>
      <c r="X46" s="1412"/>
      <c r="Y46" s="1414"/>
      <c r="Z46" s="1413"/>
      <c r="AA46" s="1412"/>
      <c r="AB46" s="1413"/>
      <c r="AC46" s="1412"/>
      <c r="AD46" s="1413"/>
      <c r="AE46" s="1412"/>
      <c r="AF46" s="1413"/>
      <c r="AG46" s="1412"/>
      <c r="AH46" s="1413"/>
      <c r="AI46" s="1412"/>
      <c r="AJ46" s="1413"/>
      <c r="AK46" s="1412"/>
      <c r="AL46" s="1413"/>
      <c r="AM46" s="1412"/>
      <c r="AN46" s="1413"/>
      <c r="AO46" s="1412"/>
      <c r="AP46" s="1414"/>
      <c r="AQ46" s="1414"/>
      <c r="AR46" s="1413"/>
      <c r="AS46" s="1412"/>
      <c r="AT46" s="1414"/>
      <c r="AU46" s="1413"/>
      <c r="AV46" s="1412"/>
      <c r="AW46" s="1413"/>
      <c r="AX46" s="1412"/>
      <c r="AY46" s="1413"/>
      <c r="AZ46" s="118"/>
      <c r="BA46" s="1412"/>
      <c r="BB46" s="1413"/>
      <c r="BC46" s="1412"/>
      <c r="BD46" s="1413"/>
      <c r="BE46" s="1412"/>
      <c r="BF46" s="1413"/>
      <c r="BG46" s="1412"/>
      <c r="BH46" s="1413"/>
      <c r="BI46" s="1412"/>
      <c r="BJ46" s="1414"/>
      <c r="BK46" s="1414"/>
      <c r="BL46" s="1413"/>
      <c r="BM46" s="1412"/>
      <c r="BN46" s="1414"/>
      <c r="BO46" s="1413"/>
      <c r="BP46" s="1412"/>
      <c r="BQ46" s="1413"/>
      <c r="BR46" s="1412"/>
      <c r="BS46" s="1413"/>
      <c r="BT46" s="118"/>
      <c r="BU46" s="1412"/>
      <c r="BV46" s="1414"/>
      <c r="BW46" s="1413"/>
      <c r="BX46" s="1412"/>
      <c r="BY46" s="1413"/>
      <c r="BZ46" s="1412"/>
      <c r="CA46" s="1413"/>
      <c r="CB46" s="1412"/>
      <c r="CC46" s="1414"/>
      <c r="CD46" s="1413"/>
      <c r="CE46" s="1412"/>
      <c r="CF46" s="1414"/>
      <c r="CG46" s="1413"/>
      <c r="CH46" s="1412"/>
      <c r="CI46" s="1414"/>
      <c r="CJ46" s="1413"/>
      <c r="CK46" s="1412"/>
      <c r="CL46" s="1414"/>
      <c r="CM46" s="1413"/>
      <c r="CN46" s="1412"/>
      <c r="CO46" s="1413"/>
      <c r="CP46" s="1412"/>
      <c r="CQ46" s="1414"/>
      <c r="CR46" s="1413"/>
      <c r="CS46" s="1412"/>
      <c r="CT46" s="1414"/>
      <c r="CU46" s="1413"/>
      <c r="CV46" s="118"/>
      <c r="CW46" s="1412"/>
      <c r="CX46" s="1414"/>
      <c r="CY46" s="1414"/>
      <c r="CZ46" s="1413"/>
      <c r="DA46" s="117">
        <f t="shared" si="1"/>
        <v>0</v>
      </c>
    </row>
    <row r="47" spans="1:105" hidden="1">
      <c r="A47" s="115">
        <v>41</v>
      </c>
      <c r="B47" s="1412"/>
      <c r="C47" s="1414"/>
      <c r="D47" s="1414"/>
      <c r="E47" s="1413"/>
      <c r="F47" s="1412"/>
      <c r="G47" s="1414"/>
      <c r="H47" s="1413"/>
      <c r="I47" s="1412"/>
      <c r="J47" s="1413"/>
      <c r="K47" s="1412"/>
      <c r="L47" s="1413"/>
      <c r="M47" s="1412"/>
      <c r="N47" s="1413"/>
      <c r="O47" s="1412"/>
      <c r="P47" s="1413"/>
      <c r="Q47" s="1412"/>
      <c r="R47" s="1413"/>
      <c r="S47" s="1412"/>
      <c r="T47" s="1413"/>
      <c r="U47" s="1412"/>
      <c r="V47" s="1414"/>
      <c r="W47" s="1413"/>
      <c r="X47" s="1412"/>
      <c r="Y47" s="1414"/>
      <c r="Z47" s="1413"/>
      <c r="AA47" s="1412"/>
      <c r="AB47" s="1413"/>
      <c r="AC47" s="1412"/>
      <c r="AD47" s="1413"/>
      <c r="AE47" s="1412"/>
      <c r="AF47" s="1413"/>
      <c r="AG47" s="1412"/>
      <c r="AH47" s="1413"/>
      <c r="AI47" s="1412"/>
      <c r="AJ47" s="1413"/>
      <c r="AK47" s="1412"/>
      <c r="AL47" s="1413"/>
      <c r="AM47" s="1412"/>
      <c r="AN47" s="1413"/>
      <c r="AO47" s="1412"/>
      <c r="AP47" s="1414"/>
      <c r="AQ47" s="1414"/>
      <c r="AR47" s="1413"/>
      <c r="AS47" s="1412"/>
      <c r="AT47" s="1414"/>
      <c r="AU47" s="1413"/>
      <c r="AV47" s="1412"/>
      <c r="AW47" s="1413"/>
      <c r="AX47" s="1412"/>
      <c r="AY47" s="1413"/>
      <c r="AZ47" s="118"/>
      <c r="BA47" s="1412"/>
      <c r="BB47" s="1413"/>
      <c r="BC47" s="1412"/>
      <c r="BD47" s="1413"/>
      <c r="BE47" s="1412"/>
      <c r="BF47" s="1413"/>
      <c r="BG47" s="1412"/>
      <c r="BH47" s="1413"/>
      <c r="BI47" s="1412"/>
      <c r="BJ47" s="1414"/>
      <c r="BK47" s="1414"/>
      <c r="BL47" s="1413"/>
      <c r="BM47" s="1412"/>
      <c r="BN47" s="1414"/>
      <c r="BO47" s="1413"/>
      <c r="BP47" s="1412"/>
      <c r="BQ47" s="1413"/>
      <c r="BR47" s="1412"/>
      <c r="BS47" s="1413"/>
      <c r="BT47" s="118"/>
      <c r="BU47" s="1412"/>
      <c r="BV47" s="1414"/>
      <c r="BW47" s="1413"/>
      <c r="BX47" s="1412"/>
      <c r="BY47" s="1413"/>
      <c r="BZ47" s="1412"/>
      <c r="CA47" s="1413"/>
      <c r="CB47" s="1412"/>
      <c r="CC47" s="1414"/>
      <c r="CD47" s="1413"/>
      <c r="CE47" s="1412"/>
      <c r="CF47" s="1414"/>
      <c r="CG47" s="1413"/>
      <c r="CH47" s="1412"/>
      <c r="CI47" s="1414"/>
      <c r="CJ47" s="1413"/>
      <c r="CK47" s="1412"/>
      <c r="CL47" s="1414"/>
      <c r="CM47" s="1413"/>
      <c r="CN47" s="1412"/>
      <c r="CO47" s="1413"/>
      <c r="CP47" s="1412"/>
      <c r="CQ47" s="1414"/>
      <c r="CR47" s="1413"/>
      <c r="CS47" s="1412"/>
      <c r="CT47" s="1414"/>
      <c r="CU47" s="1413"/>
      <c r="CV47" s="118"/>
      <c r="CW47" s="1412"/>
      <c r="CX47" s="1414"/>
      <c r="CY47" s="1414"/>
      <c r="CZ47" s="1413"/>
      <c r="DA47" s="117">
        <f t="shared" si="1"/>
        <v>0</v>
      </c>
    </row>
    <row r="48" spans="1:105" hidden="1">
      <c r="A48" s="115">
        <v>42</v>
      </c>
      <c r="B48" s="1412"/>
      <c r="C48" s="1414"/>
      <c r="D48" s="1414"/>
      <c r="E48" s="1413"/>
      <c r="F48" s="1412"/>
      <c r="G48" s="1414"/>
      <c r="H48" s="1413"/>
      <c r="I48" s="1412"/>
      <c r="J48" s="1413"/>
      <c r="K48" s="1412"/>
      <c r="L48" s="1413"/>
      <c r="M48" s="1412"/>
      <c r="N48" s="1413"/>
      <c r="O48" s="1412"/>
      <c r="P48" s="1413"/>
      <c r="Q48" s="1412"/>
      <c r="R48" s="1413"/>
      <c r="S48" s="1412"/>
      <c r="T48" s="1413"/>
      <c r="U48" s="1412"/>
      <c r="V48" s="1414"/>
      <c r="W48" s="1413"/>
      <c r="X48" s="1412"/>
      <c r="Y48" s="1414"/>
      <c r="Z48" s="1413"/>
      <c r="AA48" s="1412"/>
      <c r="AB48" s="1413"/>
      <c r="AC48" s="1412"/>
      <c r="AD48" s="1413"/>
      <c r="AE48" s="1412"/>
      <c r="AF48" s="1413"/>
      <c r="AG48" s="1412"/>
      <c r="AH48" s="1413"/>
      <c r="AI48" s="1412"/>
      <c r="AJ48" s="1413"/>
      <c r="AK48" s="1412"/>
      <c r="AL48" s="1413"/>
      <c r="AM48" s="1412"/>
      <c r="AN48" s="1413"/>
      <c r="AO48" s="1412"/>
      <c r="AP48" s="1414"/>
      <c r="AQ48" s="1414"/>
      <c r="AR48" s="1413"/>
      <c r="AS48" s="1412"/>
      <c r="AT48" s="1414"/>
      <c r="AU48" s="1413"/>
      <c r="AV48" s="1412"/>
      <c r="AW48" s="1413"/>
      <c r="AX48" s="1412"/>
      <c r="AY48" s="1413"/>
      <c r="AZ48" s="118"/>
      <c r="BA48" s="1412"/>
      <c r="BB48" s="1413"/>
      <c r="BC48" s="1412"/>
      <c r="BD48" s="1413"/>
      <c r="BE48" s="1412"/>
      <c r="BF48" s="1413"/>
      <c r="BG48" s="1412"/>
      <c r="BH48" s="1413"/>
      <c r="BI48" s="1412"/>
      <c r="BJ48" s="1414"/>
      <c r="BK48" s="1414"/>
      <c r="BL48" s="1413"/>
      <c r="BM48" s="1412"/>
      <c r="BN48" s="1414"/>
      <c r="BO48" s="1413"/>
      <c r="BP48" s="1412"/>
      <c r="BQ48" s="1413"/>
      <c r="BR48" s="1412"/>
      <c r="BS48" s="1413"/>
      <c r="BT48" s="118"/>
      <c r="BU48" s="1412"/>
      <c r="BV48" s="1414"/>
      <c r="BW48" s="1413"/>
      <c r="BX48" s="1412"/>
      <c r="BY48" s="1413"/>
      <c r="BZ48" s="1412"/>
      <c r="CA48" s="1413"/>
      <c r="CB48" s="1412"/>
      <c r="CC48" s="1414"/>
      <c r="CD48" s="1413"/>
      <c r="CE48" s="1412"/>
      <c r="CF48" s="1414"/>
      <c r="CG48" s="1413"/>
      <c r="CH48" s="1412"/>
      <c r="CI48" s="1414"/>
      <c r="CJ48" s="1413"/>
      <c r="CK48" s="1412"/>
      <c r="CL48" s="1414"/>
      <c r="CM48" s="1413"/>
      <c r="CN48" s="1412"/>
      <c r="CO48" s="1413"/>
      <c r="CP48" s="1412"/>
      <c r="CQ48" s="1414"/>
      <c r="CR48" s="1413"/>
      <c r="CS48" s="1412"/>
      <c r="CT48" s="1414"/>
      <c r="CU48" s="1413"/>
      <c r="CV48" s="118"/>
      <c r="CW48" s="1412"/>
      <c r="CX48" s="1414"/>
      <c r="CY48" s="1414"/>
      <c r="CZ48" s="1413"/>
      <c r="DA48" s="117">
        <f t="shared" si="1"/>
        <v>0</v>
      </c>
    </row>
    <row r="49" spans="1:105" hidden="1">
      <c r="A49" s="115">
        <v>43</v>
      </c>
      <c r="B49" s="1412"/>
      <c r="C49" s="1414"/>
      <c r="D49" s="1414"/>
      <c r="E49" s="1413"/>
      <c r="F49" s="1412"/>
      <c r="G49" s="1414"/>
      <c r="H49" s="1413"/>
      <c r="I49" s="1412"/>
      <c r="J49" s="1413"/>
      <c r="K49" s="1412"/>
      <c r="L49" s="1413"/>
      <c r="M49" s="1412"/>
      <c r="N49" s="1413"/>
      <c r="O49" s="1412"/>
      <c r="P49" s="1413"/>
      <c r="Q49" s="1412"/>
      <c r="R49" s="1413"/>
      <c r="S49" s="1412"/>
      <c r="T49" s="1413"/>
      <c r="U49" s="1412"/>
      <c r="V49" s="1414"/>
      <c r="W49" s="1413"/>
      <c r="X49" s="1412"/>
      <c r="Y49" s="1414"/>
      <c r="Z49" s="1413"/>
      <c r="AA49" s="1412"/>
      <c r="AB49" s="1413"/>
      <c r="AC49" s="1412"/>
      <c r="AD49" s="1413"/>
      <c r="AE49" s="1412"/>
      <c r="AF49" s="1413"/>
      <c r="AG49" s="1412"/>
      <c r="AH49" s="1413"/>
      <c r="AI49" s="1412"/>
      <c r="AJ49" s="1413"/>
      <c r="AK49" s="1412"/>
      <c r="AL49" s="1413"/>
      <c r="AM49" s="1412"/>
      <c r="AN49" s="1413"/>
      <c r="AO49" s="1412"/>
      <c r="AP49" s="1414"/>
      <c r="AQ49" s="1414"/>
      <c r="AR49" s="1413"/>
      <c r="AS49" s="1412"/>
      <c r="AT49" s="1414"/>
      <c r="AU49" s="1413"/>
      <c r="AV49" s="1412"/>
      <c r="AW49" s="1413"/>
      <c r="AX49" s="1412"/>
      <c r="AY49" s="1413"/>
      <c r="AZ49" s="118"/>
      <c r="BA49" s="1412"/>
      <c r="BB49" s="1413"/>
      <c r="BC49" s="1412"/>
      <c r="BD49" s="1413"/>
      <c r="BE49" s="1412"/>
      <c r="BF49" s="1413"/>
      <c r="BG49" s="1412"/>
      <c r="BH49" s="1413"/>
      <c r="BI49" s="1412"/>
      <c r="BJ49" s="1414"/>
      <c r="BK49" s="1414"/>
      <c r="BL49" s="1413"/>
      <c r="BM49" s="1412"/>
      <c r="BN49" s="1414"/>
      <c r="BO49" s="1413"/>
      <c r="BP49" s="1412"/>
      <c r="BQ49" s="1413"/>
      <c r="BR49" s="1412"/>
      <c r="BS49" s="1413"/>
      <c r="BT49" s="118"/>
      <c r="BU49" s="1412"/>
      <c r="BV49" s="1414"/>
      <c r="BW49" s="1413"/>
      <c r="BX49" s="1412"/>
      <c r="BY49" s="1413"/>
      <c r="BZ49" s="1412"/>
      <c r="CA49" s="1413"/>
      <c r="CB49" s="1412"/>
      <c r="CC49" s="1414"/>
      <c r="CD49" s="1413"/>
      <c r="CE49" s="1412"/>
      <c r="CF49" s="1414"/>
      <c r="CG49" s="1413"/>
      <c r="CH49" s="1412"/>
      <c r="CI49" s="1414"/>
      <c r="CJ49" s="1413"/>
      <c r="CK49" s="1412"/>
      <c r="CL49" s="1414"/>
      <c r="CM49" s="1413"/>
      <c r="CN49" s="1412"/>
      <c r="CO49" s="1413"/>
      <c r="CP49" s="1412"/>
      <c r="CQ49" s="1414"/>
      <c r="CR49" s="1413"/>
      <c r="CS49" s="1412"/>
      <c r="CT49" s="1414"/>
      <c r="CU49" s="1413"/>
      <c r="CV49" s="118"/>
      <c r="CW49" s="1412"/>
      <c r="CX49" s="1414"/>
      <c r="CY49" s="1414"/>
      <c r="CZ49" s="1413"/>
      <c r="DA49" s="117">
        <f t="shared" si="1"/>
        <v>0</v>
      </c>
    </row>
    <row r="50" spans="1:105" hidden="1">
      <c r="A50" s="115">
        <v>44</v>
      </c>
      <c r="B50" s="1412"/>
      <c r="C50" s="1414"/>
      <c r="D50" s="1414"/>
      <c r="E50" s="1413"/>
      <c r="F50" s="1412"/>
      <c r="G50" s="1414"/>
      <c r="H50" s="1413"/>
      <c r="I50" s="1412"/>
      <c r="J50" s="1413"/>
      <c r="K50" s="1412"/>
      <c r="L50" s="1413"/>
      <c r="M50" s="1412"/>
      <c r="N50" s="1413"/>
      <c r="O50" s="1412"/>
      <c r="P50" s="1413"/>
      <c r="Q50" s="1412"/>
      <c r="R50" s="1413"/>
      <c r="S50" s="1412"/>
      <c r="T50" s="1413"/>
      <c r="U50" s="1412"/>
      <c r="V50" s="1414"/>
      <c r="W50" s="1413"/>
      <c r="X50" s="1412"/>
      <c r="Y50" s="1414"/>
      <c r="Z50" s="1413"/>
      <c r="AA50" s="1412"/>
      <c r="AB50" s="1413"/>
      <c r="AC50" s="1412"/>
      <c r="AD50" s="1413"/>
      <c r="AE50" s="1412"/>
      <c r="AF50" s="1413"/>
      <c r="AG50" s="1412"/>
      <c r="AH50" s="1413"/>
      <c r="AI50" s="1412"/>
      <c r="AJ50" s="1413"/>
      <c r="AK50" s="1412"/>
      <c r="AL50" s="1413"/>
      <c r="AM50" s="1412"/>
      <c r="AN50" s="1413"/>
      <c r="AO50" s="1412"/>
      <c r="AP50" s="1414"/>
      <c r="AQ50" s="1414"/>
      <c r="AR50" s="1413"/>
      <c r="AS50" s="1412"/>
      <c r="AT50" s="1414"/>
      <c r="AU50" s="1413"/>
      <c r="AV50" s="1412"/>
      <c r="AW50" s="1413"/>
      <c r="AX50" s="1412"/>
      <c r="AY50" s="1413"/>
      <c r="AZ50" s="118"/>
      <c r="BA50" s="1412"/>
      <c r="BB50" s="1413"/>
      <c r="BC50" s="1412"/>
      <c r="BD50" s="1413"/>
      <c r="BE50" s="1412"/>
      <c r="BF50" s="1413"/>
      <c r="BG50" s="1412"/>
      <c r="BH50" s="1413"/>
      <c r="BI50" s="1412"/>
      <c r="BJ50" s="1414"/>
      <c r="BK50" s="1414"/>
      <c r="BL50" s="1413"/>
      <c r="BM50" s="1412"/>
      <c r="BN50" s="1414"/>
      <c r="BO50" s="1413"/>
      <c r="BP50" s="1412"/>
      <c r="BQ50" s="1413"/>
      <c r="BR50" s="1412"/>
      <c r="BS50" s="1413"/>
      <c r="BT50" s="118"/>
      <c r="BU50" s="1412"/>
      <c r="BV50" s="1414"/>
      <c r="BW50" s="1413"/>
      <c r="BX50" s="1412"/>
      <c r="BY50" s="1413"/>
      <c r="BZ50" s="1412"/>
      <c r="CA50" s="1413"/>
      <c r="CB50" s="1412"/>
      <c r="CC50" s="1414"/>
      <c r="CD50" s="1413"/>
      <c r="CE50" s="1412"/>
      <c r="CF50" s="1414"/>
      <c r="CG50" s="1413"/>
      <c r="CH50" s="1412"/>
      <c r="CI50" s="1414"/>
      <c r="CJ50" s="1413"/>
      <c r="CK50" s="1412"/>
      <c r="CL50" s="1414"/>
      <c r="CM50" s="1413"/>
      <c r="CN50" s="1412"/>
      <c r="CO50" s="1413"/>
      <c r="CP50" s="1412"/>
      <c r="CQ50" s="1414"/>
      <c r="CR50" s="1413"/>
      <c r="CS50" s="1412"/>
      <c r="CT50" s="1414"/>
      <c r="CU50" s="1413"/>
      <c r="CV50" s="118"/>
      <c r="CW50" s="1412"/>
      <c r="CX50" s="1414"/>
      <c r="CY50" s="1414"/>
      <c r="CZ50" s="1413"/>
      <c r="DA50" s="117">
        <f t="shared" si="1"/>
        <v>0</v>
      </c>
    </row>
    <row r="51" spans="1:105" hidden="1">
      <c r="A51" s="115">
        <v>45</v>
      </c>
      <c r="B51" s="1412"/>
      <c r="C51" s="1414"/>
      <c r="D51" s="1414"/>
      <c r="E51" s="1413"/>
      <c r="F51" s="1412"/>
      <c r="G51" s="1414"/>
      <c r="H51" s="1413"/>
      <c r="I51" s="1412"/>
      <c r="J51" s="1413"/>
      <c r="K51" s="1412"/>
      <c r="L51" s="1413"/>
      <c r="M51" s="1412"/>
      <c r="N51" s="1413"/>
      <c r="O51" s="1412"/>
      <c r="P51" s="1413"/>
      <c r="Q51" s="1412"/>
      <c r="R51" s="1413"/>
      <c r="S51" s="1412"/>
      <c r="T51" s="1413"/>
      <c r="U51" s="1412"/>
      <c r="V51" s="1414"/>
      <c r="W51" s="1413"/>
      <c r="X51" s="1412"/>
      <c r="Y51" s="1414"/>
      <c r="Z51" s="1413"/>
      <c r="AA51" s="1412"/>
      <c r="AB51" s="1413"/>
      <c r="AC51" s="1412"/>
      <c r="AD51" s="1413"/>
      <c r="AE51" s="1412"/>
      <c r="AF51" s="1413"/>
      <c r="AG51" s="1412"/>
      <c r="AH51" s="1413"/>
      <c r="AI51" s="1412"/>
      <c r="AJ51" s="1413"/>
      <c r="AK51" s="1412"/>
      <c r="AL51" s="1413"/>
      <c r="AM51" s="1412"/>
      <c r="AN51" s="1413"/>
      <c r="AO51" s="1412"/>
      <c r="AP51" s="1414"/>
      <c r="AQ51" s="1414"/>
      <c r="AR51" s="1413"/>
      <c r="AS51" s="1412"/>
      <c r="AT51" s="1414"/>
      <c r="AU51" s="1413"/>
      <c r="AV51" s="1412"/>
      <c r="AW51" s="1413"/>
      <c r="AX51" s="1412"/>
      <c r="AY51" s="1413"/>
      <c r="AZ51" s="118"/>
      <c r="BA51" s="1412"/>
      <c r="BB51" s="1413"/>
      <c r="BC51" s="1412"/>
      <c r="BD51" s="1413"/>
      <c r="BE51" s="1412"/>
      <c r="BF51" s="1413"/>
      <c r="BG51" s="1412"/>
      <c r="BH51" s="1413"/>
      <c r="BI51" s="1412"/>
      <c r="BJ51" s="1414"/>
      <c r="BK51" s="1414"/>
      <c r="BL51" s="1413"/>
      <c r="BM51" s="1412"/>
      <c r="BN51" s="1414"/>
      <c r="BO51" s="1413"/>
      <c r="BP51" s="1412"/>
      <c r="BQ51" s="1413"/>
      <c r="BR51" s="1412"/>
      <c r="BS51" s="1413"/>
      <c r="BT51" s="118"/>
      <c r="BU51" s="1412"/>
      <c r="BV51" s="1414"/>
      <c r="BW51" s="1413"/>
      <c r="BX51" s="1412"/>
      <c r="BY51" s="1413"/>
      <c r="BZ51" s="1412"/>
      <c r="CA51" s="1413"/>
      <c r="CB51" s="1412"/>
      <c r="CC51" s="1414"/>
      <c r="CD51" s="1413"/>
      <c r="CE51" s="1412"/>
      <c r="CF51" s="1414"/>
      <c r="CG51" s="1413"/>
      <c r="CH51" s="1412"/>
      <c r="CI51" s="1414"/>
      <c r="CJ51" s="1413"/>
      <c r="CK51" s="1412"/>
      <c r="CL51" s="1414"/>
      <c r="CM51" s="1413"/>
      <c r="CN51" s="1412"/>
      <c r="CO51" s="1413"/>
      <c r="CP51" s="1412"/>
      <c r="CQ51" s="1414"/>
      <c r="CR51" s="1413"/>
      <c r="CS51" s="1412"/>
      <c r="CT51" s="1414"/>
      <c r="CU51" s="1413"/>
      <c r="CV51" s="118"/>
      <c r="CW51" s="1412"/>
      <c r="CX51" s="1414"/>
      <c r="CY51" s="1414"/>
      <c r="CZ51" s="1413"/>
      <c r="DA51" s="117">
        <f t="shared" si="1"/>
        <v>0</v>
      </c>
    </row>
    <row r="52" spans="1:105" hidden="1">
      <c r="A52" s="115">
        <v>46</v>
      </c>
      <c r="B52" s="1412"/>
      <c r="C52" s="1414"/>
      <c r="D52" s="1414"/>
      <c r="E52" s="1413"/>
      <c r="F52" s="1412"/>
      <c r="G52" s="1414"/>
      <c r="H52" s="1413"/>
      <c r="I52" s="1412"/>
      <c r="J52" s="1413"/>
      <c r="K52" s="1412"/>
      <c r="L52" s="1413"/>
      <c r="M52" s="1412"/>
      <c r="N52" s="1413"/>
      <c r="O52" s="1412"/>
      <c r="P52" s="1413"/>
      <c r="Q52" s="1412"/>
      <c r="R52" s="1413"/>
      <c r="S52" s="1412"/>
      <c r="T52" s="1413"/>
      <c r="U52" s="1412"/>
      <c r="V52" s="1414"/>
      <c r="W52" s="1413"/>
      <c r="X52" s="1412"/>
      <c r="Y52" s="1414"/>
      <c r="Z52" s="1413"/>
      <c r="AA52" s="1412"/>
      <c r="AB52" s="1413"/>
      <c r="AC52" s="1412"/>
      <c r="AD52" s="1413"/>
      <c r="AE52" s="1412"/>
      <c r="AF52" s="1413"/>
      <c r="AG52" s="1412"/>
      <c r="AH52" s="1413"/>
      <c r="AI52" s="1412"/>
      <c r="AJ52" s="1413"/>
      <c r="AK52" s="1412"/>
      <c r="AL52" s="1413"/>
      <c r="AM52" s="1412"/>
      <c r="AN52" s="1413"/>
      <c r="AO52" s="1412"/>
      <c r="AP52" s="1414"/>
      <c r="AQ52" s="1414"/>
      <c r="AR52" s="1413"/>
      <c r="AS52" s="1412"/>
      <c r="AT52" s="1414"/>
      <c r="AU52" s="1413"/>
      <c r="AV52" s="1412"/>
      <c r="AW52" s="1413"/>
      <c r="AX52" s="1412"/>
      <c r="AY52" s="1413"/>
      <c r="AZ52" s="118"/>
      <c r="BA52" s="1412"/>
      <c r="BB52" s="1413"/>
      <c r="BC52" s="1412"/>
      <c r="BD52" s="1413"/>
      <c r="BE52" s="1412"/>
      <c r="BF52" s="1413"/>
      <c r="BG52" s="1412"/>
      <c r="BH52" s="1413"/>
      <c r="BI52" s="1412"/>
      <c r="BJ52" s="1414"/>
      <c r="BK52" s="1414"/>
      <c r="BL52" s="1413"/>
      <c r="BM52" s="1412"/>
      <c r="BN52" s="1414"/>
      <c r="BO52" s="1413"/>
      <c r="BP52" s="1412"/>
      <c r="BQ52" s="1413"/>
      <c r="BR52" s="1412"/>
      <c r="BS52" s="1413"/>
      <c r="BT52" s="118"/>
      <c r="BU52" s="1412"/>
      <c r="BV52" s="1414"/>
      <c r="BW52" s="1413"/>
      <c r="BX52" s="1412"/>
      <c r="BY52" s="1413"/>
      <c r="BZ52" s="1412"/>
      <c r="CA52" s="1413"/>
      <c r="CB52" s="1412"/>
      <c r="CC52" s="1414"/>
      <c r="CD52" s="1413"/>
      <c r="CE52" s="1412"/>
      <c r="CF52" s="1414"/>
      <c r="CG52" s="1413"/>
      <c r="CH52" s="1412"/>
      <c r="CI52" s="1414"/>
      <c r="CJ52" s="1413"/>
      <c r="CK52" s="1412"/>
      <c r="CL52" s="1414"/>
      <c r="CM52" s="1413"/>
      <c r="CN52" s="1412"/>
      <c r="CO52" s="1413"/>
      <c r="CP52" s="1412"/>
      <c r="CQ52" s="1414"/>
      <c r="CR52" s="1413"/>
      <c r="CS52" s="1412"/>
      <c r="CT52" s="1414"/>
      <c r="CU52" s="1413"/>
      <c r="CV52" s="118"/>
      <c r="CW52" s="1412"/>
      <c r="CX52" s="1414"/>
      <c r="CY52" s="1414"/>
      <c r="CZ52" s="1413"/>
      <c r="DA52" s="117">
        <f t="shared" si="1"/>
        <v>0</v>
      </c>
    </row>
    <row r="53" spans="1:105" hidden="1">
      <c r="A53" s="115">
        <v>47</v>
      </c>
      <c r="B53" s="1412"/>
      <c r="C53" s="1414"/>
      <c r="D53" s="1414"/>
      <c r="E53" s="1413"/>
      <c r="F53" s="1412"/>
      <c r="G53" s="1414"/>
      <c r="H53" s="1413"/>
      <c r="I53" s="1412"/>
      <c r="J53" s="1413"/>
      <c r="K53" s="1412"/>
      <c r="L53" s="1413"/>
      <c r="M53" s="1412"/>
      <c r="N53" s="1413"/>
      <c r="O53" s="1412"/>
      <c r="P53" s="1413"/>
      <c r="Q53" s="1412"/>
      <c r="R53" s="1413"/>
      <c r="S53" s="1412"/>
      <c r="T53" s="1413"/>
      <c r="U53" s="1412"/>
      <c r="V53" s="1414"/>
      <c r="W53" s="1413"/>
      <c r="X53" s="1412"/>
      <c r="Y53" s="1414"/>
      <c r="Z53" s="1413"/>
      <c r="AA53" s="1412"/>
      <c r="AB53" s="1413"/>
      <c r="AC53" s="1412"/>
      <c r="AD53" s="1413"/>
      <c r="AE53" s="1412"/>
      <c r="AF53" s="1413"/>
      <c r="AG53" s="1412"/>
      <c r="AH53" s="1413"/>
      <c r="AI53" s="1412"/>
      <c r="AJ53" s="1413"/>
      <c r="AK53" s="1412"/>
      <c r="AL53" s="1413"/>
      <c r="AM53" s="1412"/>
      <c r="AN53" s="1413"/>
      <c r="AO53" s="1412"/>
      <c r="AP53" s="1414"/>
      <c r="AQ53" s="1414"/>
      <c r="AR53" s="1413"/>
      <c r="AS53" s="1412"/>
      <c r="AT53" s="1414"/>
      <c r="AU53" s="1413"/>
      <c r="AV53" s="1412"/>
      <c r="AW53" s="1413"/>
      <c r="AX53" s="1412"/>
      <c r="AY53" s="1413"/>
      <c r="AZ53" s="118"/>
      <c r="BA53" s="1412"/>
      <c r="BB53" s="1413"/>
      <c r="BC53" s="1412"/>
      <c r="BD53" s="1413"/>
      <c r="BE53" s="1412"/>
      <c r="BF53" s="1413"/>
      <c r="BG53" s="1412"/>
      <c r="BH53" s="1413"/>
      <c r="BI53" s="1412"/>
      <c r="BJ53" s="1414"/>
      <c r="BK53" s="1414"/>
      <c r="BL53" s="1413"/>
      <c r="BM53" s="1412"/>
      <c r="BN53" s="1414"/>
      <c r="BO53" s="1413"/>
      <c r="BP53" s="1412"/>
      <c r="BQ53" s="1413"/>
      <c r="BR53" s="1412"/>
      <c r="BS53" s="1413"/>
      <c r="BT53" s="118"/>
      <c r="BU53" s="1412"/>
      <c r="BV53" s="1414"/>
      <c r="BW53" s="1413"/>
      <c r="BX53" s="1412"/>
      <c r="BY53" s="1413"/>
      <c r="BZ53" s="1412"/>
      <c r="CA53" s="1413"/>
      <c r="CB53" s="1412"/>
      <c r="CC53" s="1414"/>
      <c r="CD53" s="1413"/>
      <c r="CE53" s="1412"/>
      <c r="CF53" s="1414"/>
      <c r="CG53" s="1413"/>
      <c r="CH53" s="1412"/>
      <c r="CI53" s="1414"/>
      <c r="CJ53" s="1413"/>
      <c r="CK53" s="1412"/>
      <c r="CL53" s="1414"/>
      <c r="CM53" s="1413"/>
      <c r="CN53" s="1412"/>
      <c r="CO53" s="1413"/>
      <c r="CP53" s="1412"/>
      <c r="CQ53" s="1414"/>
      <c r="CR53" s="1413"/>
      <c r="CS53" s="1412"/>
      <c r="CT53" s="1414"/>
      <c r="CU53" s="1413"/>
      <c r="CV53" s="118"/>
      <c r="CW53" s="1412"/>
      <c r="CX53" s="1414"/>
      <c r="CY53" s="1414"/>
      <c r="CZ53" s="1413"/>
      <c r="DA53" s="117">
        <f t="shared" si="1"/>
        <v>0</v>
      </c>
    </row>
    <row r="54" spans="1:105" hidden="1">
      <c r="A54" s="115">
        <v>48</v>
      </c>
      <c r="B54" s="1412"/>
      <c r="C54" s="1414"/>
      <c r="D54" s="1414"/>
      <c r="E54" s="1413"/>
      <c r="F54" s="1412"/>
      <c r="G54" s="1414"/>
      <c r="H54" s="1413"/>
      <c r="I54" s="1412"/>
      <c r="J54" s="1413"/>
      <c r="K54" s="1412"/>
      <c r="L54" s="1413"/>
      <c r="M54" s="1412"/>
      <c r="N54" s="1413"/>
      <c r="O54" s="1412"/>
      <c r="P54" s="1413"/>
      <c r="Q54" s="1412"/>
      <c r="R54" s="1413"/>
      <c r="S54" s="1412"/>
      <c r="T54" s="1413"/>
      <c r="U54" s="1412"/>
      <c r="V54" s="1414"/>
      <c r="W54" s="1413"/>
      <c r="X54" s="1412"/>
      <c r="Y54" s="1414"/>
      <c r="Z54" s="1413"/>
      <c r="AA54" s="1412"/>
      <c r="AB54" s="1413"/>
      <c r="AC54" s="1412"/>
      <c r="AD54" s="1413"/>
      <c r="AE54" s="1412"/>
      <c r="AF54" s="1413"/>
      <c r="AG54" s="1412"/>
      <c r="AH54" s="1413"/>
      <c r="AI54" s="1412"/>
      <c r="AJ54" s="1413"/>
      <c r="AK54" s="1412"/>
      <c r="AL54" s="1413"/>
      <c r="AM54" s="1412"/>
      <c r="AN54" s="1413"/>
      <c r="AO54" s="1412"/>
      <c r="AP54" s="1414"/>
      <c r="AQ54" s="1414"/>
      <c r="AR54" s="1413"/>
      <c r="AS54" s="1412"/>
      <c r="AT54" s="1414"/>
      <c r="AU54" s="1413"/>
      <c r="AV54" s="1412"/>
      <c r="AW54" s="1413"/>
      <c r="AX54" s="1412"/>
      <c r="AY54" s="1413"/>
      <c r="AZ54" s="118"/>
      <c r="BA54" s="1412"/>
      <c r="BB54" s="1413"/>
      <c r="BC54" s="1412"/>
      <c r="BD54" s="1413"/>
      <c r="BE54" s="1412"/>
      <c r="BF54" s="1413"/>
      <c r="BG54" s="1412"/>
      <c r="BH54" s="1413"/>
      <c r="BI54" s="1412"/>
      <c r="BJ54" s="1414"/>
      <c r="BK54" s="1414"/>
      <c r="BL54" s="1413"/>
      <c r="BM54" s="1412"/>
      <c r="BN54" s="1414"/>
      <c r="BO54" s="1413"/>
      <c r="BP54" s="1412"/>
      <c r="BQ54" s="1413"/>
      <c r="BR54" s="1412"/>
      <c r="BS54" s="1413"/>
      <c r="BT54" s="118"/>
      <c r="BU54" s="1412"/>
      <c r="BV54" s="1414"/>
      <c r="BW54" s="1413"/>
      <c r="BX54" s="1412"/>
      <c r="BY54" s="1413"/>
      <c r="BZ54" s="1412"/>
      <c r="CA54" s="1413"/>
      <c r="CB54" s="1412"/>
      <c r="CC54" s="1414"/>
      <c r="CD54" s="1413"/>
      <c r="CE54" s="1412"/>
      <c r="CF54" s="1414"/>
      <c r="CG54" s="1413"/>
      <c r="CH54" s="1412"/>
      <c r="CI54" s="1414"/>
      <c r="CJ54" s="1413"/>
      <c r="CK54" s="1412"/>
      <c r="CL54" s="1414"/>
      <c r="CM54" s="1413"/>
      <c r="CN54" s="1412"/>
      <c r="CO54" s="1413"/>
      <c r="CP54" s="1412"/>
      <c r="CQ54" s="1414"/>
      <c r="CR54" s="1413"/>
      <c r="CS54" s="1412"/>
      <c r="CT54" s="1414"/>
      <c r="CU54" s="1413"/>
      <c r="CV54" s="118"/>
      <c r="CW54" s="1412"/>
      <c r="CX54" s="1414"/>
      <c r="CY54" s="1414"/>
      <c r="CZ54" s="1413"/>
      <c r="DA54" s="117">
        <f t="shared" si="1"/>
        <v>0</v>
      </c>
    </row>
    <row r="55" spans="1:105">
      <c r="A55" s="119"/>
      <c r="B55" s="1212" t="s">
        <v>420</v>
      </c>
      <c r="C55" s="1213"/>
      <c r="D55" s="1213"/>
      <c r="E55" s="1214"/>
      <c r="F55" s="1415"/>
      <c r="G55" s="1416"/>
      <c r="H55" s="1417"/>
      <c r="I55" s="1415"/>
      <c r="J55" s="1417"/>
      <c r="K55" s="1185">
        <v>27</v>
      </c>
      <c r="L55" s="1186"/>
      <c r="M55" s="1180">
        <v>760</v>
      </c>
      <c r="N55" s="1182"/>
      <c r="O55" s="1180">
        <v>667</v>
      </c>
      <c r="P55" s="1182"/>
      <c r="Q55" s="1177">
        <v>1427</v>
      </c>
      <c r="R55" s="1179"/>
      <c r="S55" s="1185">
        <v>26</v>
      </c>
      <c r="T55" s="1186"/>
      <c r="U55" s="1180">
        <v>681</v>
      </c>
      <c r="V55" s="1181"/>
      <c r="W55" s="1182"/>
      <c r="X55" s="1180">
        <v>576</v>
      </c>
      <c r="Y55" s="1181"/>
      <c r="Z55" s="1182"/>
      <c r="AA55" s="1180">
        <v>1257</v>
      </c>
      <c r="AB55" s="1182"/>
      <c r="AC55" s="1180">
        <v>23</v>
      </c>
      <c r="AD55" s="1182"/>
      <c r="AE55" s="1180">
        <v>608</v>
      </c>
      <c r="AF55" s="1182"/>
      <c r="AG55" s="1177">
        <v>528</v>
      </c>
      <c r="AH55" s="1179"/>
      <c r="AI55" s="1185">
        <v>1136</v>
      </c>
      <c r="AJ55" s="1186"/>
      <c r="AK55" s="1180">
        <v>76</v>
      </c>
      <c r="AL55" s="1182"/>
      <c r="AM55" s="1185">
        <v>2049</v>
      </c>
      <c r="AN55" s="1186"/>
      <c r="AO55" s="1185">
        <v>1771</v>
      </c>
      <c r="AP55" s="1187"/>
      <c r="AQ55" s="1187"/>
      <c r="AR55" s="1186"/>
      <c r="AS55" s="1185">
        <v>3820</v>
      </c>
      <c r="AT55" s="1187"/>
      <c r="AU55" s="1186"/>
      <c r="AV55" s="1185">
        <v>21</v>
      </c>
      <c r="AW55" s="1186"/>
      <c r="AX55" s="1185">
        <v>572</v>
      </c>
      <c r="AY55" s="1186"/>
      <c r="AZ55" s="120">
        <v>403</v>
      </c>
      <c r="BA55" s="1185">
        <v>975</v>
      </c>
      <c r="BB55" s="1186"/>
      <c r="BC55" s="1185">
        <v>21</v>
      </c>
      <c r="BD55" s="1186"/>
      <c r="BE55" s="1180">
        <v>487</v>
      </c>
      <c r="BF55" s="1182"/>
      <c r="BG55" s="1180">
        <v>337</v>
      </c>
      <c r="BH55" s="1182"/>
      <c r="BI55" s="1185">
        <v>824</v>
      </c>
      <c r="BJ55" s="1187"/>
      <c r="BK55" s="1187"/>
      <c r="BL55" s="1186"/>
      <c r="BM55" s="1180">
        <v>21</v>
      </c>
      <c r="BN55" s="1181"/>
      <c r="BO55" s="1182"/>
      <c r="BP55" s="1185">
        <v>412</v>
      </c>
      <c r="BQ55" s="1186"/>
      <c r="BR55" s="1185">
        <v>340</v>
      </c>
      <c r="BS55" s="1186"/>
      <c r="BT55" s="120">
        <v>752</v>
      </c>
      <c r="BU55" s="1185">
        <v>63</v>
      </c>
      <c r="BV55" s="1187"/>
      <c r="BW55" s="1186"/>
      <c r="BX55" s="1185">
        <v>1471</v>
      </c>
      <c r="BY55" s="1186"/>
      <c r="BZ55" s="1185">
        <v>1080</v>
      </c>
      <c r="CA55" s="1186"/>
      <c r="CB55" s="1177">
        <v>2551</v>
      </c>
      <c r="CC55" s="1178"/>
      <c r="CD55" s="1179"/>
      <c r="CE55" s="1185">
        <v>139</v>
      </c>
      <c r="CF55" s="1187"/>
      <c r="CG55" s="1186"/>
      <c r="CH55" s="1177">
        <v>3520</v>
      </c>
      <c r="CI55" s="1178"/>
      <c r="CJ55" s="1179"/>
      <c r="CK55" s="1185">
        <v>2851</v>
      </c>
      <c r="CL55" s="1187"/>
      <c r="CM55" s="1186"/>
      <c r="CN55" s="1185">
        <v>6371</v>
      </c>
      <c r="CO55" s="1186"/>
      <c r="CP55" s="1177">
        <v>101</v>
      </c>
      <c r="CQ55" s="1178"/>
      <c r="CR55" s="1179"/>
      <c r="CS55" s="1180">
        <v>41</v>
      </c>
      <c r="CT55" s="1181"/>
      <c r="CU55" s="1182"/>
      <c r="CV55" s="121">
        <v>142</v>
      </c>
      <c r="CW55" s="1183">
        <v>17</v>
      </c>
      <c r="CX55" s="1184"/>
      <c r="CY55" s="1184"/>
      <c r="CZ55" s="1184"/>
      <c r="DA55" s="117">
        <f>SUM(DA7:DA54)</f>
        <v>1530000</v>
      </c>
    </row>
    <row r="56" spans="1:105" ht="45" customHeight="1">
      <c r="A56" s="1436" t="s">
        <v>548</v>
      </c>
      <c r="B56" s="1436"/>
      <c r="C56" s="1436"/>
      <c r="D56" s="1436"/>
      <c r="E56" s="1436"/>
      <c r="F56" s="1436"/>
      <c r="G56" s="1436"/>
      <c r="H56" s="1436"/>
      <c r="I56" s="1436"/>
      <c r="J56" s="1436"/>
      <c r="K56" s="1436"/>
      <c r="L56" s="1436"/>
      <c r="M56" s="1436"/>
      <c r="N56" s="1436"/>
      <c r="O56" s="1436"/>
      <c r="P56" s="1436"/>
      <c r="Q56" s="1436"/>
      <c r="R56" s="1436"/>
      <c r="S56" s="1436"/>
      <c r="T56" s="1436"/>
      <c r="U56" s="1436"/>
      <c r="V56" s="1436"/>
      <c r="W56" s="1436"/>
      <c r="X56" s="1436"/>
      <c r="Y56" s="1436"/>
      <c r="Z56" s="1436"/>
      <c r="AA56" s="1436"/>
      <c r="AB56" s="1436"/>
      <c r="AC56" s="1436"/>
      <c r="AD56" s="1436"/>
      <c r="AE56" s="1436"/>
      <c r="AF56" s="1436"/>
      <c r="AG56" s="1436"/>
      <c r="AH56" s="1436"/>
      <c r="AI56" s="1436"/>
      <c r="AJ56" s="1436"/>
      <c r="AK56" s="1436"/>
      <c r="AL56" s="1436"/>
      <c r="AM56" s="1436"/>
      <c r="AN56" s="1436"/>
      <c r="AO56" s="1436"/>
      <c r="AP56" s="1436"/>
      <c r="AQ56" s="1436"/>
      <c r="AR56" s="1436"/>
      <c r="AS56" s="1436"/>
      <c r="AT56" s="1436"/>
      <c r="AU56" s="1436"/>
      <c r="AV56" s="1436"/>
      <c r="AW56" s="1436"/>
      <c r="AX56" s="1436"/>
      <c r="AY56" s="1436"/>
      <c r="AZ56" s="1436"/>
      <c r="BA56" s="1436"/>
      <c r="BB56" s="1436"/>
      <c r="BC56" s="1436"/>
      <c r="BD56" s="1436"/>
      <c r="BE56" s="1436"/>
      <c r="BF56" s="1436"/>
      <c r="BG56" s="1436"/>
      <c r="BH56" s="1436"/>
      <c r="BI56" s="1436"/>
      <c r="BJ56" s="1436"/>
      <c r="BK56" s="1436"/>
      <c r="BL56" s="1436"/>
      <c r="BM56" s="1436"/>
      <c r="BN56" s="1436"/>
      <c r="BO56" s="1436"/>
      <c r="BP56" s="1436"/>
      <c r="BQ56" s="1436"/>
      <c r="BR56" s="1436"/>
      <c r="BS56" s="1436"/>
      <c r="BT56" s="1436"/>
      <c r="BU56" s="1436"/>
      <c r="BV56" s="1436"/>
      <c r="BW56" s="1436"/>
      <c r="BX56" s="1436"/>
      <c r="BY56" s="1436"/>
      <c r="BZ56" s="1436"/>
      <c r="CA56" s="1436"/>
      <c r="CB56" s="1436"/>
      <c r="CC56" s="1436"/>
      <c r="CD56" s="1436"/>
      <c r="CE56" s="1436"/>
      <c r="CF56" s="1436"/>
      <c r="CG56" s="1436"/>
      <c r="CH56" s="1436"/>
      <c r="CI56" s="1436"/>
      <c r="CJ56" s="1436"/>
      <c r="CK56" s="1436"/>
      <c r="CL56" s="1436"/>
      <c r="CM56" s="1436"/>
      <c r="CN56" s="1436"/>
      <c r="CO56" s="1436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7">
        <f>CN55*20</f>
        <v>127420</v>
      </c>
    </row>
    <row r="57" spans="1:105">
      <c r="A57" s="1436" t="s">
        <v>549</v>
      </c>
      <c r="B57" s="1436"/>
      <c r="C57" s="1436"/>
      <c r="D57" s="1436"/>
      <c r="E57" s="1436"/>
      <c r="F57" s="1436"/>
      <c r="G57" s="1436"/>
      <c r="H57" s="1436"/>
      <c r="I57" s="1436"/>
      <c r="J57" s="1436"/>
      <c r="K57" s="1436"/>
      <c r="L57" s="1436"/>
      <c r="M57" s="1436"/>
      <c r="N57" s="1436"/>
      <c r="O57" s="1436"/>
      <c r="P57" s="1436"/>
      <c r="Q57" s="1436"/>
      <c r="R57" s="1436"/>
      <c r="S57" s="1436"/>
      <c r="T57" s="1436"/>
      <c r="U57" s="1436"/>
      <c r="V57" s="1436"/>
      <c r="W57" s="1436"/>
      <c r="X57" s="1436"/>
      <c r="Y57" s="1436"/>
      <c r="Z57" s="1436"/>
      <c r="AA57" s="1436"/>
      <c r="AB57" s="1436"/>
      <c r="AC57" s="1436"/>
      <c r="AD57" s="1436"/>
      <c r="AE57" s="1436"/>
      <c r="AF57" s="1436"/>
      <c r="AG57" s="1436"/>
      <c r="AH57" s="1436"/>
      <c r="AI57" s="1436"/>
      <c r="AJ57" s="1436"/>
      <c r="AK57" s="1436"/>
      <c r="AL57" s="1436"/>
      <c r="AM57" s="1436"/>
      <c r="AN57" s="1436"/>
      <c r="AO57" s="1436"/>
      <c r="AP57" s="1436"/>
      <c r="AQ57" s="1436"/>
      <c r="AR57" s="1436"/>
      <c r="AS57" s="1436"/>
      <c r="AT57" s="1436"/>
      <c r="AU57" s="1436"/>
      <c r="AV57" s="1436"/>
      <c r="AW57" s="1436"/>
      <c r="AX57" s="1436"/>
      <c r="AY57" s="1436"/>
      <c r="AZ57" s="1436"/>
      <c r="BA57" s="1436"/>
      <c r="BB57" s="1436"/>
      <c r="BC57" s="1436"/>
      <c r="BD57" s="1436"/>
      <c r="BE57" s="1436"/>
      <c r="BF57" s="1436"/>
      <c r="BG57" s="1436"/>
      <c r="BH57" s="1436"/>
      <c r="BI57" s="1436"/>
      <c r="BJ57" s="1436"/>
      <c r="BK57" s="1436"/>
      <c r="BL57" s="1436"/>
      <c r="BM57" s="1436"/>
      <c r="BN57" s="1436"/>
      <c r="BO57" s="1436"/>
      <c r="BP57" s="1436"/>
      <c r="BQ57" s="1436"/>
      <c r="BR57" s="1436"/>
      <c r="BS57" s="1436"/>
      <c r="BT57" s="1436"/>
      <c r="BU57" s="1436"/>
      <c r="BV57" s="1436"/>
      <c r="BW57" s="1436"/>
      <c r="BX57" s="1436"/>
      <c r="BY57" s="1436"/>
      <c r="BZ57" s="1436"/>
      <c r="CA57" s="1436"/>
      <c r="CB57" s="1436"/>
      <c r="CC57" s="1436"/>
      <c r="CD57" s="1436"/>
      <c r="CE57" s="1436"/>
      <c r="CF57" s="1436"/>
      <c r="CG57" s="1436"/>
      <c r="CH57" s="1436"/>
      <c r="CI57" s="1436"/>
      <c r="CJ57" s="1436"/>
      <c r="CK57" s="1436"/>
      <c r="CL57" s="1436"/>
      <c r="CM57" s="1436"/>
      <c r="CN57" s="1436"/>
      <c r="CO57" s="1436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7">
        <f>DA56+DA55</f>
        <v>1657420</v>
      </c>
    </row>
    <row r="58" spans="1:105">
      <c r="CH58" s="112">
        <f>COUNTIF(CN7:CO23, "&lt;1000")</f>
        <v>17</v>
      </c>
      <c r="CI58" s="112">
        <f>COUNTIF(CN7:CO23, "&gt;1000")</f>
        <v>0</v>
      </c>
    </row>
    <row r="60" spans="1:105">
      <c r="B60" s="112">
        <f>COUNTA(B7:E23)-COUNTIF(B32:F53,"GOVERNMENT SCIENCE")</f>
        <v>17</v>
      </c>
      <c r="C60" s="112">
        <f>COUNTIF(B7:E23,"GOVERNMENT SCIENCE")</f>
        <v>0</v>
      </c>
    </row>
  </sheetData>
  <mergeCells count="2018">
    <mergeCell ref="BX9:BY9"/>
    <mergeCell ref="BZ9:CA9"/>
    <mergeCell ref="CB9:CD9"/>
    <mergeCell ref="CP7:CR7"/>
    <mergeCell ref="BA9:BB9"/>
    <mergeCell ref="BC9:BD9"/>
    <mergeCell ref="A56:CO56"/>
    <mergeCell ref="A57:CO57"/>
    <mergeCell ref="AV7:AW7"/>
    <mergeCell ref="AX7:AY7"/>
    <mergeCell ref="BA7:BB7"/>
    <mergeCell ref="BC7:BD7"/>
    <mergeCell ref="AC7:AD7"/>
    <mergeCell ref="AE7:AF7"/>
    <mergeCell ref="AG7:AH7"/>
    <mergeCell ref="AI7:AJ7"/>
    <mergeCell ref="AK7:AL7"/>
    <mergeCell ref="AM7:AN7"/>
    <mergeCell ref="K7:L7"/>
    <mergeCell ref="M7:N7"/>
    <mergeCell ref="O7:P7"/>
    <mergeCell ref="Q7:R7"/>
    <mergeCell ref="S7:T7"/>
    <mergeCell ref="U7:W7"/>
    <mergeCell ref="X7:Z7"/>
    <mergeCell ref="AA7:AB7"/>
    <mergeCell ref="AV8:AW8"/>
    <mergeCell ref="AX8:AY8"/>
    <mergeCell ref="BA8:BB8"/>
    <mergeCell ref="BC8:BD8"/>
    <mergeCell ref="BE8:BF8"/>
    <mergeCell ref="AM8:AN8"/>
    <mergeCell ref="AO8:AR8"/>
    <mergeCell ref="I10:J10"/>
    <mergeCell ref="BU9:BW9"/>
    <mergeCell ref="AS9:AU9"/>
    <mergeCell ref="AV9:AW9"/>
    <mergeCell ref="AX9:AY9"/>
    <mergeCell ref="CS7:CU7"/>
    <mergeCell ref="B8:E8"/>
    <mergeCell ref="F8:H8"/>
    <mergeCell ref="I8:J8"/>
    <mergeCell ref="K8:L8"/>
    <mergeCell ref="M8:N8"/>
    <mergeCell ref="O8:P8"/>
    <mergeCell ref="BU7:BW7"/>
    <mergeCell ref="BX7:BY7"/>
    <mergeCell ref="BZ7:CA7"/>
    <mergeCell ref="CB7:CD7"/>
    <mergeCell ref="CE7:CG7"/>
    <mergeCell ref="CH7:CJ7"/>
    <mergeCell ref="BE7:BF7"/>
    <mergeCell ref="BG7:BH7"/>
    <mergeCell ref="BI7:BL7"/>
    <mergeCell ref="BM7:BO7"/>
    <mergeCell ref="BP7:BQ7"/>
    <mergeCell ref="AA8:AB8"/>
    <mergeCell ref="AC8:AD8"/>
    <mergeCell ref="CK7:CM7"/>
    <mergeCell ref="CN7:CO7"/>
    <mergeCell ref="BR7:BS7"/>
    <mergeCell ref="AO7:AR7"/>
    <mergeCell ref="AS7:AU7"/>
    <mergeCell ref="CN8:CO8"/>
    <mergeCell ref="CP8:CR8"/>
    <mergeCell ref="AE8:AF8"/>
    <mergeCell ref="AG8:AH8"/>
    <mergeCell ref="AI8:AJ8"/>
    <mergeCell ref="AK8:AL8"/>
    <mergeCell ref="CS8:CU8"/>
    <mergeCell ref="K10:L10"/>
    <mergeCell ref="CW8:CZ8"/>
    <mergeCell ref="B9:E9"/>
    <mergeCell ref="F9:H9"/>
    <mergeCell ref="I9:J9"/>
    <mergeCell ref="K9:L9"/>
    <mergeCell ref="M9:N9"/>
    <mergeCell ref="O9:P9"/>
    <mergeCell ref="BX8:BY8"/>
    <mergeCell ref="BZ8:CA8"/>
    <mergeCell ref="CB8:CD8"/>
    <mergeCell ref="CE8:CG8"/>
    <mergeCell ref="CH8:CJ8"/>
    <mergeCell ref="CK8:CM8"/>
    <mergeCell ref="BG8:BH8"/>
    <mergeCell ref="BI8:BL8"/>
    <mergeCell ref="BM8:BO8"/>
    <mergeCell ref="BP8:BQ8"/>
    <mergeCell ref="BR8:BS8"/>
    <mergeCell ref="BU8:BW8"/>
    <mergeCell ref="AS8:AU8"/>
    <mergeCell ref="CS9:CU9"/>
    <mergeCell ref="CW9:CZ9"/>
    <mergeCell ref="Q8:R8"/>
    <mergeCell ref="S8:T8"/>
    <mergeCell ref="U8:W8"/>
    <mergeCell ref="X8:Z8"/>
    <mergeCell ref="B10:E10"/>
    <mergeCell ref="F10:H10"/>
    <mergeCell ref="CP9:CR9"/>
    <mergeCell ref="AK9:AL9"/>
    <mergeCell ref="AM10:AN10"/>
    <mergeCell ref="AO10:AR10"/>
    <mergeCell ref="Q10:R10"/>
    <mergeCell ref="S10:T10"/>
    <mergeCell ref="U10:W10"/>
    <mergeCell ref="X10:Z10"/>
    <mergeCell ref="AA10:AB10"/>
    <mergeCell ref="AC10:AD10"/>
    <mergeCell ref="CN9:CO9"/>
    <mergeCell ref="AO9:AR9"/>
    <mergeCell ref="Q9:R9"/>
    <mergeCell ref="S9:T9"/>
    <mergeCell ref="U9:W9"/>
    <mergeCell ref="X9:Z9"/>
    <mergeCell ref="AA9:AB9"/>
    <mergeCell ref="AC9:AD9"/>
    <mergeCell ref="CE9:CG9"/>
    <mergeCell ref="CH9:CJ9"/>
    <mergeCell ref="CK9:CM9"/>
    <mergeCell ref="BG9:BH9"/>
    <mergeCell ref="BI9:BL9"/>
    <mergeCell ref="BM9:BO9"/>
    <mergeCell ref="BP9:BQ9"/>
    <mergeCell ref="BR9:BS9"/>
    <mergeCell ref="BE9:BF9"/>
    <mergeCell ref="AE9:AF9"/>
    <mergeCell ref="AG9:AH9"/>
    <mergeCell ref="AI9:AJ9"/>
    <mergeCell ref="AM9:AN9"/>
    <mergeCell ref="AX10:AY10"/>
    <mergeCell ref="BA10:BB10"/>
    <mergeCell ref="BC10:BD10"/>
    <mergeCell ref="AM11:AN11"/>
    <mergeCell ref="AO11:AR11"/>
    <mergeCell ref="Q11:R11"/>
    <mergeCell ref="S11:T11"/>
    <mergeCell ref="U11:W11"/>
    <mergeCell ref="X11:Z11"/>
    <mergeCell ref="AA11:AB11"/>
    <mergeCell ref="AC11:AD11"/>
    <mergeCell ref="BE10:BF10"/>
    <mergeCell ref="AE10:AF10"/>
    <mergeCell ref="AG10:AH10"/>
    <mergeCell ref="AI10:AJ10"/>
    <mergeCell ref="AK10:AL10"/>
    <mergeCell ref="CN10:CO10"/>
    <mergeCell ref="CP10:CR10"/>
    <mergeCell ref="CS10:CU10"/>
    <mergeCell ref="CW10:CZ10"/>
    <mergeCell ref="B11:E11"/>
    <mergeCell ref="F11:H11"/>
    <mergeCell ref="I11:J11"/>
    <mergeCell ref="K11:L11"/>
    <mergeCell ref="M11:N11"/>
    <mergeCell ref="O11:P11"/>
    <mergeCell ref="BX10:BY10"/>
    <mergeCell ref="BZ10:CA10"/>
    <mergeCell ref="CB10:CD10"/>
    <mergeCell ref="CE10:CG10"/>
    <mergeCell ref="CH10:CJ10"/>
    <mergeCell ref="CK10:CM10"/>
    <mergeCell ref="BG10:BH10"/>
    <mergeCell ref="BI10:BL10"/>
    <mergeCell ref="BM10:BO10"/>
    <mergeCell ref="BP10:BQ10"/>
    <mergeCell ref="BR10:BS10"/>
    <mergeCell ref="BU10:BW10"/>
    <mergeCell ref="AS10:AU10"/>
    <mergeCell ref="AV10:AW10"/>
    <mergeCell ref="CN11:CO11"/>
    <mergeCell ref="CP11:CR11"/>
    <mergeCell ref="CS11:CU11"/>
    <mergeCell ref="CW11:CZ11"/>
    <mergeCell ref="M10:N10"/>
    <mergeCell ref="O10:P10"/>
    <mergeCell ref="B12:E12"/>
    <mergeCell ref="F12:H12"/>
    <mergeCell ref="I12:J12"/>
    <mergeCell ref="K12:L12"/>
    <mergeCell ref="M12:N12"/>
    <mergeCell ref="O12:P12"/>
    <mergeCell ref="BX11:BY11"/>
    <mergeCell ref="BZ11:CA11"/>
    <mergeCell ref="CB11:CD11"/>
    <mergeCell ref="CE11:CG11"/>
    <mergeCell ref="CH11:CJ11"/>
    <mergeCell ref="CK11:CM11"/>
    <mergeCell ref="BG11:BH11"/>
    <mergeCell ref="BI11:BL11"/>
    <mergeCell ref="BM11:BO11"/>
    <mergeCell ref="BP11:BQ11"/>
    <mergeCell ref="BR11:BS11"/>
    <mergeCell ref="BU11:BW11"/>
    <mergeCell ref="AS11:AU11"/>
    <mergeCell ref="AV11:AW11"/>
    <mergeCell ref="AX11:AY11"/>
    <mergeCell ref="BA11:BB11"/>
    <mergeCell ref="BC11:BD11"/>
    <mergeCell ref="BE11:BF11"/>
    <mergeCell ref="AE11:AF11"/>
    <mergeCell ref="AG11:AH11"/>
    <mergeCell ref="AI11:AJ11"/>
    <mergeCell ref="AK11:AL11"/>
    <mergeCell ref="CP12:CR12"/>
    <mergeCell ref="CS12:CU12"/>
    <mergeCell ref="CW12:CZ12"/>
    <mergeCell ref="B13:E13"/>
    <mergeCell ref="F13:H13"/>
    <mergeCell ref="I13:J13"/>
    <mergeCell ref="K13:L13"/>
    <mergeCell ref="M13:N13"/>
    <mergeCell ref="O13:P13"/>
    <mergeCell ref="BX12:BY12"/>
    <mergeCell ref="BZ12:CA12"/>
    <mergeCell ref="CB12:CD12"/>
    <mergeCell ref="CE12:CG12"/>
    <mergeCell ref="CH12:CJ12"/>
    <mergeCell ref="CK12:CM12"/>
    <mergeCell ref="BG12:BH12"/>
    <mergeCell ref="BI12:BL12"/>
    <mergeCell ref="BM12:BO12"/>
    <mergeCell ref="BP12:BQ12"/>
    <mergeCell ref="BR12:BS12"/>
    <mergeCell ref="BU12:BW12"/>
    <mergeCell ref="AS12:AU12"/>
    <mergeCell ref="AV12:AW12"/>
    <mergeCell ref="AX12:AY12"/>
    <mergeCell ref="BA12:BB12"/>
    <mergeCell ref="BC12:BD12"/>
    <mergeCell ref="BE12:BF12"/>
    <mergeCell ref="AE12:AF12"/>
    <mergeCell ref="AG12:AH12"/>
    <mergeCell ref="AI12:AJ12"/>
    <mergeCell ref="AK12:AL12"/>
    <mergeCell ref="AM12:AN12"/>
    <mergeCell ref="AX13:AY13"/>
    <mergeCell ref="BA13:BB13"/>
    <mergeCell ref="BC13:BD13"/>
    <mergeCell ref="BE13:BF13"/>
    <mergeCell ref="AE13:AF13"/>
    <mergeCell ref="AG13:AH13"/>
    <mergeCell ref="AI13:AJ13"/>
    <mergeCell ref="AK13:AL13"/>
    <mergeCell ref="AM13:AN13"/>
    <mergeCell ref="AO13:AR13"/>
    <mergeCell ref="Q13:R13"/>
    <mergeCell ref="S13:T13"/>
    <mergeCell ref="U13:W13"/>
    <mergeCell ref="X13:Z13"/>
    <mergeCell ref="AA13:AB13"/>
    <mergeCell ref="AC13:AD13"/>
    <mergeCell ref="CN12:CO12"/>
    <mergeCell ref="AO12:AR12"/>
    <mergeCell ref="Q12:R12"/>
    <mergeCell ref="S12:T12"/>
    <mergeCell ref="U12:W12"/>
    <mergeCell ref="X12:Z12"/>
    <mergeCell ref="AA12:AB12"/>
    <mergeCell ref="AC12:AD12"/>
    <mergeCell ref="AM14:AN14"/>
    <mergeCell ref="AO14:AR14"/>
    <mergeCell ref="Q14:R14"/>
    <mergeCell ref="S14:T14"/>
    <mergeCell ref="U14:W14"/>
    <mergeCell ref="X14:Z14"/>
    <mergeCell ref="AA14:AB14"/>
    <mergeCell ref="AC14:AD14"/>
    <mergeCell ref="CN13:CO13"/>
    <mergeCell ref="CP13:CR13"/>
    <mergeCell ref="CS13:CU13"/>
    <mergeCell ref="CW13:CZ13"/>
    <mergeCell ref="B14:E14"/>
    <mergeCell ref="F14:H14"/>
    <mergeCell ref="I14:J14"/>
    <mergeCell ref="K14:L14"/>
    <mergeCell ref="M14:N14"/>
    <mergeCell ref="O14:P14"/>
    <mergeCell ref="BX13:BY13"/>
    <mergeCell ref="BZ13:CA13"/>
    <mergeCell ref="CB13:CD13"/>
    <mergeCell ref="CE13:CG13"/>
    <mergeCell ref="CH13:CJ13"/>
    <mergeCell ref="CK13:CM13"/>
    <mergeCell ref="BG13:BH13"/>
    <mergeCell ref="BI13:BL13"/>
    <mergeCell ref="BM13:BO13"/>
    <mergeCell ref="BP13:BQ13"/>
    <mergeCell ref="BR13:BS13"/>
    <mergeCell ref="BU13:BW13"/>
    <mergeCell ref="AS13:AU13"/>
    <mergeCell ref="AV13:AW13"/>
    <mergeCell ref="CN14:CO14"/>
    <mergeCell ref="CP14:CR14"/>
    <mergeCell ref="CS14:CU14"/>
    <mergeCell ref="CW14:CZ14"/>
    <mergeCell ref="B15:E15"/>
    <mergeCell ref="F15:H15"/>
    <mergeCell ref="I15:J15"/>
    <mergeCell ref="K15:L15"/>
    <mergeCell ref="M15:N15"/>
    <mergeCell ref="O15:P15"/>
    <mergeCell ref="BX14:BY14"/>
    <mergeCell ref="BZ14:CA14"/>
    <mergeCell ref="CB14:CD14"/>
    <mergeCell ref="CE14:CG14"/>
    <mergeCell ref="CH14:CJ14"/>
    <mergeCell ref="CK14:CM14"/>
    <mergeCell ref="BG14:BH14"/>
    <mergeCell ref="BI14:BL14"/>
    <mergeCell ref="BM14:BO14"/>
    <mergeCell ref="BP14:BQ14"/>
    <mergeCell ref="BR14:BS14"/>
    <mergeCell ref="BU14:BW14"/>
    <mergeCell ref="AS14:AU14"/>
    <mergeCell ref="AV14:AW14"/>
    <mergeCell ref="AX14:AY14"/>
    <mergeCell ref="BA14:BB14"/>
    <mergeCell ref="BC14:BD14"/>
    <mergeCell ref="BE14:BF14"/>
    <mergeCell ref="AE14:AF14"/>
    <mergeCell ref="AG14:AH14"/>
    <mergeCell ref="AI14:AJ14"/>
    <mergeCell ref="AK14:AL14"/>
    <mergeCell ref="CP15:CR15"/>
    <mergeCell ref="CS15:CU15"/>
    <mergeCell ref="CW15:CZ15"/>
    <mergeCell ref="B16:E16"/>
    <mergeCell ref="F16:H16"/>
    <mergeCell ref="I16:J16"/>
    <mergeCell ref="K16:L16"/>
    <mergeCell ref="M16:N16"/>
    <mergeCell ref="O16:P16"/>
    <mergeCell ref="BX15:BY15"/>
    <mergeCell ref="BZ15:CA15"/>
    <mergeCell ref="CB15:CD15"/>
    <mergeCell ref="CE15:CG15"/>
    <mergeCell ref="CH15:CJ15"/>
    <mergeCell ref="CK15:CM15"/>
    <mergeCell ref="BG15:BH15"/>
    <mergeCell ref="BI15:BL15"/>
    <mergeCell ref="BM15:BO15"/>
    <mergeCell ref="BP15:BQ15"/>
    <mergeCell ref="BR15:BS15"/>
    <mergeCell ref="BU15:BW15"/>
    <mergeCell ref="AS15:AU15"/>
    <mergeCell ref="AV15:AW15"/>
    <mergeCell ref="AX15:AY15"/>
    <mergeCell ref="BA15:BB15"/>
    <mergeCell ref="BC15:BD15"/>
    <mergeCell ref="BE15:BF15"/>
    <mergeCell ref="AE15:AF15"/>
    <mergeCell ref="AG15:AH15"/>
    <mergeCell ref="AI15:AJ15"/>
    <mergeCell ref="AK15:AL15"/>
    <mergeCell ref="AM15:AN15"/>
    <mergeCell ref="AX16:AY16"/>
    <mergeCell ref="BA16:BB16"/>
    <mergeCell ref="BC16:BD16"/>
    <mergeCell ref="BE16:BF16"/>
    <mergeCell ref="AE16:AF16"/>
    <mergeCell ref="AG16:AH16"/>
    <mergeCell ref="AI16:AJ16"/>
    <mergeCell ref="AK16:AL16"/>
    <mergeCell ref="AM16:AN16"/>
    <mergeCell ref="AO16:AR16"/>
    <mergeCell ref="Q16:R16"/>
    <mergeCell ref="S16:T16"/>
    <mergeCell ref="U16:W16"/>
    <mergeCell ref="X16:Z16"/>
    <mergeCell ref="AA16:AB16"/>
    <mergeCell ref="AC16:AD16"/>
    <mergeCell ref="CN15:CO15"/>
    <mergeCell ref="AO15:AR15"/>
    <mergeCell ref="Q15:R15"/>
    <mergeCell ref="S15:T15"/>
    <mergeCell ref="U15:W15"/>
    <mergeCell ref="X15:Z15"/>
    <mergeCell ref="AA15:AB15"/>
    <mergeCell ref="AC15:AD15"/>
    <mergeCell ref="AM17:AN17"/>
    <mergeCell ref="AO17:AR17"/>
    <mergeCell ref="Q17:R17"/>
    <mergeCell ref="S17:T17"/>
    <mergeCell ref="U17:W17"/>
    <mergeCell ref="X17:Z17"/>
    <mergeCell ref="AA17:AB17"/>
    <mergeCell ref="AC17:AD17"/>
    <mergeCell ref="CN16:CO16"/>
    <mergeCell ref="CP16:CR16"/>
    <mergeCell ref="CS16:CU16"/>
    <mergeCell ref="CW16:CZ16"/>
    <mergeCell ref="B17:E17"/>
    <mergeCell ref="F17:H17"/>
    <mergeCell ref="I17:J17"/>
    <mergeCell ref="K17:L17"/>
    <mergeCell ref="M17:N17"/>
    <mergeCell ref="O17:P17"/>
    <mergeCell ref="BX16:BY16"/>
    <mergeCell ref="BZ16:CA16"/>
    <mergeCell ref="CB16:CD16"/>
    <mergeCell ref="CE16:CG16"/>
    <mergeCell ref="CH16:CJ16"/>
    <mergeCell ref="CK16:CM16"/>
    <mergeCell ref="BG16:BH16"/>
    <mergeCell ref="BI16:BL16"/>
    <mergeCell ref="BM16:BO16"/>
    <mergeCell ref="BP16:BQ16"/>
    <mergeCell ref="BR16:BS16"/>
    <mergeCell ref="BU16:BW16"/>
    <mergeCell ref="AS16:AU16"/>
    <mergeCell ref="AV16:AW16"/>
    <mergeCell ref="CN17:CO17"/>
    <mergeCell ref="CP17:CR17"/>
    <mergeCell ref="CS17:CU17"/>
    <mergeCell ref="CW17:CZ17"/>
    <mergeCell ref="B18:E18"/>
    <mergeCell ref="F18:H18"/>
    <mergeCell ref="I18:J18"/>
    <mergeCell ref="K18:L18"/>
    <mergeCell ref="M18:N18"/>
    <mergeCell ref="O18:P18"/>
    <mergeCell ref="BX17:BY17"/>
    <mergeCell ref="BZ17:CA17"/>
    <mergeCell ref="CB17:CD17"/>
    <mergeCell ref="CE17:CG17"/>
    <mergeCell ref="CH17:CJ17"/>
    <mergeCell ref="CK17:CM17"/>
    <mergeCell ref="BG17:BH17"/>
    <mergeCell ref="BI17:BL17"/>
    <mergeCell ref="BM17:BO17"/>
    <mergeCell ref="BP17:BQ17"/>
    <mergeCell ref="BR17:BS17"/>
    <mergeCell ref="BU17:BW17"/>
    <mergeCell ref="AS17:AU17"/>
    <mergeCell ref="AV17:AW17"/>
    <mergeCell ref="AX17:AY17"/>
    <mergeCell ref="BA17:BB17"/>
    <mergeCell ref="BC17:BD17"/>
    <mergeCell ref="BE17:BF17"/>
    <mergeCell ref="AE17:AF17"/>
    <mergeCell ref="AG17:AH17"/>
    <mergeCell ref="AI17:AJ17"/>
    <mergeCell ref="AK17:AL17"/>
    <mergeCell ref="CP18:CR18"/>
    <mergeCell ref="CS18:CU18"/>
    <mergeCell ref="CW18:CZ18"/>
    <mergeCell ref="B19:E19"/>
    <mergeCell ref="F19:H19"/>
    <mergeCell ref="I19:J19"/>
    <mergeCell ref="K19:L19"/>
    <mergeCell ref="M19:N19"/>
    <mergeCell ref="O19:P19"/>
    <mergeCell ref="BX18:BY18"/>
    <mergeCell ref="BZ18:CA18"/>
    <mergeCell ref="CB18:CD18"/>
    <mergeCell ref="CE18:CG18"/>
    <mergeCell ref="CH18:CJ18"/>
    <mergeCell ref="CK18:CM18"/>
    <mergeCell ref="BG18:BH18"/>
    <mergeCell ref="BI18:BL18"/>
    <mergeCell ref="BM18:BO18"/>
    <mergeCell ref="BP18:BQ18"/>
    <mergeCell ref="BR18:BS18"/>
    <mergeCell ref="BU18:BW18"/>
    <mergeCell ref="AS18:AU18"/>
    <mergeCell ref="AV18:AW18"/>
    <mergeCell ref="AX18:AY18"/>
    <mergeCell ref="BA18:BB18"/>
    <mergeCell ref="BC18:BD18"/>
    <mergeCell ref="BE18:BF18"/>
    <mergeCell ref="AE18:AF18"/>
    <mergeCell ref="AG18:AH18"/>
    <mergeCell ref="AI18:AJ18"/>
    <mergeCell ref="AK18:AL18"/>
    <mergeCell ref="AM18:AN18"/>
    <mergeCell ref="AX19:AY19"/>
    <mergeCell ref="BA19:BB19"/>
    <mergeCell ref="BC19:BD19"/>
    <mergeCell ref="BE19:BF19"/>
    <mergeCell ref="AE19:AF19"/>
    <mergeCell ref="AG19:AH19"/>
    <mergeCell ref="AI19:AJ19"/>
    <mergeCell ref="AK19:AL19"/>
    <mergeCell ref="AM19:AN19"/>
    <mergeCell ref="AO19:AR19"/>
    <mergeCell ref="Q19:R19"/>
    <mergeCell ref="S19:T19"/>
    <mergeCell ref="U19:W19"/>
    <mergeCell ref="X19:Z19"/>
    <mergeCell ref="AA19:AB19"/>
    <mergeCell ref="AC19:AD19"/>
    <mergeCell ref="CN18:CO18"/>
    <mergeCell ref="AO18:AR18"/>
    <mergeCell ref="Q18:R18"/>
    <mergeCell ref="S18:T18"/>
    <mergeCell ref="U18:W18"/>
    <mergeCell ref="X18:Z18"/>
    <mergeCell ref="AA18:AB18"/>
    <mergeCell ref="AC18:AD18"/>
    <mergeCell ref="AM20:AN20"/>
    <mergeCell ref="AO20:AR20"/>
    <mergeCell ref="Q20:R20"/>
    <mergeCell ref="S20:T20"/>
    <mergeCell ref="U20:W20"/>
    <mergeCell ref="X20:Z20"/>
    <mergeCell ref="AA20:AB20"/>
    <mergeCell ref="AC20:AD20"/>
    <mergeCell ref="CN19:CO19"/>
    <mergeCell ref="CP19:CR19"/>
    <mergeCell ref="CS19:CU19"/>
    <mergeCell ref="CW19:CZ19"/>
    <mergeCell ref="B20:E20"/>
    <mergeCell ref="F20:H20"/>
    <mergeCell ref="I20:J20"/>
    <mergeCell ref="K20:L20"/>
    <mergeCell ref="M20:N20"/>
    <mergeCell ref="O20:P20"/>
    <mergeCell ref="BX19:BY19"/>
    <mergeCell ref="BZ19:CA19"/>
    <mergeCell ref="CB19:CD19"/>
    <mergeCell ref="CE19:CG19"/>
    <mergeCell ref="CH19:CJ19"/>
    <mergeCell ref="CK19:CM19"/>
    <mergeCell ref="BG19:BH19"/>
    <mergeCell ref="BI19:BL19"/>
    <mergeCell ref="BM19:BO19"/>
    <mergeCell ref="BP19:BQ19"/>
    <mergeCell ref="BR19:BS19"/>
    <mergeCell ref="BU19:BW19"/>
    <mergeCell ref="AS19:AU19"/>
    <mergeCell ref="AV19:AW19"/>
    <mergeCell ref="CN20:CO20"/>
    <mergeCell ref="CP20:CR20"/>
    <mergeCell ref="CS20:CU20"/>
    <mergeCell ref="CW20:CZ20"/>
    <mergeCell ref="B21:E21"/>
    <mergeCell ref="F21:H21"/>
    <mergeCell ref="I21:J21"/>
    <mergeCell ref="K21:L21"/>
    <mergeCell ref="M21:N21"/>
    <mergeCell ref="O21:P21"/>
    <mergeCell ref="BX20:BY20"/>
    <mergeCell ref="BZ20:CA20"/>
    <mergeCell ref="CB20:CD20"/>
    <mergeCell ref="CE20:CG20"/>
    <mergeCell ref="CH20:CJ20"/>
    <mergeCell ref="CK20:CM20"/>
    <mergeCell ref="BG20:BH20"/>
    <mergeCell ref="BI20:BL20"/>
    <mergeCell ref="BM20:BO20"/>
    <mergeCell ref="BP20:BQ20"/>
    <mergeCell ref="BR20:BS20"/>
    <mergeCell ref="BU20:BW20"/>
    <mergeCell ref="AS20:AU20"/>
    <mergeCell ref="AV20:AW20"/>
    <mergeCell ref="AX20:AY20"/>
    <mergeCell ref="BA20:BB20"/>
    <mergeCell ref="BC20:BD20"/>
    <mergeCell ref="BE20:BF20"/>
    <mergeCell ref="AE20:AF20"/>
    <mergeCell ref="AG20:AH20"/>
    <mergeCell ref="AI20:AJ20"/>
    <mergeCell ref="AK20:AL20"/>
    <mergeCell ref="CP21:CR21"/>
    <mergeCell ref="CS21:CU21"/>
    <mergeCell ref="CW21:CZ21"/>
    <mergeCell ref="B22:E22"/>
    <mergeCell ref="F22:H22"/>
    <mergeCell ref="I22:J22"/>
    <mergeCell ref="K22:L22"/>
    <mergeCell ref="M22:N22"/>
    <mergeCell ref="O22:P22"/>
    <mergeCell ref="BX21:BY21"/>
    <mergeCell ref="BZ21:CA21"/>
    <mergeCell ref="CB21:CD21"/>
    <mergeCell ref="CE21:CG21"/>
    <mergeCell ref="CH21:CJ21"/>
    <mergeCell ref="CK21:CM21"/>
    <mergeCell ref="BG21:BH21"/>
    <mergeCell ref="BI21:BL21"/>
    <mergeCell ref="BM21:BO21"/>
    <mergeCell ref="BP21:BQ21"/>
    <mergeCell ref="BR21:BS21"/>
    <mergeCell ref="BU21:BW21"/>
    <mergeCell ref="AS21:AU21"/>
    <mergeCell ref="AV21:AW21"/>
    <mergeCell ref="AX21:AY21"/>
    <mergeCell ref="BA21:BB21"/>
    <mergeCell ref="BC21:BD21"/>
    <mergeCell ref="BE21:BF21"/>
    <mergeCell ref="AE21:AF21"/>
    <mergeCell ref="AG21:AH21"/>
    <mergeCell ref="AI21:AJ21"/>
    <mergeCell ref="AK21:AL21"/>
    <mergeCell ref="AM21:AN21"/>
    <mergeCell ref="AX22:AY22"/>
    <mergeCell ref="BA22:BB22"/>
    <mergeCell ref="BC22:BD22"/>
    <mergeCell ref="BE22:BF22"/>
    <mergeCell ref="AE22:AF22"/>
    <mergeCell ref="AG22:AH22"/>
    <mergeCell ref="AI22:AJ22"/>
    <mergeCell ref="AK22:AL22"/>
    <mergeCell ref="AM22:AN22"/>
    <mergeCell ref="AO22:AR22"/>
    <mergeCell ref="Q22:R22"/>
    <mergeCell ref="S22:T22"/>
    <mergeCell ref="U22:W22"/>
    <mergeCell ref="X22:Z22"/>
    <mergeCell ref="AA22:AB22"/>
    <mergeCell ref="AC22:AD22"/>
    <mergeCell ref="CN21:CO21"/>
    <mergeCell ref="AO21:AR21"/>
    <mergeCell ref="Q21:R21"/>
    <mergeCell ref="S21:T21"/>
    <mergeCell ref="U21:W21"/>
    <mergeCell ref="X21:Z21"/>
    <mergeCell ref="AA21:AB21"/>
    <mergeCell ref="AC21:AD21"/>
    <mergeCell ref="AM23:AN23"/>
    <mergeCell ref="AO23:AR23"/>
    <mergeCell ref="Q23:R23"/>
    <mergeCell ref="S23:T23"/>
    <mergeCell ref="U23:W23"/>
    <mergeCell ref="X23:Z23"/>
    <mergeCell ref="AA23:AB23"/>
    <mergeCell ref="AC23:AD23"/>
    <mergeCell ref="CN22:CO22"/>
    <mergeCell ref="CP22:CR22"/>
    <mergeCell ref="CS22:CU22"/>
    <mergeCell ref="CW22:CZ22"/>
    <mergeCell ref="B23:E23"/>
    <mergeCell ref="F23:H23"/>
    <mergeCell ref="I23:J23"/>
    <mergeCell ref="K23:L23"/>
    <mergeCell ref="M23:N23"/>
    <mergeCell ref="O23:P23"/>
    <mergeCell ref="BX22:BY22"/>
    <mergeCell ref="BZ22:CA22"/>
    <mergeCell ref="CB22:CD22"/>
    <mergeCell ref="CE22:CG22"/>
    <mergeCell ref="CH22:CJ22"/>
    <mergeCell ref="CK22:CM22"/>
    <mergeCell ref="BG22:BH22"/>
    <mergeCell ref="BI22:BL22"/>
    <mergeCell ref="BM22:BO22"/>
    <mergeCell ref="BP22:BQ22"/>
    <mergeCell ref="BR22:BS22"/>
    <mergeCell ref="BU22:BW22"/>
    <mergeCell ref="AS22:AU22"/>
    <mergeCell ref="AV22:AW22"/>
    <mergeCell ref="CN23:CO23"/>
    <mergeCell ref="CP23:CR23"/>
    <mergeCell ref="CS23:CU23"/>
    <mergeCell ref="CW23:CZ23"/>
    <mergeCell ref="B24:E24"/>
    <mergeCell ref="F24:H24"/>
    <mergeCell ref="I24:J24"/>
    <mergeCell ref="K24:L24"/>
    <mergeCell ref="M24:N24"/>
    <mergeCell ref="O24:P24"/>
    <mergeCell ref="BX23:BY23"/>
    <mergeCell ref="BZ23:CA23"/>
    <mergeCell ref="CB23:CD23"/>
    <mergeCell ref="CE23:CG23"/>
    <mergeCell ref="CH23:CJ23"/>
    <mergeCell ref="CK23:CM23"/>
    <mergeCell ref="BG23:BH23"/>
    <mergeCell ref="BI23:BL23"/>
    <mergeCell ref="BM23:BO23"/>
    <mergeCell ref="BP23:BQ23"/>
    <mergeCell ref="BR23:BS23"/>
    <mergeCell ref="BU23:BW23"/>
    <mergeCell ref="AS23:AU23"/>
    <mergeCell ref="AV23:AW23"/>
    <mergeCell ref="AX23:AY23"/>
    <mergeCell ref="BA23:BB23"/>
    <mergeCell ref="BC23:BD23"/>
    <mergeCell ref="BE23:BF23"/>
    <mergeCell ref="AE23:AF23"/>
    <mergeCell ref="AG23:AH23"/>
    <mergeCell ref="AI23:AJ23"/>
    <mergeCell ref="AK23:AL23"/>
    <mergeCell ref="CP24:CR24"/>
    <mergeCell ref="CS24:CU24"/>
    <mergeCell ref="CW24:CZ24"/>
    <mergeCell ref="B25:E25"/>
    <mergeCell ref="F25:H25"/>
    <mergeCell ref="I25:J25"/>
    <mergeCell ref="K25:L25"/>
    <mergeCell ref="M25:N25"/>
    <mergeCell ref="O25:P25"/>
    <mergeCell ref="BX24:BY24"/>
    <mergeCell ref="BZ24:CA24"/>
    <mergeCell ref="CB24:CD24"/>
    <mergeCell ref="CE24:CG24"/>
    <mergeCell ref="CH24:CJ24"/>
    <mergeCell ref="CK24:CM24"/>
    <mergeCell ref="BG24:BH24"/>
    <mergeCell ref="BI24:BL24"/>
    <mergeCell ref="BM24:BO24"/>
    <mergeCell ref="BP24:BQ24"/>
    <mergeCell ref="BR24:BS24"/>
    <mergeCell ref="BU24:BW24"/>
    <mergeCell ref="AS24:AU24"/>
    <mergeCell ref="AV24:AW24"/>
    <mergeCell ref="AX24:AY24"/>
    <mergeCell ref="BA24:BB24"/>
    <mergeCell ref="BC24:BD24"/>
    <mergeCell ref="BE24:BF24"/>
    <mergeCell ref="AE24:AF24"/>
    <mergeCell ref="AG24:AH24"/>
    <mergeCell ref="AI24:AJ24"/>
    <mergeCell ref="AK24:AL24"/>
    <mergeCell ref="AM24:AN24"/>
    <mergeCell ref="AX25:AY25"/>
    <mergeCell ref="BA25:BB25"/>
    <mergeCell ref="BC25:BD25"/>
    <mergeCell ref="BE25:BF25"/>
    <mergeCell ref="AE25:AF25"/>
    <mergeCell ref="AG25:AH25"/>
    <mergeCell ref="AI25:AJ25"/>
    <mergeCell ref="AK25:AL25"/>
    <mergeCell ref="AM25:AN25"/>
    <mergeCell ref="AO25:AR25"/>
    <mergeCell ref="Q25:R25"/>
    <mergeCell ref="S25:T25"/>
    <mergeCell ref="U25:W25"/>
    <mergeCell ref="X25:Z25"/>
    <mergeCell ref="AA25:AB25"/>
    <mergeCell ref="AC25:AD25"/>
    <mergeCell ref="CN24:CO24"/>
    <mergeCell ref="AO24:AR24"/>
    <mergeCell ref="Q24:R24"/>
    <mergeCell ref="S24:T24"/>
    <mergeCell ref="U24:W24"/>
    <mergeCell ref="X24:Z24"/>
    <mergeCell ref="AA24:AB24"/>
    <mergeCell ref="AC24:AD24"/>
    <mergeCell ref="AM26:AN26"/>
    <mergeCell ref="AO26:AR26"/>
    <mergeCell ref="Q26:R26"/>
    <mergeCell ref="S26:T26"/>
    <mergeCell ref="U26:W26"/>
    <mergeCell ref="X26:Z26"/>
    <mergeCell ref="AA26:AB26"/>
    <mergeCell ref="AC26:AD26"/>
    <mergeCell ref="CN25:CO25"/>
    <mergeCell ref="CP25:CR25"/>
    <mergeCell ref="CS25:CU25"/>
    <mergeCell ref="CW25:CZ25"/>
    <mergeCell ref="B26:E26"/>
    <mergeCell ref="F26:H26"/>
    <mergeCell ref="I26:J26"/>
    <mergeCell ref="K26:L26"/>
    <mergeCell ref="M26:N26"/>
    <mergeCell ref="O26:P26"/>
    <mergeCell ref="BX25:BY25"/>
    <mergeCell ref="BZ25:CA25"/>
    <mergeCell ref="CB25:CD25"/>
    <mergeCell ref="CE25:CG25"/>
    <mergeCell ref="CH25:CJ25"/>
    <mergeCell ref="CK25:CM25"/>
    <mergeCell ref="BG25:BH25"/>
    <mergeCell ref="BI25:BL25"/>
    <mergeCell ref="BM25:BO25"/>
    <mergeCell ref="BP25:BQ25"/>
    <mergeCell ref="BR25:BS25"/>
    <mergeCell ref="BU25:BW25"/>
    <mergeCell ref="AS25:AU25"/>
    <mergeCell ref="AV25:AW25"/>
    <mergeCell ref="CN26:CO26"/>
    <mergeCell ref="CP26:CR26"/>
    <mergeCell ref="CS26:CU26"/>
    <mergeCell ref="CW26:CZ26"/>
    <mergeCell ref="B27:E27"/>
    <mergeCell ref="F27:H27"/>
    <mergeCell ref="I27:J27"/>
    <mergeCell ref="K27:L27"/>
    <mergeCell ref="M27:N27"/>
    <mergeCell ref="O27:P27"/>
    <mergeCell ref="BX26:BY26"/>
    <mergeCell ref="BZ26:CA26"/>
    <mergeCell ref="CB26:CD26"/>
    <mergeCell ref="CE26:CG26"/>
    <mergeCell ref="CH26:CJ26"/>
    <mergeCell ref="CK26:CM26"/>
    <mergeCell ref="BG26:BH26"/>
    <mergeCell ref="BI26:BL26"/>
    <mergeCell ref="BM26:BO26"/>
    <mergeCell ref="BP26:BQ26"/>
    <mergeCell ref="BR26:BS26"/>
    <mergeCell ref="BU26:BW26"/>
    <mergeCell ref="AS26:AU26"/>
    <mergeCell ref="AV26:AW26"/>
    <mergeCell ref="AX26:AY26"/>
    <mergeCell ref="BA26:BB26"/>
    <mergeCell ref="BC26:BD26"/>
    <mergeCell ref="BE26:BF26"/>
    <mergeCell ref="AE26:AF26"/>
    <mergeCell ref="AG26:AH26"/>
    <mergeCell ref="AI26:AJ26"/>
    <mergeCell ref="AK26:AL26"/>
    <mergeCell ref="CP27:CR27"/>
    <mergeCell ref="CS27:CU27"/>
    <mergeCell ref="CW27:CZ27"/>
    <mergeCell ref="B28:E28"/>
    <mergeCell ref="F28:H28"/>
    <mergeCell ref="I28:J28"/>
    <mergeCell ref="K28:L28"/>
    <mergeCell ref="M28:N28"/>
    <mergeCell ref="O28:P28"/>
    <mergeCell ref="BX27:BY27"/>
    <mergeCell ref="BZ27:CA27"/>
    <mergeCell ref="CB27:CD27"/>
    <mergeCell ref="CE27:CG27"/>
    <mergeCell ref="CH27:CJ27"/>
    <mergeCell ref="CK27:CM27"/>
    <mergeCell ref="BG27:BH27"/>
    <mergeCell ref="BI27:BL27"/>
    <mergeCell ref="BM27:BO27"/>
    <mergeCell ref="BP27:BQ27"/>
    <mergeCell ref="BR27:BS27"/>
    <mergeCell ref="BU27:BW27"/>
    <mergeCell ref="AS27:AU27"/>
    <mergeCell ref="AV27:AW27"/>
    <mergeCell ref="AX27:AY27"/>
    <mergeCell ref="BA27:BB27"/>
    <mergeCell ref="BC27:BD27"/>
    <mergeCell ref="BE27:BF27"/>
    <mergeCell ref="AE27:AF27"/>
    <mergeCell ref="AG27:AH27"/>
    <mergeCell ref="AI27:AJ27"/>
    <mergeCell ref="AK27:AL27"/>
    <mergeCell ref="AM27:AN27"/>
    <mergeCell ref="AX28:AY28"/>
    <mergeCell ref="BA28:BB28"/>
    <mergeCell ref="BC28:BD28"/>
    <mergeCell ref="BE28:BF28"/>
    <mergeCell ref="AE28:AF28"/>
    <mergeCell ref="AG28:AH28"/>
    <mergeCell ref="AI28:AJ28"/>
    <mergeCell ref="AK28:AL28"/>
    <mergeCell ref="AM28:AN28"/>
    <mergeCell ref="AO28:AR28"/>
    <mergeCell ref="Q28:R28"/>
    <mergeCell ref="S28:T28"/>
    <mergeCell ref="U28:W28"/>
    <mergeCell ref="X28:Z28"/>
    <mergeCell ref="AA28:AB28"/>
    <mergeCell ref="AC28:AD28"/>
    <mergeCell ref="CN27:CO27"/>
    <mergeCell ref="AO27:AR27"/>
    <mergeCell ref="Q27:R27"/>
    <mergeCell ref="S27:T27"/>
    <mergeCell ref="U27:W27"/>
    <mergeCell ref="X27:Z27"/>
    <mergeCell ref="AA27:AB27"/>
    <mergeCell ref="AC27:AD27"/>
    <mergeCell ref="AM29:AN29"/>
    <mergeCell ref="AO29:AR29"/>
    <mergeCell ref="Q29:R29"/>
    <mergeCell ref="S29:T29"/>
    <mergeCell ref="U29:W29"/>
    <mergeCell ref="X29:Z29"/>
    <mergeCell ref="AA29:AB29"/>
    <mergeCell ref="AC29:AD29"/>
    <mergeCell ref="CN28:CO28"/>
    <mergeCell ref="CP28:CR28"/>
    <mergeCell ref="CS28:CU28"/>
    <mergeCell ref="CW28:CZ28"/>
    <mergeCell ref="B29:E29"/>
    <mergeCell ref="F29:H29"/>
    <mergeCell ref="I29:J29"/>
    <mergeCell ref="K29:L29"/>
    <mergeCell ref="M29:N29"/>
    <mergeCell ref="O29:P29"/>
    <mergeCell ref="BX28:BY28"/>
    <mergeCell ref="BZ28:CA28"/>
    <mergeCell ref="CB28:CD28"/>
    <mergeCell ref="CE28:CG28"/>
    <mergeCell ref="CH28:CJ28"/>
    <mergeCell ref="CK28:CM28"/>
    <mergeCell ref="BG28:BH28"/>
    <mergeCell ref="BI28:BL28"/>
    <mergeCell ref="BM28:BO28"/>
    <mergeCell ref="BP28:BQ28"/>
    <mergeCell ref="BR28:BS28"/>
    <mergeCell ref="BU28:BW28"/>
    <mergeCell ref="AS28:AU28"/>
    <mergeCell ref="AV28:AW28"/>
    <mergeCell ref="CN29:CO29"/>
    <mergeCell ref="CP29:CR29"/>
    <mergeCell ref="CS29:CU29"/>
    <mergeCell ref="CW29:CZ29"/>
    <mergeCell ref="B30:E30"/>
    <mergeCell ref="F30:H30"/>
    <mergeCell ref="I30:J30"/>
    <mergeCell ref="K30:L30"/>
    <mergeCell ref="M30:N30"/>
    <mergeCell ref="O30:P30"/>
    <mergeCell ref="BX29:BY29"/>
    <mergeCell ref="BZ29:CA29"/>
    <mergeCell ref="CB29:CD29"/>
    <mergeCell ref="CE29:CG29"/>
    <mergeCell ref="CH29:CJ29"/>
    <mergeCell ref="CK29:CM29"/>
    <mergeCell ref="BG29:BH29"/>
    <mergeCell ref="BI29:BL29"/>
    <mergeCell ref="BM29:BO29"/>
    <mergeCell ref="BP29:BQ29"/>
    <mergeCell ref="BR29:BS29"/>
    <mergeCell ref="BU29:BW29"/>
    <mergeCell ref="AS29:AU29"/>
    <mergeCell ref="AV29:AW29"/>
    <mergeCell ref="AX29:AY29"/>
    <mergeCell ref="BA29:BB29"/>
    <mergeCell ref="BC29:BD29"/>
    <mergeCell ref="BE29:BF29"/>
    <mergeCell ref="AE29:AF29"/>
    <mergeCell ref="AG29:AH29"/>
    <mergeCell ref="AI29:AJ29"/>
    <mergeCell ref="AK29:AL29"/>
    <mergeCell ref="CP30:CR30"/>
    <mergeCell ref="CS30:CU30"/>
    <mergeCell ref="CW30:CZ30"/>
    <mergeCell ref="B31:E31"/>
    <mergeCell ref="F31:H31"/>
    <mergeCell ref="I31:J31"/>
    <mergeCell ref="K31:L31"/>
    <mergeCell ref="M31:N31"/>
    <mergeCell ref="O31:P31"/>
    <mergeCell ref="BX30:BY30"/>
    <mergeCell ref="BZ30:CA30"/>
    <mergeCell ref="CB30:CD30"/>
    <mergeCell ref="CE30:CG30"/>
    <mergeCell ref="CH30:CJ30"/>
    <mergeCell ref="CK30:CM30"/>
    <mergeCell ref="BG30:BH30"/>
    <mergeCell ref="BI30:BL30"/>
    <mergeCell ref="BM30:BO30"/>
    <mergeCell ref="BP30:BQ30"/>
    <mergeCell ref="BR30:BS30"/>
    <mergeCell ref="BU30:BW30"/>
    <mergeCell ref="AS30:AU30"/>
    <mergeCell ref="AV30:AW30"/>
    <mergeCell ref="AX30:AY30"/>
    <mergeCell ref="BA30:BB30"/>
    <mergeCell ref="BC30:BD30"/>
    <mergeCell ref="BE30:BF30"/>
    <mergeCell ref="AE30:AF30"/>
    <mergeCell ref="AG30:AH30"/>
    <mergeCell ref="AI30:AJ30"/>
    <mergeCell ref="AK30:AL30"/>
    <mergeCell ref="AM30:AN30"/>
    <mergeCell ref="AX31:AY31"/>
    <mergeCell ref="BA31:BB31"/>
    <mergeCell ref="BC31:BD31"/>
    <mergeCell ref="BE31:BF31"/>
    <mergeCell ref="AE31:AF31"/>
    <mergeCell ref="AG31:AH31"/>
    <mergeCell ref="AI31:AJ31"/>
    <mergeCell ref="AK31:AL31"/>
    <mergeCell ref="AM31:AN31"/>
    <mergeCell ref="AO31:AR31"/>
    <mergeCell ref="Q31:R31"/>
    <mergeCell ref="S31:T31"/>
    <mergeCell ref="U31:W31"/>
    <mergeCell ref="X31:Z31"/>
    <mergeCell ref="AA31:AB31"/>
    <mergeCell ref="AC31:AD31"/>
    <mergeCell ref="CN30:CO30"/>
    <mergeCell ref="AO30:AR30"/>
    <mergeCell ref="Q30:R30"/>
    <mergeCell ref="S30:T30"/>
    <mergeCell ref="U30:W30"/>
    <mergeCell ref="X30:Z30"/>
    <mergeCell ref="AA30:AB30"/>
    <mergeCell ref="AC30:AD30"/>
    <mergeCell ref="AM32:AN32"/>
    <mergeCell ref="AO32:AR32"/>
    <mergeCell ref="Q32:R32"/>
    <mergeCell ref="S32:T32"/>
    <mergeCell ref="U32:W32"/>
    <mergeCell ref="X32:Z32"/>
    <mergeCell ref="AA32:AB32"/>
    <mergeCell ref="AC32:AD32"/>
    <mergeCell ref="CN31:CO31"/>
    <mergeCell ref="CP31:CR31"/>
    <mergeCell ref="CS31:CU31"/>
    <mergeCell ref="CW31:CZ31"/>
    <mergeCell ref="B32:E32"/>
    <mergeCell ref="F32:H32"/>
    <mergeCell ref="I32:J32"/>
    <mergeCell ref="K32:L32"/>
    <mergeCell ref="M32:N32"/>
    <mergeCell ref="O32:P32"/>
    <mergeCell ref="BX31:BY31"/>
    <mergeCell ref="BZ31:CA31"/>
    <mergeCell ref="CB31:CD31"/>
    <mergeCell ref="CE31:CG31"/>
    <mergeCell ref="CH31:CJ31"/>
    <mergeCell ref="CK31:CM31"/>
    <mergeCell ref="BG31:BH31"/>
    <mergeCell ref="BI31:BL31"/>
    <mergeCell ref="BM31:BO31"/>
    <mergeCell ref="BP31:BQ31"/>
    <mergeCell ref="BR31:BS31"/>
    <mergeCell ref="BU31:BW31"/>
    <mergeCell ref="AS31:AU31"/>
    <mergeCell ref="AV31:AW31"/>
    <mergeCell ref="CN32:CO32"/>
    <mergeCell ref="CP32:CR32"/>
    <mergeCell ref="CS32:CU32"/>
    <mergeCell ref="CW32:CZ32"/>
    <mergeCell ref="B33:E33"/>
    <mergeCell ref="F33:H33"/>
    <mergeCell ref="I33:J33"/>
    <mergeCell ref="K33:L33"/>
    <mergeCell ref="M33:N33"/>
    <mergeCell ref="O33:P33"/>
    <mergeCell ref="BX32:BY32"/>
    <mergeCell ref="BZ32:CA32"/>
    <mergeCell ref="CB32:CD32"/>
    <mergeCell ref="CE32:CG32"/>
    <mergeCell ref="CH32:CJ32"/>
    <mergeCell ref="CK32:CM32"/>
    <mergeCell ref="BG32:BH32"/>
    <mergeCell ref="BI32:BL32"/>
    <mergeCell ref="BM32:BO32"/>
    <mergeCell ref="BP32:BQ32"/>
    <mergeCell ref="BR32:BS32"/>
    <mergeCell ref="BU32:BW32"/>
    <mergeCell ref="AS32:AU32"/>
    <mergeCell ref="AV32:AW32"/>
    <mergeCell ref="AX32:AY32"/>
    <mergeCell ref="BA32:BB32"/>
    <mergeCell ref="BC32:BD32"/>
    <mergeCell ref="BE32:BF32"/>
    <mergeCell ref="AE32:AF32"/>
    <mergeCell ref="AG32:AH32"/>
    <mergeCell ref="AI32:AJ32"/>
    <mergeCell ref="AK32:AL32"/>
    <mergeCell ref="CP33:CR33"/>
    <mergeCell ref="CS33:CU33"/>
    <mergeCell ref="CW33:CZ33"/>
    <mergeCell ref="B34:E34"/>
    <mergeCell ref="F34:H34"/>
    <mergeCell ref="I34:J34"/>
    <mergeCell ref="K34:L34"/>
    <mergeCell ref="M34:N34"/>
    <mergeCell ref="O34:P34"/>
    <mergeCell ref="BX33:BY33"/>
    <mergeCell ref="BZ33:CA33"/>
    <mergeCell ref="CB33:CD33"/>
    <mergeCell ref="CE33:CG33"/>
    <mergeCell ref="CH33:CJ33"/>
    <mergeCell ref="CK33:CM33"/>
    <mergeCell ref="BG33:BH33"/>
    <mergeCell ref="BI33:BL33"/>
    <mergeCell ref="BM33:BO33"/>
    <mergeCell ref="BP33:BQ33"/>
    <mergeCell ref="BR33:BS33"/>
    <mergeCell ref="BU33:BW33"/>
    <mergeCell ref="AS33:AU33"/>
    <mergeCell ref="AV33:AW33"/>
    <mergeCell ref="AX33:AY33"/>
    <mergeCell ref="BA33:BB33"/>
    <mergeCell ref="BC33:BD33"/>
    <mergeCell ref="BE33:BF33"/>
    <mergeCell ref="AE33:AF33"/>
    <mergeCell ref="AG33:AH33"/>
    <mergeCell ref="AI33:AJ33"/>
    <mergeCell ref="AK33:AL33"/>
    <mergeCell ref="AM33:AN33"/>
    <mergeCell ref="AX34:AY34"/>
    <mergeCell ref="BA34:BB34"/>
    <mergeCell ref="BC34:BD34"/>
    <mergeCell ref="BE34:BF34"/>
    <mergeCell ref="AE34:AF34"/>
    <mergeCell ref="AG34:AH34"/>
    <mergeCell ref="AI34:AJ34"/>
    <mergeCell ref="AK34:AL34"/>
    <mergeCell ref="AM34:AN34"/>
    <mergeCell ref="AO34:AR34"/>
    <mergeCell ref="Q34:R34"/>
    <mergeCell ref="S34:T34"/>
    <mergeCell ref="U34:W34"/>
    <mergeCell ref="X34:Z34"/>
    <mergeCell ref="AA34:AB34"/>
    <mergeCell ref="AC34:AD34"/>
    <mergeCell ref="CN33:CO33"/>
    <mergeCell ref="AO33:AR33"/>
    <mergeCell ref="Q33:R33"/>
    <mergeCell ref="S33:T33"/>
    <mergeCell ref="U33:W33"/>
    <mergeCell ref="X33:Z33"/>
    <mergeCell ref="AA33:AB33"/>
    <mergeCell ref="AC33:AD33"/>
    <mergeCell ref="AM35:AN35"/>
    <mergeCell ref="AO35:AR35"/>
    <mergeCell ref="Q35:R35"/>
    <mergeCell ref="S35:T35"/>
    <mergeCell ref="U35:W35"/>
    <mergeCell ref="X35:Z35"/>
    <mergeCell ref="AA35:AB35"/>
    <mergeCell ref="AC35:AD35"/>
    <mergeCell ref="CN34:CO34"/>
    <mergeCell ref="CP34:CR34"/>
    <mergeCell ref="CS34:CU34"/>
    <mergeCell ref="CW34:CZ34"/>
    <mergeCell ref="B35:E35"/>
    <mergeCell ref="F35:H35"/>
    <mergeCell ref="I35:J35"/>
    <mergeCell ref="K35:L35"/>
    <mergeCell ref="M35:N35"/>
    <mergeCell ref="O35:P35"/>
    <mergeCell ref="BX34:BY34"/>
    <mergeCell ref="BZ34:CA34"/>
    <mergeCell ref="CB34:CD34"/>
    <mergeCell ref="CE34:CG34"/>
    <mergeCell ref="CH34:CJ34"/>
    <mergeCell ref="CK34:CM34"/>
    <mergeCell ref="BG34:BH34"/>
    <mergeCell ref="BI34:BL34"/>
    <mergeCell ref="BM34:BO34"/>
    <mergeCell ref="BP34:BQ34"/>
    <mergeCell ref="BR34:BS34"/>
    <mergeCell ref="BU34:BW34"/>
    <mergeCell ref="AS34:AU34"/>
    <mergeCell ref="AV34:AW34"/>
    <mergeCell ref="CN35:CO35"/>
    <mergeCell ref="CP35:CR35"/>
    <mergeCell ref="CS35:CU35"/>
    <mergeCell ref="CW35:CZ35"/>
    <mergeCell ref="B36:E36"/>
    <mergeCell ref="F36:H36"/>
    <mergeCell ref="I36:J36"/>
    <mergeCell ref="K36:L36"/>
    <mergeCell ref="M36:N36"/>
    <mergeCell ref="O36:P36"/>
    <mergeCell ref="BX35:BY35"/>
    <mergeCell ref="BZ35:CA35"/>
    <mergeCell ref="CB35:CD35"/>
    <mergeCell ref="CE35:CG35"/>
    <mergeCell ref="CH35:CJ35"/>
    <mergeCell ref="CK35:CM35"/>
    <mergeCell ref="BG35:BH35"/>
    <mergeCell ref="BI35:BL35"/>
    <mergeCell ref="BM35:BO35"/>
    <mergeCell ref="BP35:BQ35"/>
    <mergeCell ref="BR35:BS35"/>
    <mergeCell ref="BU35:BW35"/>
    <mergeCell ref="AS35:AU35"/>
    <mergeCell ref="AV35:AW35"/>
    <mergeCell ref="AX35:AY35"/>
    <mergeCell ref="BA35:BB35"/>
    <mergeCell ref="BC35:BD35"/>
    <mergeCell ref="BE35:BF35"/>
    <mergeCell ref="AE35:AF35"/>
    <mergeCell ref="AG35:AH35"/>
    <mergeCell ref="AI35:AJ35"/>
    <mergeCell ref="AK35:AL35"/>
    <mergeCell ref="CP36:CR36"/>
    <mergeCell ref="CS36:CU36"/>
    <mergeCell ref="CW36:CZ36"/>
    <mergeCell ref="B37:E37"/>
    <mergeCell ref="F37:H37"/>
    <mergeCell ref="I37:J37"/>
    <mergeCell ref="K37:L37"/>
    <mergeCell ref="M37:N37"/>
    <mergeCell ref="O37:P37"/>
    <mergeCell ref="BX36:BY36"/>
    <mergeCell ref="BZ36:CA36"/>
    <mergeCell ref="CB36:CD36"/>
    <mergeCell ref="CE36:CG36"/>
    <mergeCell ref="CH36:CJ36"/>
    <mergeCell ref="CK36:CM36"/>
    <mergeCell ref="BG36:BH36"/>
    <mergeCell ref="BI36:BL36"/>
    <mergeCell ref="BM36:BO36"/>
    <mergeCell ref="BP36:BQ36"/>
    <mergeCell ref="BR36:BS36"/>
    <mergeCell ref="BU36:BW36"/>
    <mergeCell ref="AS36:AU36"/>
    <mergeCell ref="AV36:AW36"/>
    <mergeCell ref="AX36:AY36"/>
    <mergeCell ref="BA36:BB36"/>
    <mergeCell ref="BC36:BD36"/>
    <mergeCell ref="BE36:BF36"/>
    <mergeCell ref="AE36:AF36"/>
    <mergeCell ref="AG36:AH36"/>
    <mergeCell ref="AI36:AJ36"/>
    <mergeCell ref="AK36:AL36"/>
    <mergeCell ref="AM36:AN36"/>
    <mergeCell ref="AX37:AY37"/>
    <mergeCell ref="BA37:BB37"/>
    <mergeCell ref="BC37:BD37"/>
    <mergeCell ref="BE37:BF37"/>
    <mergeCell ref="AE37:AF37"/>
    <mergeCell ref="AG37:AH37"/>
    <mergeCell ref="AI37:AJ37"/>
    <mergeCell ref="AK37:AL37"/>
    <mergeCell ref="AM37:AN37"/>
    <mergeCell ref="AO37:AR37"/>
    <mergeCell ref="Q37:R37"/>
    <mergeCell ref="S37:T37"/>
    <mergeCell ref="U37:W37"/>
    <mergeCell ref="X37:Z37"/>
    <mergeCell ref="AA37:AB37"/>
    <mergeCell ref="AC37:AD37"/>
    <mergeCell ref="CN36:CO36"/>
    <mergeCell ref="AO36:AR36"/>
    <mergeCell ref="Q36:R36"/>
    <mergeCell ref="S36:T36"/>
    <mergeCell ref="U36:W36"/>
    <mergeCell ref="X36:Z36"/>
    <mergeCell ref="AA36:AB36"/>
    <mergeCell ref="AC36:AD36"/>
    <mergeCell ref="AM38:AN38"/>
    <mergeCell ref="AO38:AR38"/>
    <mergeCell ref="Q38:R38"/>
    <mergeCell ref="S38:T38"/>
    <mergeCell ref="U38:W38"/>
    <mergeCell ref="X38:Z38"/>
    <mergeCell ref="AA38:AB38"/>
    <mergeCell ref="AC38:AD38"/>
    <mergeCell ref="CN37:CO37"/>
    <mergeCell ref="CP37:CR37"/>
    <mergeCell ref="CS37:CU37"/>
    <mergeCell ref="CW37:CZ37"/>
    <mergeCell ref="B38:E38"/>
    <mergeCell ref="F38:H38"/>
    <mergeCell ref="I38:J38"/>
    <mergeCell ref="K38:L38"/>
    <mergeCell ref="M38:N38"/>
    <mergeCell ref="O38:P38"/>
    <mergeCell ref="BX37:BY37"/>
    <mergeCell ref="BZ37:CA37"/>
    <mergeCell ref="CB37:CD37"/>
    <mergeCell ref="CE37:CG37"/>
    <mergeCell ref="CH37:CJ37"/>
    <mergeCell ref="CK37:CM37"/>
    <mergeCell ref="BG37:BH37"/>
    <mergeCell ref="BI37:BL37"/>
    <mergeCell ref="BM37:BO37"/>
    <mergeCell ref="BP37:BQ37"/>
    <mergeCell ref="BR37:BS37"/>
    <mergeCell ref="BU37:BW37"/>
    <mergeCell ref="AS37:AU37"/>
    <mergeCell ref="AV37:AW37"/>
    <mergeCell ref="CN38:CO38"/>
    <mergeCell ref="CP38:CR38"/>
    <mergeCell ref="CS38:CU38"/>
    <mergeCell ref="CW38:CZ38"/>
    <mergeCell ref="B39:E39"/>
    <mergeCell ref="F39:H39"/>
    <mergeCell ref="I39:J39"/>
    <mergeCell ref="K39:L39"/>
    <mergeCell ref="M39:N39"/>
    <mergeCell ref="O39:P39"/>
    <mergeCell ref="BX38:BY38"/>
    <mergeCell ref="BZ38:CA38"/>
    <mergeCell ref="CB38:CD38"/>
    <mergeCell ref="CE38:CG38"/>
    <mergeCell ref="CH38:CJ38"/>
    <mergeCell ref="CK38:CM38"/>
    <mergeCell ref="BG38:BH38"/>
    <mergeCell ref="BI38:BL38"/>
    <mergeCell ref="BM38:BO38"/>
    <mergeCell ref="BP38:BQ38"/>
    <mergeCell ref="BR38:BS38"/>
    <mergeCell ref="BU38:BW38"/>
    <mergeCell ref="AS38:AU38"/>
    <mergeCell ref="AV38:AW38"/>
    <mergeCell ref="AX38:AY38"/>
    <mergeCell ref="BA38:BB38"/>
    <mergeCell ref="BC38:BD38"/>
    <mergeCell ref="BE38:BF38"/>
    <mergeCell ref="AE38:AF38"/>
    <mergeCell ref="AG38:AH38"/>
    <mergeCell ref="AI38:AJ38"/>
    <mergeCell ref="AK38:AL38"/>
    <mergeCell ref="CP39:CR39"/>
    <mergeCell ref="CS39:CU39"/>
    <mergeCell ref="CW39:CZ39"/>
    <mergeCell ref="B40:E40"/>
    <mergeCell ref="F40:H40"/>
    <mergeCell ref="I40:J40"/>
    <mergeCell ref="K40:L40"/>
    <mergeCell ref="M40:N40"/>
    <mergeCell ref="O40:P40"/>
    <mergeCell ref="BX39:BY39"/>
    <mergeCell ref="BZ39:CA39"/>
    <mergeCell ref="CB39:CD39"/>
    <mergeCell ref="CE39:CG39"/>
    <mergeCell ref="CH39:CJ39"/>
    <mergeCell ref="CK39:CM39"/>
    <mergeCell ref="BG39:BH39"/>
    <mergeCell ref="BI39:BL39"/>
    <mergeCell ref="BM39:BO39"/>
    <mergeCell ref="BP39:BQ39"/>
    <mergeCell ref="BR39:BS39"/>
    <mergeCell ref="BU39:BW39"/>
    <mergeCell ref="AS39:AU39"/>
    <mergeCell ref="AV39:AW39"/>
    <mergeCell ref="AX39:AY39"/>
    <mergeCell ref="BA39:BB39"/>
    <mergeCell ref="BC39:BD39"/>
    <mergeCell ref="BE39:BF39"/>
    <mergeCell ref="AE39:AF39"/>
    <mergeCell ref="AG39:AH39"/>
    <mergeCell ref="AI39:AJ39"/>
    <mergeCell ref="AK39:AL39"/>
    <mergeCell ref="AM39:AN39"/>
    <mergeCell ref="AX40:AY40"/>
    <mergeCell ref="BA40:BB40"/>
    <mergeCell ref="BC40:BD40"/>
    <mergeCell ref="BE40:BF40"/>
    <mergeCell ref="AE40:AF40"/>
    <mergeCell ref="AG40:AH40"/>
    <mergeCell ref="AI40:AJ40"/>
    <mergeCell ref="AK40:AL40"/>
    <mergeCell ref="AM40:AN40"/>
    <mergeCell ref="AO40:AR40"/>
    <mergeCell ref="Q40:R40"/>
    <mergeCell ref="S40:T40"/>
    <mergeCell ref="U40:W40"/>
    <mergeCell ref="X40:Z40"/>
    <mergeCell ref="AA40:AB40"/>
    <mergeCell ref="AC40:AD40"/>
    <mergeCell ref="CN39:CO39"/>
    <mergeCell ref="AO39:AR39"/>
    <mergeCell ref="Q39:R39"/>
    <mergeCell ref="S39:T39"/>
    <mergeCell ref="U39:W39"/>
    <mergeCell ref="X39:Z39"/>
    <mergeCell ref="AA39:AB39"/>
    <mergeCell ref="AC39:AD39"/>
    <mergeCell ref="AM41:AN41"/>
    <mergeCell ref="AO41:AR41"/>
    <mergeCell ref="Q41:R41"/>
    <mergeCell ref="S41:T41"/>
    <mergeCell ref="U41:W41"/>
    <mergeCell ref="X41:Z41"/>
    <mergeCell ref="AA41:AB41"/>
    <mergeCell ref="AC41:AD41"/>
    <mergeCell ref="CN40:CO40"/>
    <mergeCell ref="CP40:CR40"/>
    <mergeCell ref="CS40:CU40"/>
    <mergeCell ref="CW40:CZ40"/>
    <mergeCell ref="B41:E41"/>
    <mergeCell ref="F41:H41"/>
    <mergeCell ref="I41:J41"/>
    <mergeCell ref="K41:L41"/>
    <mergeCell ref="M41:N41"/>
    <mergeCell ref="O41:P41"/>
    <mergeCell ref="BX40:BY40"/>
    <mergeCell ref="BZ40:CA40"/>
    <mergeCell ref="CB40:CD40"/>
    <mergeCell ref="CE40:CG40"/>
    <mergeCell ref="CH40:CJ40"/>
    <mergeCell ref="CK40:CM40"/>
    <mergeCell ref="BG40:BH40"/>
    <mergeCell ref="BI40:BL40"/>
    <mergeCell ref="BM40:BO40"/>
    <mergeCell ref="BP40:BQ40"/>
    <mergeCell ref="BR40:BS40"/>
    <mergeCell ref="BU40:BW40"/>
    <mergeCell ref="AS40:AU40"/>
    <mergeCell ref="AV40:AW40"/>
    <mergeCell ref="CN41:CO41"/>
    <mergeCell ref="CP41:CR41"/>
    <mergeCell ref="CS41:CU41"/>
    <mergeCell ref="CW41:CZ41"/>
    <mergeCell ref="B42:E42"/>
    <mergeCell ref="F42:H42"/>
    <mergeCell ref="I42:J42"/>
    <mergeCell ref="K42:L42"/>
    <mergeCell ref="M42:N42"/>
    <mergeCell ref="O42:P42"/>
    <mergeCell ref="BX41:BY41"/>
    <mergeCell ref="BZ41:CA41"/>
    <mergeCell ref="CB41:CD41"/>
    <mergeCell ref="CE41:CG41"/>
    <mergeCell ref="CH41:CJ41"/>
    <mergeCell ref="CK41:CM41"/>
    <mergeCell ref="BG41:BH41"/>
    <mergeCell ref="BI41:BL41"/>
    <mergeCell ref="BM41:BO41"/>
    <mergeCell ref="BP41:BQ41"/>
    <mergeCell ref="BR41:BS41"/>
    <mergeCell ref="BU41:BW41"/>
    <mergeCell ref="AS41:AU41"/>
    <mergeCell ref="AV41:AW41"/>
    <mergeCell ref="AX41:AY41"/>
    <mergeCell ref="BA41:BB41"/>
    <mergeCell ref="BC41:BD41"/>
    <mergeCell ref="BE41:BF41"/>
    <mergeCell ref="AE41:AF41"/>
    <mergeCell ref="AG41:AH41"/>
    <mergeCell ref="AI41:AJ41"/>
    <mergeCell ref="AK41:AL41"/>
    <mergeCell ref="CP42:CR42"/>
    <mergeCell ref="CS42:CU42"/>
    <mergeCell ref="CW42:CZ42"/>
    <mergeCell ref="B43:E43"/>
    <mergeCell ref="F43:H43"/>
    <mergeCell ref="I43:J43"/>
    <mergeCell ref="K43:L43"/>
    <mergeCell ref="M43:N43"/>
    <mergeCell ref="O43:P43"/>
    <mergeCell ref="BX42:BY42"/>
    <mergeCell ref="BZ42:CA42"/>
    <mergeCell ref="CB42:CD42"/>
    <mergeCell ref="CE42:CG42"/>
    <mergeCell ref="CH42:CJ42"/>
    <mergeCell ref="CK42:CM42"/>
    <mergeCell ref="BG42:BH42"/>
    <mergeCell ref="BI42:BL42"/>
    <mergeCell ref="BM42:BO42"/>
    <mergeCell ref="BP42:BQ42"/>
    <mergeCell ref="BR42:BS42"/>
    <mergeCell ref="BU42:BW42"/>
    <mergeCell ref="AS42:AU42"/>
    <mergeCell ref="AV42:AW42"/>
    <mergeCell ref="AX42:AY42"/>
    <mergeCell ref="BA42:BB42"/>
    <mergeCell ref="BC42:BD42"/>
    <mergeCell ref="BE42:BF42"/>
    <mergeCell ref="AE42:AF42"/>
    <mergeCell ref="AG42:AH42"/>
    <mergeCell ref="AI42:AJ42"/>
    <mergeCell ref="AK42:AL42"/>
    <mergeCell ref="AM42:AN42"/>
    <mergeCell ref="AX43:AY43"/>
    <mergeCell ref="BA43:BB43"/>
    <mergeCell ref="BC43:BD43"/>
    <mergeCell ref="BE43:BF43"/>
    <mergeCell ref="AE43:AF43"/>
    <mergeCell ref="AG43:AH43"/>
    <mergeCell ref="AI43:AJ43"/>
    <mergeCell ref="AK43:AL43"/>
    <mergeCell ref="AM43:AN43"/>
    <mergeCell ref="AO43:AR43"/>
    <mergeCell ref="Q43:R43"/>
    <mergeCell ref="S43:T43"/>
    <mergeCell ref="U43:W43"/>
    <mergeCell ref="X43:Z43"/>
    <mergeCell ref="AA43:AB43"/>
    <mergeCell ref="AC43:AD43"/>
    <mergeCell ref="CN42:CO42"/>
    <mergeCell ref="AO42:AR42"/>
    <mergeCell ref="Q42:R42"/>
    <mergeCell ref="S42:T42"/>
    <mergeCell ref="U42:W42"/>
    <mergeCell ref="X42:Z42"/>
    <mergeCell ref="AA42:AB42"/>
    <mergeCell ref="AC42:AD42"/>
    <mergeCell ref="AM44:AN44"/>
    <mergeCell ref="AO44:AR44"/>
    <mergeCell ref="Q44:R44"/>
    <mergeCell ref="S44:T44"/>
    <mergeCell ref="U44:W44"/>
    <mergeCell ref="X44:Z44"/>
    <mergeCell ref="AA44:AB44"/>
    <mergeCell ref="AC44:AD44"/>
    <mergeCell ref="CN43:CO43"/>
    <mergeCell ref="CP43:CR43"/>
    <mergeCell ref="CS43:CU43"/>
    <mergeCell ref="CW43:CZ43"/>
    <mergeCell ref="B44:E44"/>
    <mergeCell ref="F44:H44"/>
    <mergeCell ref="I44:J44"/>
    <mergeCell ref="K44:L44"/>
    <mergeCell ref="M44:N44"/>
    <mergeCell ref="O44:P44"/>
    <mergeCell ref="BX43:BY43"/>
    <mergeCell ref="BZ43:CA43"/>
    <mergeCell ref="CB43:CD43"/>
    <mergeCell ref="CE43:CG43"/>
    <mergeCell ref="CH43:CJ43"/>
    <mergeCell ref="CK43:CM43"/>
    <mergeCell ref="BG43:BH43"/>
    <mergeCell ref="BI43:BL43"/>
    <mergeCell ref="BM43:BO43"/>
    <mergeCell ref="BP43:BQ43"/>
    <mergeCell ref="BR43:BS43"/>
    <mergeCell ref="BU43:BW43"/>
    <mergeCell ref="AS43:AU43"/>
    <mergeCell ref="AV43:AW43"/>
    <mergeCell ref="CN44:CO44"/>
    <mergeCell ref="CP44:CR44"/>
    <mergeCell ref="CS44:CU44"/>
    <mergeCell ref="CW44:CZ44"/>
    <mergeCell ref="B45:E45"/>
    <mergeCell ref="F45:H45"/>
    <mergeCell ref="I45:J45"/>
    <mergeCell ref="K45:L45"/>
    <mergeCell ref="M45:N45"/>
    <mergeCell ref="O45:P45"/>
    <mergeCell ref="BX44:BY44"/>
    <mergeCell ref="BZ44:CA44"/>
    <mergeCell ref="CB44:CD44"/>
    <mergeCell ref="CE44:CG44"/>
    <mergeCell ref="CH44:CJ44"/>
    <mergeCell ref="CK44:CM44"/>
    <mergeCell ref="BG44:BH44"/>
    <mergeCell ref="BI44:BL44"/>
    <mergeCell ref="BM44:BO44"/>
    <mergeCell ref="BP44:BQ44"/>
    <mergeCell ref="BR44:BS44"/>
    <mergeCell ref="BU44:BW44"/>
    <mergeCell ref="AS44:AU44"/>
    <mergeCell ref="AV44:AW44"/>
    <mergeCell ref="AX44:AY44"/>
    <mergeCell ref="BA44:BB44"/>
    <mergeCell ref="BC44:BD44"/>
    <mergeCell ref="BE44:BF44"/>
    <mergeCell ref="AE44:AF44"/>
    <mergeCell ref="AG44:AH44"/>
    <mergeCell ref="AI44:AJ44"/>
    <mergeCell ref="AK44:AL44"/>
    <mergeCell ref="CP45:CR45"/>
    <mergeCell ref="CS45:CU45"/>
    <mergeCell ref="CW45:CZ45"/>
    <mergeCell ref="B46:E46"/>
    <mergeCell ref="F46:H46"/>
    <mergeCell ref="I46:J46"/>
    <mergeCell ref="K46:L46"/>
    <mergeCell ref="M46:N46"/>
    <mergeCell ref="O46:P46"/>
    <mergeCell ref="BX45:BY45"/>
    <mergeCell ref="BZ45:CA45"/>
    <mergeCell ref="CB45:CD45"/>
    <mergeCell ref="CE45:CG45"/>
    <mergeCell ref="CH45:CJ45"/>
    <mergeCell ref="CK45:CM45"/>
    <mergeCell ref="BG45:BH45"/>
    <mergeCell ref="BI45:BL45"/>
    <mergeCell ref="BM45:BO45"/>
    <mergeCell ref="BP45:BQ45"/>
    <mergeCell ref="BR45:BS45"/>
    <mergeCell ref="BU45:BW45"/>
    <mergeCell ref="AS45:AU45"/>
    <mergeCell ref="AV45:AW45"/>
    <mergeCell ref="AX45:AY45"/>
    <mergeCell ref="BA45:BB45"/>
    <mergeCell ref="BC45:BD45"/>
    <mergeCell ref="BE45:BF45"/>
    <mergeCell ref="AE45:AF45"/>
    <mergeCell ref="AG45:AH45"/>
    <mergeCell ref="AI45:AJ45"/>
    <mergeCell ref="AK45:AL45"/>
    <mergeCell ref="AM45:AN45"/>
    <mergeCell ref="AX46:AY46"/>
    <mergeCell ref="BA46:BB46"/>
    <mergeCell ref="BC46:BD46"/>
    <mergeCell ref="BE46:BF46"/>
    <mergeCell ref="AE46:AF46"/>
    <mergeCell ref="AG46:AH46"/>
    <mergeCell ref="AI46:AJ46"/>
    <mergeCell ref="AK46:AL46"/>
    <mergeCell ref="AM46:AN46"/>
    <mergeCell ref="AO46:AR46"/>
    <mergeCell ref="Q46:R46"/>
    <mergeCell ref="S46:T46"/>
    <mergeCell ref="U46:W46"/>
    <mergeCell ref="X46:Z46"/>
    <mergeCell ref="AA46:AB46"/>
    <mergeCell ref="AC46:AD46"/>
    <mergeCell ref="CN45:CO45"/>
    <mergeCell ref="AO45:AR45"/>
    <mergeCell ref="Q45:R45"/>
    <mergeCell ref="S45:T45"/>
    <mergeCell ref="U45:W45"/>
    <mergeCell ref="X45:Z45"/>
    <mergeCell ref="AA45:AB45"/>
    <mergeCell ref="AC45:AD45"/>
    <mergeCell ref="AM47:AN47"/>
    <mergeCell ref="AO47:AR47"/>
    <mergeCell ref="Q47:R47"/>
    <mergeCell ref="S47:T47"/>
    <mergeCell ref="U47:W47"/>
    <mergeCell ref="X47:Z47"/>
    <mergeCell ref="AA47:AB47"/>
    <mergeCell ref="AC47:AD47"/>
    <mergeCell ref="CN46:CO46"/>
    <mergeCell ref="CP46:CR46"/>
    <mergeCell ref="CS46:CU46"/>
    <mergeCell ref="CW46:CZ46"/>
    <mergeCell ref="B47:E47"/>
    <mergeCell ref="F47:H47"/>
    <mergeCell ref="I47:J47"/>
    <mergeCell ref="K47:L47"/>
    <mergeCell ref="M47:N47"/>
    <mergeCell ref="O47:P47"/>
    <mergeCell ref="BX46:BY46"/>
    <mergeCell ref="BZ46:CA46"/>
    <mergeCell ref="CB46:CD46"/>
    <mergeCell ref="CE46:CG46"/>
    <mergeCell ref="CH46:CJ46"/>
    <mergeCell ref="CK46:CM46"/>
    <mergeCell ref="BG46:BH46"/>
    <mergeCell ref="BI46:BL46"/>
    <mergeCell ref="BM46:BO46"/>
    <mergeCell ref="BP46:BQ46"/>
    <mergeCell ref="BR46:BS46"/>
    <mergeCell ref="BU46:BW46"/>
    <mergeCell ref="AS46:AU46"/>
    <mergeCell ref="AV46:AW46"/>
    <mergeCell ref="CN47:CO47"/>
    <mergeCell ref="CP47:CR47"/>
    <mergeCell ref="CS47:CU47"/>
    <mergeCell ref="CW47:CZ47"/>
    <mergeCell ref="B48:E48"/>
    <mergeCell ref="F48:H48"/>
    <mergeCell ref="I48:J48"/>
    <mergeCell ref="K48:L48"/>
    <mergeCell ref="M48:N48"/>
    <mergeCell ref="O48:P48"/>
    <mergeCell ref="BX47:BY47"/>
    <mergeCell ref="BZ47:CA47"/>
    <mergeCell ref="CB47:CD47"/>
    <mergeCell ref="CE47:CG47"/>
    <mergeCell ref="CH47:CJ47"/>
    <mergeCell ref="CK47:CM47"/>
    <mergeCell ref="BG47:BH47"/>
    <mergeCell ref="BI47:BL47"/>
    <mergeCell ref="BM47:BO47"/>
    <mergeCell ref="BP47:BQ47"/>
    <mergeCell ref="BR47:BS47"/>
    <mergeCell ref="BU47:BW47"/>
    <mergeCell ref="AS47:AU47"/>
    <mergeCell ref="AV47:AW47"/>
    <mergeCell ref="AX47:AY47"/>
    <mergeCell ref="BA47:BB47"/>
    <mergeCell ref="BC47:BD47"/>
    <mergeCell ref="BE47:BF47"/>
    <mergeCell ref="AE47:AF47"/>
    <mergeCell ref="AG47:AH47"/>
    <mergeCell ref="AI47:AJ47"/>
    <mergeCell ref="AK47:AL47"/>
    <mergeCell ref="CP48:CR48"/>
    <mergeCell ref="CS48:CU48"/>
    <mergeCell ref="CW48:CZ48"/>
    <mergeCell ref="B49:E49"/>
    <mergeCell ref="F49:H49"/>
    <mergeCell ref="I49:J49"/>
    <mergeCell ref="K49:L49"/>
    <mergeCell ref="M49:N49"/>
    <mergeCell ref="O49:P49"/>
    <mergeCell ref="BX48:BY48"/>
    <mergeCell ref="BZ48:CA48"/>
    <mergeCell ref="CB48:CD48"/>
    <mergeCell ref="CE48:CG48"/>
    <mergeCell ref="CH48:CJ48"/>
    <mergeCell ref="CK48:CM48"/>
    <mergeCell ref="BG48:BH48"/>
    <mergeCell ref="BI48:BL48"/>
    <mergeCell ref="BM48:BO48"/>
    <mergeCell ref="BP48:BQ48"/>
    <mergeCell ref="BR48:BS48"/>
    <mergeCell ref="BU48:BW48"/>
    <mergeCell ref="AS48:AU48"/>
    <mergeCell ref="AV48:AW48"/>
    <mergeCell ref="AX48:AY48"/>
    <mergeCell ref="BA48:BB48"/>
    <mergeCell ref="BC48:BD48"/>
    <mergeCell ref="BE48:BF48"/>
    <mergeCell ref="AE48:AF48"/>
    <mergeCell ref="AG48:AH48"/>
    <mergeCell ref="AI48:AJ48"/>
    <mergeCell ref="AK48:AL48"/>
    <mergeCell ref="AM48:AN48"/>
    <mergeCell ref="AX49:AY49"/>
    <mergeCell ref="BA49:BB49"/>
    <mergeCell ref="BC49:BD49"/>
    <mergeCell ref="BE49:BF49"/>
    <mergeCell ref="AE49:AF49"/>
    <mergeCell ref="AG49:AH49"/>
    <mergeCell ref="AI49:AJ49"/>
    <mergeCell ref="AK49:AL49"/>
    <mergeCell ref="AM49:AN49"/>
    <mergeCell ref="AO49:AR49"/>
    <mergeCell ref="Q49:R49"/>
    <mergeCell ref="S49:T49"/>
    <mergeCell ref="U49:W49"/>
    <mergeCell ref="X49:Z49"/>
    <mergeCell ref="AA49:AB49"/>
    <mergeCell ref="AC49:AD49"/>
    <mergeCell ref="CN48:CO48"/>
    <mergeCell ref="AO48:AR48"/>
    <mergeCell ref="Q48:R48"/>
    <mergeCell ref="S48:T48"/>
    <mergeCell ref="U48:W48"/>
    <mergeCell ref="X48:Z48"/>
    <mergeCell ref="AA48:AB48"/>
    <mergeCell ref="AC48:AD48"/>
    <mergeCell ref="AM50:AN50"/>
    <mergeCell ref="AO50:AR50"/>
    <mergeCell ref="Q50:R50"/>
    <mergeCell ref="S50:T50"/>
    <mergeCell ref="U50:W50"/>
    <mergeCell ref="X50:Z50"/>
    <mergeCell ref="AA50:AB50"/>
    <mergeCell ref="AC50:AD50"/>
    <mergeCell ref="CN49:CO49"/>
    <mergeCell ref="CP49:CR49"/>
    <mergeCell ref="CS49:CU49"/>
    <mergeCell ref="CW49:CZ49"/>
    <mergeCell ref="B50:E50"/>
    <mergeCell ref="F50:H50"/>
    <mergeCell ref="I50:J50"/>
    <mergeCell ref="K50:L50"/>
    <mergeCell ref="M50:N50"/>
    <mergeCell ref="O50:P50"/>
    <mergeCell ref="BX49:BY49"/>
    <mergeCell ref="BZ49:CA49"/>
    <mergeCell ref="CB49:CD49"/>
    <mergeCell ref="CE49:CG49"/>
    <mergeCell ref="CH49:CJ49"/>
    <mergeCell ref="CK49:CM49"/>
    <mergeCell ref="BG49:BH49"/>
    <mergeCell ref="BI49:BL49"/>
    <mergeCell ref="BM49:BO49"/>
    <mergeCell ref="BP49:BQ49"/>
    <mergeCell ref="BR49:BS49"/>
    <mergeCell ref="BU49:BW49"/>
    <mergeCell ref="AS49:AU49"/>
    <mergeCell ref="AV49:AW49"/>
    <mergeCell ref="CN50:CO50"/>
    <mergeCell ref="CP50:CR50"/>
    <mergeCell ref="CS50:CU50"/>
    <mergeCell ref="CW50:CZ50"/>
    <mergeCell ref="B51:E51"/>
    <mergeCell ref="F51:H51"/>
    <mergeCell ref="I51:J51"/>
    <mergeCell ref="K51:L51"/>
    <mergeCell ref="M51:N51"/>
    <mergeCell ref="O51:P51"/>
    <mergeCell ref="BX50:BY50"/>
    <mergeCell ref="BZ50:CA50"/>
    <mergeCell ref="CB50:CD50"/>
    <mergeCell ref="CE50:CG50"/>
    <mergeCell ref="CH50:CJ50"/>
    <mergeCell ref="CK50:CM50"/>
    <mergeCell ref="BG50:BH50"/>
    <mergeCell ref="BI50:BL50"/>
    <mergeCell ref="BM50:BO50"/>
    <mergeCell ref="BP50:BQ50"/>
    <mergeCell ref="BR50:BS50"/>
    <mergeCell ref="BU50:BW50"/>
    <mergeCell ref="AS50:AU50"/>
    <mergeCell ref="AV50:AW50"/>
    <mergeCell ref="AX50:AY50"/>
    <mergeCell ref="BA50:BB50"/>
    <mergeCell ref="BC50:BD50"/>
    <mergeCell ref="BE50:BF50"/>
    <mergeCell ref="AE50:AF50"/>
    <mergeCell ref="AG50:AH50"/>
    <mergeCell ref="AI50:AJ50"/>
    <mergeCell ref="AK50:AL50"/>
    <mergeCell ref="CP51:CR51"/>
    <mergeCell ref="CS51:CU51"/>
    <mergeCell ref="CW51:CZ51"/>
    <mergeCell ref="B52:E52"/>
    <mergeCell ref="F52:H52"/>
    <mergeCell ref="I52:J52"/>
    <mergeCell ref="K52:L52"/>
    <mergeCell ref="M52:N52"/>
    <mergeCell ref="O52:P52"/>
    <mergeCell ref="BX51:BY51"/>
    <mergeCell ref="BZ51:CA51"/>
    <mergeCell ref="CB51:CD51"/>
    <mergeCell ref="CE51:CG51"/>
    <mergeCell ref="CH51:CJ51"/>
    <mergeCell ref="CK51:CM51"/>
    <mergeCell ref="BG51:BH51"/>
    <mergeCell ref="BI51:BL51"/>
    <mergeCell ref="BM51:BO51"/>
    <mergeCell ref="BP51:BQ51"/>
    <mergeCell ref="BR51:BS51"/>
    <mergeCell ref="BU51:BW51"/>
    <mergeCell ref="AS51:AU51"/>
    <mergeCell ref="AV51:AW51"/>
    <mergeCell ref="AX51:AY51"/>
    <mergeCell ref="BA51:BB51"/>
    <mergeCell ref="BC51:BD51"/>
    <mergeCell ref="BE51:BF51"/>
    <mergeCell ref="AE51:AF51"/>
    <mergeCell ref="AG51:AH51"/>
    <mergeCell ref="AI51:AJ51"/>
    <mergeCell ref="AK51:AL51"/>
    <mergeCell ref="AM51:AN51"/>
    <mergeCell ref="AX52:AY52"/>
    <mergeCell ref="BA52:BB52"/>
    <mergeCell ref="BC52:BD52"/>
    <mergeCell ref="BE52:BF52"/>
    <mergeCell ref="AE52:AF52"/>
    <mergeCell ref="AG52:AH52"/>
    <mergeCell ref="AI52:AJ52"/>
    <mergeCell ref="AK52:AL52"/>
    <mergeCell ref="AM52:AN52"/>
    <mergeCell ref="AO52:AR52"/>
    <mergeCell ref="Q52:R52"/>
    <mergeCell ref="S52:T52"/>
    <mergeCell ref="U52:W52"/>
    <mergeCell ref="X52:Z52"/>
    <mergeCell ref="AA52:AB52"/>
    <mergeCell ref="AC52:AD52"/>
    <mergeCell ref="CN51:CO51"/>
    <mergeCell ref="AO51:AR51"/>
    <mergeCell ref="Q51:R51"/>
    <mergeCell ref="S51:T51"/>
    <mergeCell ref="U51:W51"/>
    <mergeCell ref="X51:Z51"/>
    <mergeCell ref="AA51:AB51"/>
    <mergeCell ref="AC51:AD51"/>
    <mergeCell ref="AM53:AN53"/>
    <mergeCell ref="AO53:AR53"/>
    <mergeCell ref="Q53:R53"/>
    <mergeCell ref="S53:T53"/>
    <mergeCell ref="U53:W53"/>
    <mergeCell ref="X53:Z53"/>
    <mergeCell ref="AA53:AB53"/>
    <mergeCell ref="AC53:AD53"/>
    <mergeCell ref="CN52:CO52"/>
    <mergeCell ref="CP52:CR52"/>
    <mergeCell ref="CS52:CU52"/>
    <mergeCell ref="CW52:CZ52"/>
    <mergeCell ref="B53:E53"/>
    <mergeCell ref="F53:H53"/>
    <mergeCell ref="I53:J53"/>
    <mergeCell ref="K53:L53"/>
    <mergeCell ref="M53:N53"/>
    <mergeCell ref="O53:P53"/>
    <mergeCell ref="BX52:BY52"/>
    <mergeCell ref="BZ52:CA52"/>
    <mergeCell ref="CB52:CD52"/>
    <mergeCell ref="CE52:CG52"/>
    <mergeCell ref="CH52:CJ52"/>
    <mergeCell ref="CK52:CM52"/>
    <mergeCell ref="BG52:BH52"/>
    <mergeCell ref="BI52:BL52"/>
    <mergeCell ref="BM52:BO52"/>
    <mergeCell ref="BP52:BQ52"/>
    <mergeCell ref="BR52:BS52"/>
    <mergeCell ref="BU52:BW52"/>
    <mergeCell ref="AS52:AU52"/>
    <mergeCell ref="AV52:AW52"/>
    <mergeCell ref="CN53:CO53"/>
    <mergeCell ref="CP53:CR53"/>
    <mergeCell ref="CS53:CU53"/>
    <mergeCell ref="CW53:CZ53"/>
    <mergeCell ref="B54:E54"/>
    <mergeCell ref="F54:H54"/>
    <mergeCell ref="I54:J54"/>
    <mergeCell ref="K54:L54"/>
    <mergeCell ref="M54:N54"/>
    <mergeCell ref="O54:P54"/>
    <mergeCell ref="BX53:BY53"/>
    <mergeCell ref="BZ53:CA53"/>
    <mergeCell ref="CB53:CD53"/>
    <mergeCell ref="CE53:CG53"/>
    <mergeCell ref="CH53:CJ53"/>
    <mergeCell ref="CK53:CM53"/>
    <mergeCell ref="BG53:BH53"/>
    <mergeCell ref="BI53:BL53"/>
    <mergeCell ref="BM53:BO53"/>
    <mergeCell ref="BP53:BQ53"/>
    <mergeCell ref="BR53:BS53"/>
    <mergeCell ref="BU53:BW53"/>
    <mergeCell ref="AS53:AU53"/>
    <mergeCell ref="AV53:AW53"/>
    <mergeCell ref="AX53:AY53"/>
    <mergeCell ref="BA53:BB53"/>
    <mergeCell ref="BC53:BD53"/>
    <mergeCell ref="BE53:BF53"/>
    <mergeCell ref="AE53:AF53"/>
    <mergeCell ref="AG53:AH53"/>
    <mergeCell ref="AI53:AJ53"/>
    <mergeCell ref="AK53:AL53"/>
    <mergeCell ref="BR54:BS54"/>
    <mergeCell ref="BU54:BW54"/>
    <mergeCell ref="AS54:AU54"/>
    <mergeCell ref="AV54:AW54"/>
    <mergeCell ref="AX54:AY54"/>
    <mergeCell ref="BA54:BB54"/>
    <mergeCell ref="BC54:BD54"/>
    <mergeCell ref="BE54:BF54"/>
    <mergeCell ref="AE54:AF54"/>
    <mergeCell ref="AG54:AH54"/>
    <mergeCell ref="AI54:AJ54"/>
    <mergeCell ref="AK54:AL54"/>
    <mergeCell ref="AM54:AN54"/>
    <mergeCell ref="AO54:AR54"/>
    <mergeCell ref="Q54:R54"/>
    <mergeCell ref="S54:T54"/>
    <mergeCell ref="U54:W54"/>
    <mergeCell ref="X54:Z54"/>
    <mergeCell ref="AA54:AB54"/>
    <mergeCell ref="AC54:AD54"/>
    <mergeCell ref="AE55:AF55"/>
    <mergeCell ref="AG55:AH55"/>
    <mergeCell ref="AI55:AJ55"/>
    <mergeCell ref="AK55:AL55"/>
    <mergeCell ref="AM55:AN55"/>
    <mergeCell ref="AO55:AR55"/>
    <mergeCell ref="Q55:R55"/>
    <mergeCell ref="S55:T55"/>
    <mergeCell ref="U55:W55"/>
    <mergeCell ref="X55:Z55"/>
    <mergeCell ref="AA55:AB55"/>
    <mergeCell ref="AC55:AD55"/>
    <mergeCell ref="CN54:CO54"/>
    <mergeCell ref="CP54:CR54"/>
    <mergeCell ref="CS54:CU54"/>
    <mergeCell ref="CW54:CZ54"/>
    <mergeCell ref="B55:E55"/>
    <mergeCell ref="F55:H55"/>
    <mergeCell ref="I55:J55"/>
    <mergeCell ref="K55:L55"/>
    <mergeCell ref="M55:N55"/>
    <mergeCell ref="O55:P55"/>
    <mergeCell ref="BX54:BY54"/>
    <mergeCell ref="BZ54:CA54"/>
    <mergeCell ref="CB54:CD54"/>
    <mergeCell ref="CE54:CG54"/>
    <mergeCell ref="CH54:CJ54"/>
    <mergeCell ref="CK54:CM54"/>
    <mergeCell ref="BG54:BH54"/>
    <mergeCell ref="BI54:BL54"/>
    <mergeCell ref="BM54:BO54"/>
    <mergeCell ref="BP54:BQ54"/>
    <mergeCell ref="CN55:CO55"/>
    <mergeCell ref="CP55:CR55"/>
    <mergeCell ref="CS55:CU55"/>
    <mergeCell ref="CW55:CZ55"/>
    <mergeCell ref="BX55:BY55"/>
    <mergeCell ref="BZ55:CA55"/>
    <mergeCell ref="CB55:CD55"/>
    <mergeCell ref="CE55:CG55"/>
    <mergeCell ref="CH55:CJ55"/>
    <mergeCell ref="CK55:CM55"/>
    <mergeCell ref="BG55:BH55"/>
    <mergeCell ref="BI55:BL55"/>
    <mergeCell ref="BM55:BO55"/>
    <mergeCell ref="BP55:BQ55"/>
    <mergeCell ref="BR55:BS55"/>
    <mergeCell ref="BU55:BW55"/>
    <mergeCell ref="AS55:AU55"/>
    <mergeCell ref="AV55:AW55"/>
    <mergeCell ref="AX55:AY55"/>
    <mergeCell ref="BA55:BB55"/>
    <mergeCell ref="BC55:BD55"/>
    <mergeCell ref="BE55:BF55"/>
    <mergeCell ref="AE6:AF6"/>
    <mergeCell ref="AG6:AH6"/>
    <mergeCell ref="AI6:AJ6"/>
    <mergeCell ref="BU5:CD5"/>
    <mergeCell ref="CE5:CO5"/>
    <mergeCell ref="CP5:CV5"/>
    <mergeCell ref="CW5:CZ6"/>
    <mergeCell ref="K6:L6"/>
    <mergeCell ref="M6:N6"/>
    <mergeCell ref="O6:P6"/>
    <mergeCell ref="Q6:R6"/>
    <mergeCell ref="S6:T6"/>
    <mergeCell ref="U6:W6"/>
    <mergeCell ref="A5:A6"/>
    <mergeCell ref="B5:E6"/>
    <mergeCell ref="F5:H6"/>
    <mergeCell ref="I5:J6"/>
    <mergeCell ref="K5:R5"/>
    <mergeCell ref="S5:AB5"/>
    <mergeCell ref="AC5:AJ5"/>
    <mergeCell ref="AK5:AU5"/>
    <mergeCell ref="BA6:BB6"/>
    <mergeCell ref="BC6:BD6"/>
    <mergeCell ref="BE6:BF6"/>
    <mergeCell ref="BG6:BH6"/>
    <mergeCell ref="AV5:BB5"/>
    <mergeCell ref="BC5:BL5"/>
    <mergeCell ref="BM5:BT5"/>
    <mergeCell ref="A1:DG1"/>
    <mergeCell ref="A2:DG2"/>
    <mergeCell ref="A3:DG3"/>
    <mergeCell ref="A4:DG4"/>
    <mergeCell ref="DA5:DA6"/>
    <mergeCell ref="CP6:CR6"/>
    <mergeCell ref="CS6:CU6"/>
    <mergeCell ref="B7:E7"/>
    <mergeCell ref="F7:H7"/>
    <mergeCell ref="I7:J7"/>
    <mergeCell ref="CW7:CZ7"/>
    <mergeCell ref="BZ6:CA6"/>
    <mergeCell ref="CB6:CD6"/>
    <mergeCell ref="CE6:CG6"/>
    <mergeCell ref="CH6:CJ6"/>
    <mergeCell ref="CK6:CM6"/>
    <mergeCell ref="CN6:CO6"/>
    <mergeCell ref="BI6:BL6"/>
    <mergeCell ref="BM6:BO6"/>
    <mergeCell ref="BP6:BQ6"/>
    <mergeCell ref="BR6:BS6"/>
    <mergeCell ref="BU6:BW6"/>
    <mergeCell ref="BX6:BY6"/>
    <mergeCell ref="AK6:AL6"/>
    <mergeCell ref="AM6:AN6"/>
    <mergeCell ref="AO6:AR6"/>
    <mergeCell ref="AS6:AU6"/>
    <mergeCell ref="AV6:AW6"/>
    <mergeCell ref="AX6:AY6"/>
    <mergeCell ref="X6:Z6"/>
    <mergeCell ref="AA6:AB6"/>
    <mergeCell ref="AC6:AD6"/>
  </mergeCells>
  <pageMargins left="0.7" right="0.7" top="0.75" bottom="0.75" header="0.3" footer="0.3"/>
  <pageSetup paperSize="9" scale="4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4"/>
  <sheetViews>
    <sheetView topLeftCell="A13" workbookViewId="0">
      <selection activeCell="D5" sqref="D5"/>
    </sheetView>
  </sheetViews>
  <sheetFormatPr defaultRowHeight="15"/>
  <cols>
    <col min="1" max="1" width="12.5" style="355" customWidth="1"/>
    <col min="2" max="2" width="58.5" style="355" bestFit="1" customWidth="1"/>
    <col min="3" max="16384" width="9.33203125" style="355"/>
  </cols>
  <sheetData>
    <row r="1" spans="1:86" ht="39.75" customHeight="1">
      <c r="A1" s="1031" t="s">
        <v>409</v>
      </c>
      <c r="B1" s="1032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9"/>
    </row>
    <row r="2" spans="1:86" ht="33.75" customHeight="1">
      <c r="A2" s="1034" t="s">
        <v>613</v>
      </c>
      <c r="B2" s="799"/>
      <c r="C2" s="350"/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1"/>
    </row>
    <row r="3" spans="1:86" ht="36" customHeight="1" thickBot="1">
      <c r="A3" s="1437" t="s">
        <v>529</v>
      </c>
      <c r="B3" s="1438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  <c r="AK3" s="352"/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52"/>
      <c r="AX3" s="352"/>
      <c r="AY3" s="352"/>
      <c r="AZ3" s="352"/>
      <c r="BA3" s="352"/>
      <c r="BB3" s="352"/>
      <c r="BC3" s="352"/>
      <c r="BD3" s="352"/>
      <c r="BE3" s="352"/>
      <c r="BF3" s="352"/>
      <c r="BG3" s="352"/>
      <c r="BH3" s="352"/>
      <c r="BI3" s="352"/>
      <c r="BJ3" s="352"/>
      <c r="BK3" s="352"/>
      <c r="BL3" s="352"/>
      <c r="BM3" s="352"/>
      <c r="BN3" s="352"/>
      <c r="BO3" s="352"/>
      <c r="BP3" s="352"/>
      <c r="BQ3" s="352"/>
      <c r="BR3" s="352"/>
      <c r="BS3" s="352"/>
      <c r="BT3" s="352"/>
      <c r="BU3" s="352"/>
      <c r="BV3" s="352"/>
      <c r="BW3" s="352"/>
      <c r="BX3" s="352"/>
      <c r="BY3" s="352"/>
      <c r="BZ3" s="352"/>
      <c r="CA3" s="352"/>
      <c r="CB3" s="352"/>
      <c r="CC3" s="352"/>
      <c r="CD3" s="352"/>
      <c r="CE3" s="352"/>
      <c r="CF3" s="352"/>
      <c r="CG3" s="352"/>
      <c r="CH3" s="353"/>
    </row>
    <row r="4" spans="1:86" ht="24" thickBot="1">
      <c r="A4" s="397" t="s">
        <v>0</v>
      </c>
      <c r="B4" s="398" t="s">
        <v>551</v>
      </c>
    </row>
    <row r="5" spans="1:86" ht="32.25" thickBot="1">
      <c r="A5" s="399">
        <v>1</v>
      </c>
      <c r="B5" s="400" t="s">
        <v>603</v>
      </c>
    </row>
    <row r="6" spans="1:86" ht="32.25" thickBot="1">
      <c r="A6" s="399">
        <v>2</v>
      </c>
      <c r="B6" s="400" t="s">
        <v>604</v>
      </c>
    </row>
    <row r="7" spans="1:86" ht="32.25" thickBot="1">
      <c r="A7" s="399">
        <v>3</v>
      </c>
      <c r="B7" s="400" t="s">
        <v>232</v>
      </c>
    </row>
    <row r="8" spans="1:86" ht="32.25" thickBot="1">
      <c r="A8" s="399">
        <v>4</v>
      </c>
      <c r="B8" s="400" t="s">
        <v>234</v>
      </c>
    </row>
    <row r="9" spans="1:86" ht="24" thickBot="1">
      <c r="A9" s="399">
        <v>5</v>
      </c>
      <c r="B9" s="400" t="s">
        <v>231</v>
      </c>
    </row>
    <row r="10" spans="1:86" ht="24" thickBot="1">
      <c r="A10" s="399">
        <v>6</v>
      </c>
      <c r="B10" s="400" t="s">
        <v>233</v>
      </c>
    </row>
    <row r="11" spans="1:86" ht="32.25" thickBot="1">
      <c r="A11" s="399">
        <v>7</v>
      </c>
      <c r="B11" s="400" t="s">
        <v>605</v>
      </c>
    </row>
    <row r="12" spans="1:86" ht="32.25" thickBot="1">
      <c r="A12" s="401">
        <v>8</v>
      </c>
      <c r="B12" s="400" t="s">
        <v>606</v>
      </c>
    </row>
    <row r="13" spans="1:86" ht="24" thickBot="1">
      <c r="A13" s="399">
        <v>9</v>
      </c>
      <c r="B13" s="400" t="s">
        <v>607</v>
      </c>
    </row>
    <row r="14" spans="1:86" ht="24" thickBot="1">
      <c r="A14" s="399">
        <v>10</v>
      </c>
      <c r="B14" s="400" t="s">
        <v>608</v>
      </c>
    </row>
    <row r="15" spans="1:86" ht="32.25" thickBot="1">
      <c r="A15" s="399">
        <v>11</v>
      </c>
      <c r="B15" s="400" t="s">
        <v>609</v>
      </c>
    </row>
    <row r="16" spans="1:86" ht="32.25" thickBot="1">
      <c r="A16" s="399">
        <v>12</v>
      </c>
      <c r="B16" s="400" t="s">
        <v>610</v>
      </c>
    </row>
    <row r="17" spans="1:2" ht="24" thickBot="1">
      <c r="A17" s="399">
        <v>13</v>
      </c>
      <c r="B17" s="400" t="s">
        <v>235</v>
      </c>
    </row>
    <row r="18" spans="1:2" ht="24" thickBot="1">
      <c r="A18" s="399">
        <v>14</v>
      </c>
      <c r="B18" s="400" t="s">
        <v>236</v>
      </c>
    </row>
    <row r="19" spans="1:2" ht="24" thickBot="1">
      <c r="A19" s="399">
        <v>15</v>
      </c>
      <c r="B19" s="400" t="s">
        <v>237</v>
      </c>
    </row>
    <row r="20" spans="1:2" ht="32.25" thickBot="1">
      <c r="A20" s="399">
        <v>16</v>
      </c>
      <c r="B20" s="400" t="s">
        <v>238</v>
      </c>
    </row>
    <row r="21" spans="1:2" ht="32.25" thickBot="1">
      <c r="A21" s="399">
        <v>17</v>
      </c>
      <c r="B21" s="400" t="s">
        <v>611</v>
      </c>
    </row>
    <row r="22" spans="1:2" ht="32.25" thickBot="1">
      <c r="A22" s="399">
        <v>18</v>
      </c>
      <c r="B22" s="400" t="s">
        <v>612</v>
      </c>
    </row>
    <row r="23" spans="1:2" ht="27" thickBot="1">
      <c r="A23" s="399"/>
      <c r="B23" s="402" t="s">
        <v>421</v>
      </c>
    </row>
    <row r="24" spans="1:2">
      <c r="B24" s="555">
        <f>COUNTA(A5:A22)</f>
        <v>18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8"/>
  <sheetViews>
    <sheetView view="pageBreakPreview" zoomScale="60" workbookViewId="0">
      <selection activeCell="CM5" sqref="CM5:CM6"/>
    </sheetView>
  </sheetViews>
  <sheetFormatPr defaultRowHeight="46.5" customHeight="1"/>
  <cols>
    <col min="1" max="2" width="9.33203125" style="40"/>
    <col min="3" max="3" width="104.33203125" style="40" customWidth="1"/>
    <col min="4" max="80" width="0" style="40" hidden="1" customWidth="1"/>
    <col min="81" max="81" width="22.5" style="40" hidden="1" customWidth="1"/>
    <col min="82" max="82" width="28" style="40" customWidth="1"/>
    <col min="83" max="84" width="0" style="40" hidden="1" customWidth="1"/>
    <col min="85" max="90" width="9.33203125" style="40"/>
    <col min="91" max="91" width="105.6640625" style="40" customWidth="1"/>
    <col min="92" max="16384" width="9.33203125" style="40"/>
  </cols>
  <sheetData>
    <row r="1" spans="1:108" ht="46.5" customHeight="1">
      <c r="A1" s="1439" t="s">
        <v>409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  <c r="U1" s="1440"/>
      <c r="V1" s="1440"/>
      <c r="W1" s="1440"/>
      <c r="X1" s="1440"/>
      <c r="Y1" s="1440"/>
      <c r="Z1" s="1440"/>
      <c r="AA1" s="1440"/>
      <c r="AB1" s="1440"/>
      <c r="AC1" s="1440"/>
      <c r="AD1" s="1440"/>
      <c r="AE1" s="1440"/>
      <c r="AF1" s="1440"/>
      <c r="AG1" s="1440"/>
      <c r="AH1" s="1440"/>
      <c r="AI1" s="1440"/>
      <c r="AJ1" s="1440"/>
      <c r="AK1" s="1440"/>
      <c r="AL1" s="1440"/>
      <c r="AM1" s="1440"/>
      <c r="AN1" s="1440"/>
      <c r="AO1" s="1440"/>
      <c r="AP1" s="1440"/>
      <c r="AQ1" s="1440"/>
      <c r="AR1" s="1440"/>
      <c r="AS1" s="1440"/>
      <c r="AT1" s="1440"/>
      <c r="AU1" s="1440"/>
      <c r="AV1" s="1440"/>
      <c r="AW1" s="1440"/>
      <c r="AX1" s="1440"/>
      <c r="AY1" s="1440"/>
      <c r="AZ1" s="1440"/>
      <c r="BA1" s="1440"/>
      <c r="BB1" s="1440"/>
      <c r="BC1" s="1440"/>
      <c r="BD1" s="1440"/>
      <c r="BE1" s="1440"/>
      <c r="BF1" s="1440"/>
      <c r="BG1" s="1440"/>
      <c r="BH1" s="1440"/>
      <c r="BI1" s="1440"/>
      <c r="BJ1" s="1440"/>
      <c r="BK1" s="1440"/>
      <c r="BL1" s="1440"/>
      <c r="BM1" s="1440"/>
      <c r="BN1" s="1440"/>
      <c r="BO1" s="1440"/>
      <c r="BP1" s="1440"/>
      <c r="BQ1" s="1440"/>
      <c r="BR1" s="1440"/>
      <c r="BS1" s="1440"/>
      <c r="BT1" s="1440"/>
      <c r="BU1" s="1440"/>
      <c r="BV1" s="1440"/>
      <c r="BW1" s="1440"/>
      <c r="BX1" s="1440"/>
      <c r="BY1" s="1440"/>
      <c r="BZ1" s="1440"/>
      <c r="CA1" s="1440"/>
      <c r="CB1" s="1440"/>
      <c r="CC1" s="1440"/>
      <c r="CD1" s="1440"/>
      <c r="CE1" s="1440"/>
      <c r="CF1" s="1440"/>
      <c r="CG1" s="1440"/>
      <c r="CH1" s="1440"/>
      <c r="CI1" s="1440"/>
      <c r="CJ1" s="1440"/>
      <c r="CK1" s="1440"/>
      <c r="CL1" s="1440"/>
      <c r="CM1" s="1441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6"/>
    </row>
    <row r="2" spans="1:108" ht="46.5" customHeight="1">
      <c r="A2" s="1442" t="s">
        <v>522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6"/>
      <c r="AC2" s="1366"/>
      <c r="AD2" s="1366"/>
      <c r="AE2" s="1366"/>
      <c r="AF2" s="1366"/>
      <c r="AG2" s="1366"/>
      <c r="AH2" s="1366"/>
      <c r="AI2" s="1366"/>
      <c r="AJ2" s="1366"/>
      <c r="AK2" s="1366"/>
      <c r="AL2" s="1366"/>
      <c r="AM2" s="1366"/>
      <c r="AN2" s="1366"/>
      <c r="AO2" s="1366"/>
      <c r="AP2" s="1366"/>
      <c r="AQ2" s="1366"/>
      <c r="AR2" s="1366"/>
      <c r="AS2" s="1366"/>
      <c r="AT2" s="1366"/>
      <c r="AU2" s="1366"/>
      <c r="AV2" s="1366"/>
      <c r="AW2" s="1366"/>
      <c r="AX2" s="1366"/>
      <c r="AY2" s="1366"/>
      <c r="AZ2" s="1366"/>
      <c r="BA2" s="1366"/>
      <c r="BB2" s="1366"/>
      <c r="BC2" s="1366"/>
      <c r="BD2" s="1366"/>
      <c r="BE2" s="1366"/>
      <c r="BF2" s="1366"/>
      <c r="BG2" s="1366"/>
      <c r="BH2" s="1366"/>
      <c r="BI2" s="1366"/>
      <c r="BJ2" s="1366"/>
      <c r="BK2" s="1366"/>
      <c r="BL2" s="1366"/>
      <c r="BM2" s="1366"/>
      <c r="BN2" s="1366"/>
      <c r="BO2" s="1366"/>
      <c r="BP2" s="1366"/>
      <c r="BQ2" s="1366"/>
      <c r="BR2" s="1366"/>
      <c r="BS2" s="1366"/>
      <c r="BT2" s="1366"/>
      <c r="BU2" s="1366"/>
      <c r="BV2" s="1366"/>
      <c r="BW2" s="1366"/>
      <c r="BX2" s="1366"/>
      <c r="BY2" s="1366"/>
      <c r="BZ2" s="1366"/>
      <c r="CA2" s="1366"/>
      <c r="CB2" s="1366"/>
      <c r="CC2" s="1366"/>
      <c r="CD2" s="1366"/>
      <c r="CE2" s="1366"/>
      <c r="CF2" s="1366"/>
      <c r="CG2" s="1366"/>
      <c r="CH2" s="1366"/>
      <c r="CI2" s="1366"/>
      <c r="CJ2" s="1366"/>
      <c r="CK2" s="1366"/>
      <c r="CL2" s="1366"/>
      <c r="CM2" s="1443"/>
      <c r="CN2" s="177"/>
      <c r="CO2" s="177"/>
      <c r="CP2" s="177"/>
      <c r="CQ2" s="177"/>
      <c r="CR2" s="177"/>
      <c r="CS2" s="177"/>
      <c r="CT2" s="177"/>
      <c r="CU2" s="177"/>
      <c r="CV2" s="177"/>
      <c r="CW2" s="177"/>
      <c r="CX2" s="177"/>
      <c r="CY2" s="177"/>
      <c r="CZ2" s="177"/>
      <c r="DA2" s="177"/>
      <c r="DB2" s="177"/>
      <c r="DC2" s="177"/>
      <c r="DD2" s="178"/>
    </row>
    <row r="3" spans="1:108" ht="46.5" customHeight="1">
      <c r="A3" s="1442" t="s">
        <v>523</v>
      </c>
      <c r="B3" s="1366"/>
      <c r="C3" s="1366"/>
      <c r="D3" s="1366"/>
      <c r="E3" s="1366"/>
      <c r="F3" s="1366"/>
      <c r="G3" s="1366"/>
      <c r="H3" s="1366"/>
      <c r="I3" s="1366"/>
      <c r="J3" s="1366"/>
      <c r="K3" s="1366"/>
      <c r="L3" s="1366"/>
      <c r="M3" s="1366"/>
      <c r="N3" s="1366"/>
      <c r="O3" s="1366"/>
      <c r="P3" s="1366"/>
      <c r="Q3" s="1366"/>
      <c r="R3" s="1366"/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6"/>
      <c r="AD3" s="1366"/>
      <c r="AE3" s="1366"/>
      <c r="AF3" s="1366"/>
      <c r="AG3" s="1366"/>
      <c r="AH3" s="1366"/>
      <c r="AI3" s="1366"/>
      <c r="AJ3" s="1366"/>
      <c r="AK3" s="1366"/>
      <c r="AL3" s="1366"/>
      <c r="AM3" s="1366"/>
      <c r="AN3" s="1366"/>
      <c r="AO3" s="1366"/>
      <c r="AP3" s="1366"/>
      <c r="AQ3" s="1366"/>
      <c r="AR3" s="1366"/>
      <c r="AS3" s="1366"/>
      <c r="AT3" s="1366"/>
      <c r="AU3" s="1366"/>
      <c r="AV3" s="1366"/>
      <c r="AW3" s="1366"/>
      <c r="AX3" s="1366"/>
      <c r="AY3" s="1366"/>
      <c r="AZ3" s="1366"/>
      <c r="BA3" s="1366"/>
      <c r="BB3" s="1366"/>
      <c r="BC3" s="1366"/>
      <c r="BD3" s="1366"/>
      <c r="BE3" s="1366"/>
      <c r="BF3" s="1366"/>
      <c r="BG3" s="1366"/>
      <c r="BH3" s="1366"/>
      <c r="BI3" s="1366"/>
      <c r="BJ3" s="1366"/>
      <c r="BK3" s="1366"/>
      <c r="BL3" s="1366"/>
      <c r="BM3" s="1366"/>
      <c r="BN3" s="1366"/>
      <c r="BO3" s="1366"/>
      <c r="BP3" s="1366"/>
      <c r="BQ3" s="1366"/>
      <c r="BR3" s="1366"/>
      <c r="BS3" s="1366"/>
      <c r="BT3" s="1366"/>
      <c r="BU3" s="1366"/>
      <c r="BV3" s="1366"/>
      <c r="BW3" s="1366"/>
      <c r="BX3" s="1366"/>
      <c r="BY3" s="1366"/>
      <c r="BZ3" s="1366"/>
      <c r="CA3" s="1366"/>
      <c r="CB3" s="1366"/>
      <c r="CC3" s="1366"/>
      <c r="CD3" s="1366"/>
      <c r="CE3" s="1366"/>
      <c r="CF3" s="1366"/>
      <c r="CG3" s="1366"/>
      <c r="CH3" s="1366"/>
      <c r="CI3" s="1366"/>
      <c r="CJ3" s="1366"/>
      <c r="CK3" s="1366"/>
      <c r="CL3" s="1366"/>
      <c r="CM3" s="1443"/>
      <c r="CN3" s="177"/>
      <c r="CO3" s="177"/>
      <c r="CP3" s="177"/>
      <c r="CQ3" s="177"/>
      <c r="CR3" s="177"/>
      <c r="CS3" s="177"/>
      <c r="CT3" s="177"/>
      <c r="CU3" s="177"/>
      <c r="CV3" s="177"/>
      <c r="CW3" s="177"/>
      <c r="CX3" s="177"/>
      <c r="CY3" s="177"/>
      <c r="CZ3" s="177"/>
      <c r="DA3" s="177"/>
      <c r="DB3" s="177"/>
      <c r="DC3" s="177"/>
      <c r="DD3" s="178"/>
    </row>
    <row r="4" spans="1:108" ht="46.5" customHeight="1">
      <c r="A4" s="1444" t="s">
        <v>529</v>
      </c>
      <c r="B4" s="1363"/>
      <c r="C4" s="1363"/>
      <c r="D4" s="1363"/>
      <c r="E4" s="1363"/>
      <c r="F4" s="1363"/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1363"/>
      <c r="S4" s="1363"/>
      <c r="T4" s="1363"/>
      <c r="U4" s="1363"/>
      <c r="V4" s="1363"/>
      <c r="W4" s="1363"/>
      <c r="X4" s="1363"/>
      <c r="Y4" s="1363"/>
      <c r="Z4" s="1363"/>
      <c r="AA4" s="1363"/>
      <c r="AB4" s="1363"/>
      <c r="AC4" s="1363"/>
      <c r="AD4" s="1363"/>
      <c r="AE4" s="1363"/>
      <c r="AF4" s="1363"/>
      <c r="AG4" s="1363"/>
      <c r="AH4" s="1363"/>
      <c r="AI4" s="1363"/>
      <c r="AJ4" s="1363"/>
      <c r="AK4" s="1363"/>
      <c r="AL4" s="1363"/>
      <c r="AM4" s="1363"/>
      <c r="AN4" s="1363"/>
      <c r="AO4" s="1363"/>
      <c r="AP4" s="1363"/>
      <c r="AQ4" s="1363"/>
      <c r="AR4" s="1363"/>
      <c r="AS4" s="1363"/>
      <c r="AT4" s="1363"/>
      <c r="AU4" s="1363"/>
      <c r="AV4" s="1363"/>
      <c r="AW4" s="1363"/>
      <c r="AX4" s="1363"/>
      <c r="AY4" s="1363"/>
      <c r="AZ4" s="1363"/>
      <c r="BA4" s="1363"/>
      <c r="BB4" s="1363"/>
      <c r="BC4" s="1363"/>
      <c r="BD4" s="1363"/>
      <c r="BE4" s="1363"/>
      <c r="BF4" s="1363"/>
      <c r="BG4" s="1363"/>
      <c r="BH4" s="1363"/>
      <c r="BI4" s="1363"/>
      <c r="BJ4" s="1363"/>
      <c r="BK4" s="1363"/>
      <c r="BL4" s="1363"/>
      <c r="BM4" s="1363"/>
      <c r="BN4" s="1363"/>
      <c r="BO4" s="1363"/>
      <c r="BP4" s="1363"/>
      <c r="BQ4" s="1363"/>
      <c r="BR4" s="1363"/>
      <c r="BS4" s="1363"/>
      <c r="BT4" s="1363"/>
      <c r="BU4" s="1363"/>
      <c r="BV4" s="1363"/>
      <c r="BW4" s="1363"/>
      <c r="BX4" s="1363"/>
      <c r="BY4" s="1363"/>
      <c r="BZ4" s="1363"/>
      <c r="CA4" s="1363"/>
      <c r="CB4" s="1363"/>
      <c r="CC4" s="1363"/>
      <c r="CD4" s="1363"/>
      <c r="CE4" s="1363"/>
      <c r="CF4" s="1363"/>
      <c r="CG4" s="1363"/>
      <c r="CH4" s="1363"/>
      <c r="CI4" s="1363"/>
      <c r="CJ4" s="1363"/>
      <c r="CK4" s="1363"/>
      <c r="CL4" s="1363"/>
      <c r="CM4" s="1445"/>
      <c r="CN4" s="175"/>
      <c r="CO4" s="175"/>
      <c r="CP4" s="175"/>
      <c r="CQ4" s="175"/>
      <c r="CR4" s="175"/>
      <c r="CS4" s="175"/>
      <c r="CT4" s="175"/>
      <c r="CU4" s="175"/>
      <c r="CV4" s="175"/>
      <c r="CW4" s="175"/>
      <c r="CX4" s="175"/>
      <c r="CY4" s="175"/>
      <c r="CZ4" s="175"/>
      <c r="DA4" s="175"/>
      <c r="DB4" s="175"/>
      <c r="DC4" s="175"/>
      <c r="DD4" s="176"/>
    </row>
    <row r="5" spans="1:108" ht="46.5" customHeight="1">
      <c r="A5" s="1085"/>
      <c r="B5" s="715"/>
      <c r="C5" s="716"/>
      <c r="D5" s="1093"/>
      <c r="E5" s="1094"/>
      <c r="F5" s="1095"/>
      <c r="G5" s="1093"/>
      <c r="H5" s="1095"/>
      <c r="I5" s="830"/>
      <c r="J5" s="831"/>
      <c r="K5" s="831"/>
      <c r="L5" s="831"/>
      <c r="M5" s="831"/>
      <c r="N5" s="831"/>
      <c r="O5" s="831"/>
      <c r="P5" s="832"/>
      <c r="Q5" s="830"/>
      <c r="R5" s="831"/>
      <c r="S5" s="831"/>
      <c r="T5" s="831"/>
      <c r="U5" s="831"/>
      <c r="V5" s="831"/>
      <c r="W5" s="831"/>
      <c r="X5" s="831"/>
      <c r="Y5" s="832"/>
      <c r="Z5" s="830"/>
      <c r="AA5" s="831"/>
      <c r="AB5" s="831"/>
      <c r="AC5" s="831"/>
      <c r="AD5" s="831"/>
      <c r="AE5" s="831"/>
      <c r="AF5" s="831"/>
      <c r="AG5" s="832"/>
      <c r="AH5" s="1080"/>
      <c r="AI5" s="1096"/>
      <c r="AJ5" s="1096"/>
      <c r="AK5" s="1096"/>
      <c r="AL5" s="1096"/>
      <c r="AM5" s="1096"/>
      <c r="AN5" s="1096"/>
      <c r="AO5" s="1096"/>
      <c r="AP5" s="1096"/>
      <c r="AQ5" s="1096"/>
      <c r="AR5" s="1081"/>
      <c r="AS5" s="830"/>
      <c r="AT5" s="831"/>
      <c r="AU5" s="831"/>
      <c r="AV5" s="831"/>
      <c r="AW5" s="831"/>
      <c r="AX5" s="832"/>
      <c r="AY5" s="830"/>
      <c r="AZ5" s="831"/>
      <c r="BA5" s="831"/>
      <c r="BB5" s="831"/>
      <c r="BC5" s="831"/>
      <c r="BD5" s="831"/>
      <c r="BE5" s="831"/>
      <c r="BF5" s="831"/>
      <c r="BG5" s="832"/>
      <c r="BH5" s="830"/>
      <c r="BI5" s="831"/>
      <c r="BJ5" s="831"/>
      <c r="BK5" s="831"/>
      <c r="BL5" s="831"/>
      <c r="BM5" s="831"/>
      <c r="BN5" s="831"/>
      <c r="BO5" s="831"/>
      <c r="BP5" s="832"/>
      <c r="BQ5" s="816"/>
      <c r="BR5" s="817"/>
      <c r="BS5" s="817"/>
      <c r="BT5" s="817"/>
      <c r="BU5" s="817"/>
      <c r="BV5" s="817"/>
      <c r="BW5" s="817"/>
      <c r="BX5" s="817"/>
      <c r="BY5" s="817"/>
      <c r="BZ5" s="818"/>
      <c r="CA5" s="1101"/>
      <c r="CB5" s="1102"/>
      <c r="CC5" s="1102"/>
      <c r="CD5" s="1102"/>
      <c r="CE5" s="1102"/>
      <c r="CF5" s="1102"/>
      <c r="CG5" s="1102"/>
      <c r="CH5" s="1102"/>
      <c r="CI5" s="1102"/>
      <c r="CJ5" s="1102"/>
      <c r="CK5" s="1102"/>
      <c r="CL5" s="1103"/>
      <c r="CM5" s="1448" t="s">
        <v>537</v>
      </c>
    </row>
    <row r="6" spans="1:108" ht="60" customHeight="1">
      <c r="A6" s="1086"/>
      <c r="B6" s="718"/>
      <c r="C6" s="719"/>
      <c r="D6" s="883"/>
      <c r="E6" s="884"/>
      <c r="F6" s="885"/>
      <c r="G6" s="883"/>
      <c r="H6" s="885"/>
      <c r="I6" s="1082"/>
      <c r="J6" s="1084"/>
      <c r="K6" s="1082"/>
      <c r="L6" s="1084"/>
      <c r="M6" s="1080"/>
      <c r="N6" s="1081"/>
      <c r="O6" s="1082"/>
      <c r="P6" s="1084"/>
      <c r="Q6" s="830"/>
      <c r="R6" s="832"/>
      <c r="S6" s="1080"/>
      <c r="T6" s="1096"/>
      <c r="U6" s="1081"/>
      <c r="V6" s="1080"/>
      <c r="W6" s="1081"/>
      <c r="X6" s="1082"/>
      <c r="Y6" s="1084"/>
      <c r="Z6" s="830"/>
      <c r="AA6" s="832"/>
      <c r="AB6" s="1082"/>
      <c r="AC6" s="1084"/>
      <c r="AD6" s="816"/>
      <c r="AE6" s="818"/>
      <c r="AF6" s="1082"/>
      <c r="AG6" s="1084"/>
      <c r="AH6" s="830"/>
      <c r="AI6" s="832"/>
      <c r="AJ6" s="830"/>
      <c r="AK6" s="832"/>
      <c r="AL6" s="830"/>
      <c r="AM6" s="831"/>
      <c r="AN6" s="831"/>
      <c r="AO6" s="832"/>
      <c r="AP6" s="830"/>
      <c r="AQ6" s="831"/>
      <c r="AR6" s="832"/>
      <c r="AS6" s="7"/>
      <c r="AT6" s="816"/>
      <c r="AU6" s="818"/>
      <c r="AV6" s="816"/>
      <c r="AW6" s="818"/>
      <c r="AX6" s="7"/>
      <c r="AY6" s="830"/>
      <c r="AZ6" s="832"/>
      <c r="BA6" s="830"/>
      <c r="BB6" s="832"/>
      <c r="BC6" s="830"/>
      <c r="BD6" s="831"/>
      <c r="BE6" s="832"/>
      <c r="BF6" s="1080"/>
      <c r="BG6" s="1081"/>
      <c r="BH6" s="816"/>
      <c r="BI6" s="818"/>
      <c r="BJ6" s="816"/>
      <c r="BK6" s="817"/>
      <c r="BL6" s="818"/>
      <c r="BM6" s="830"/>
      <c r="BN6" s="832"/>
      <c r="BO6" s="830"/>
      <c r="BP6" s="832"/>
      <c r="BQ6" s="830"/>
      <c r="BR6" s="832"/>
      <c r="BS6" s="830"/>
      <c r="BT6" s="831"/>
      <c r="BU6" s="832"/>
      <c r="BV6" s="1080"/>
      <c r="BW6" s="1081"/>
      <c r="BX6" s="1082"/>
      <c r="BY6" s="1083"/>
      <c r="BZ6" s="1084"/>
      <c r="CA6" s="830"/>
      <c r="CB6" s="831"/>
      <c r="CC6" s="832"/>
      <c r="CD6" s="707"/>
      <c r="CE6" s="710"/>
      <c r="CF6" s="708"/>
      <c r="CG6" s="736"/>
      <c r="CH6" s="737"/>
      <c r="CI6" s="738"/>
      <c r="CJ6" s="705"/>
      <c r="CK6" s="709"/>
      <c r="CL6" s="706"/>
      <c r="CM6" s="1449"/>
    </row>
    <row r="7" spans="1:108" ht="63.75" customHeight="1">
      <c r="A7" s="238"/>
      <c r="B7" s="959"/>
      <c r="C7" s="960"/>
      <c r="D7" s="955"/>
      <c r="E7" s="956"/>
      <c r="F7" s="957"/>
      <c r="G7" s="703"/>
      <c r="H7" s="711"/>
      <c r="I7" s="950"/>
      <c r="J7" s="951"/>
      <c r="K7" s="950"/>
      <c r="L7" s="951"/>
      <c r="M7" s="945"/>
      <c r="N7" s="947"/>
      <c r="O7" s="950"/>
      <c r="P7" s="951"/>
      <c r="Q7" s="942"/>
      <c r="R7" s="944"/>
      <c r="S7" s="945"/>
      <c r="T7" s="946"/>
      <c r="U7" s="947"/>
      <c r="V7" s="945"/>
      <c r="W7" s="947"/>
      <c r="X7" s="950"/>
      <c r="Y7" s="951"/>
      <c r="Z7" s="942"/>
      <c r="AA7" s="944"/>
      <c r="AB7" s="950"/>
      <c r="AC7" s="951"/>
      <c r="AD7" s="945"/>
      <c r="AE7" s="947"/>
      <c r="AF7" s="950"/>
      <c r="AG7" s="951"/>
      <c r="AH7" s="942"/>
      <c r="AI7" s="944"/>
      <c r="AJ7" s="942"/>
      <c r="AK7" s="944"/>
      <c r="AL7" s="942"/>
      <c r="AM7" s="943"/>
      <c r="AN7" s="943"/>
      <c r="AO7" s="944"/>
      <c r="AP7" s="942"/>
      <c r="AQ7" s="943"/>
      <c r="AR7" s="944"/>
      <c r="AS7" s="92"/>
      <c r="AT7" s="945"/>
      <c r="AU7" s="947"/>
      <c r="AV7" s="945"/>
      <c r="AW7" s="947"/>
      <c r="AX7" s="179"/>
      <c r="AY7" s="942"/>
      <c r="AZ7" s="944"/>
      <c r="BA7" s="942"/>
      <c r="BB7" s="944"/>
      <c r="BC7" s="942"/>
      <c r="BD7" s="943"/>
      <c r="BE7" s="944"/>
      <c r="BF7" s="952"/>
      <c r="BG7" s="954"/>
      <c r="BH7" s="945"/>
      <c r="BI7" s="947"/>
      <c r="BJ7" s="945"/>
      <c r="BK7" s="946"/>
      <c r="BL7" s="947"/>
      <c r="BM7" s="942"/>
      <c r="BN7" s="944"/>
      <c r="BO7" s="942"/>
      <c r="BP7" s="944"/>
      <c r="BQ7" s="942"/>
      <c r="BR7" s="944"/>
      <c r="BS7" s="942"/>
      <c r="BT7" s="943"/>
      <c r="BU7" s="944"/>
      <c r="BV7" s="952"/>
      <c r="BW7" s="954"/>
      <c r="BX7" s="950"/>
      <c r="BY7" s="1059"/>
      <c r="BZ7" s="951"/>
      <c r="CA7" s="942"/>
      <c r="CB7" s="943"/>
      <c r="CC7" s="944"/>
      <c r="CD7" s="945"/>
      <c r="CE7" s="946"/>
      <c r="CF7" s="947"/>
      <c r="CG7" s="950"/>
      <c r="CH7" s="1059"/>
      <c r="CI7" s="951"/>
      <c r="CJ7" s="942"/>
      <c r="CK7" s="943"/>
      <c r="CL7" s="1450"/>
      <c r="CM7" s="239"/>
    </row>
    <row r="8" spans="1:108" ht="46.5" customHeight="1">
      <c r="A8" s="238"/>
      <c r="B8" s="704"/>
      <c r="C8" s="711"/>
      <c r="D8" s="955"/>
      <c r="E8" s="956"/>
      <c r="F8" s="957"/>
      <c r="G8" s="703"/>
      <c r="H8" s="711"/>
      <c r="I8" s="950"/>
      <c r="J8" s="951"/>
      <c r="K8" s="950"/>
      <c r="L8" s="951"/>
      <c r="M8" s="945"/>
      <c r="N8" s="947"/>
      <c r="O8" s="950"/>
      <c r="P8" s="951"/>
      <c r="Q8" s="942"/>
      <c r="R8" s="944"/>
      <c r="S8" s="945"/>
      <c r="T8" s="946"/>
      <c r="U8" s="947"/>
      <c r="V8" s="945"/>
      <c r="W8" s="947"/>
      <c r="X8" s="950"/>
      <c r="Y8" s="951"/>
      <c r="Z8" s="942"/>
      <c r="AA8" s="944"/>
      <c r="AB8" s="950"/>
      <c r="AC8" s="951"/>
      <c r="AD8" s="945"/>
      <c r="AE8" s="947"/>
      <c r="AF8" s="950"/>
      <c r="AG8" s="951"/>
      <c r="AH8" s="942"/>
      <c r="AI8" s="944"/>
      <c r="AJ8" s="942"/>
      <c r="AK8" s="944"/>
      <c r="AL8" s="942"/>
      <c r="AM8" s="943"/>
      <c r="AN8" s="943"/>
      <c r="AO8" s="944"/>
      <c r="AP8" s="942"/>
      <c r="AQ8" s="943"/>
      <c r="AR8" s="944"/>
      <c r="AS8" s="92"/>
      <c r="AT8" s="945"/>
      <c r="AU8" s="947"/>
      <c r="AV8" s="945"/>
      <c r="AW8" s="947"/>
      <c r="AX8" s="179"/>
      <c r="AY8" s="942"/>
      <c r="AZ8" s="944"/>
      <c r="BA8" s="942"/>
      <c r="BB8" s="944"/>
      <c r="BC8" s="942"/>
      <c r="BD8" s="943"/>
      <c r="BE8" s="944"/>
      <c r="BF8" s="952"/>
      <c r="BG8" s="954"/>
      <c r="BH8" s="945"/>
      <c r="BI8" s="947"/>
      <c r="BJ8" s="945"/>
      <c r="BK8" s="946"/>
      <c r="BL8" s="947"/>
      <c r="BM8" s="942"/>
      <c r="BN8" s="944"/>
      <c r="BO8" s="942"/>
      <c r="BP8" s="944"/>
      <c r="BQ8" s="942"/>
      <c r="BR8" s="944"/>
      <c r="BS8" s="942"/>
      <c r="BT8" s="943"/>
      <c r="BU8" s="944"/>
      <c r="BV8" s="952"/>
      <c r="BW8" s="954"/>
      <c r="BX8" s="950"/>
      <c r="BY8" s="1059"/>
      <c r="BZ8" s="951"/>
      <c r="CA8" s="942"/>
      <c r="CB8" s="943"/>
      <c r="CC8" s="944"/>
      <c r="CD8" s="945"/>
      <c r="CE8" s="946"/>
      <c r="CF8" s="947"/>
      <c r="CG8" s="950"/>
      <c r="CH8" s="1059"/>
      <c r="CI8" s="951"/>
      <c r="CJ8" s="942"/>
      <c r="CK8" s="943"/>
      <c r="CL8" s="1450"/>
      <c r="CM8" s="239"/>
    </row>
    <row r="9" spans="1:108" ht="57.75" customHeight="1">
      <c r="A9" s="238"/>
      <c r="B9" s="704"/>
      <c r="C9" s="711"/>
      <c r="D9" s="955"/>
      <c r="E9" s="956"/>
      <c r="F9" s="957"/>
      <c r="G9" s="703"/>
      <c r="H9" s="711"/>
      <c r="I9" s="950"/>
      <c r="J9" s="951"/>
      <c r="K9" s="950"/>
      <c r="L9" s="951"/>
      <c r="M9" s="945"/>
      <c r="N9" s="947"/>
      <c r="O9" s="950"/>
      <c r="P9" s="951"/>
      <c r="Q9" s="942"/>
      <c r="R9" s="944"/>
      <c r="S9" s="945"/>
      <c r="T9" s="946"/>
      <c r="U9" s="947"/>
      <c r="V9" s="945"/>
      <c r="W9" s="947"/>
      <c r="X9" s="950"/>
      <c r="Y9" s="951"/>
      <c r="Z9" s="942"/>
      <c r="AA9" s="944"/>
      <c r="AB9" s="950"/>
      <c r="AC9" s="951"/>
      <c r="AD9" s="945"/>
      <c r="AE9" s="947"/>
      <c r="AF9" s="950"/>
      <c r="AG9" s="951"/>
      <c r="AH9" s="942"/>
      <c r="AI9" s="944"/>
      <c r="AJ9" s="942"/>
      <c r="AK9" s="944"/>
      <c r="AL9" s="942"/>
      <c r="AM9" s="943"/>
      <c r="AN9" s="943"/>
      <c r="AO9" s="944"/>
      <c r="AP9" s="942"/>
      <c r="AQ9" s="943"/>
      <c r="AR9" s="944"/>
      <c r="AS9" s="92"/>
      <c r="AT9" s="945"/>
      <c r="AU9" s="947"/>
      <c r="AV9" s="945"/>
      <c r="AW9" s="947"/>
      <c r="AX9" s="179"/>
      <c r="AY9" s="942"/>
      <c r="AZ9" s="944"/>
      <c r="BA9" s="942"/>
      <c r="BB9" s="944"/>
      <c r="BC9" s="942"/>
      <c r="BD9" s="943"/>
      <c r="BE9" s="944"/>
      <c r="BF9" s="952"/>
      <c r="BG9" s="954"/>
      <c r="BH9" s="945"/>
      <c r="BI9" s="947"/>
      <c r="BJ9" s="945"/>
      <c r="BK9" s="946"/>
      <c r="BL9" s="947"/>
      <c r="BM9" s="942"/>
      <c r="BN9" s="944"/>
      <c r="BO9" s="942"/>
      <c r="BP9" s="944"/>
      <c r="BQ9" s="942"/>
      <c r="BR9" s="944"/>
      <c r="BS9" s="942"/>
      <c r="BT9" s="943"/>
      <c r="BU9" s="944"/>
      <c r="BV9" s="952"/>
      <c r="BW9" s="954"/>
      <c r="BX9" s="950"/>
      <c r="BY9" s="1059"/>
      <c r="BZ9" s="951"/>
      <c r="CA9" s="942"/>
      <c r="CB9" s="943"/>
      <c r="CC9" s="944"/>
      <c r="CD9" s="945"/>
      <c r="CE9" s="946"/>
      <c r="CF9" s="947"/>
      <c r="CG9" s="950"/>
      <c r="CH9" s="1059"/>
      <c r="CI9" s="951"/>
      <c r="CJ9" s="942"/>
      <c r="CK9" s="943"/>
      <c r="CL9" s="1450"/>
      <c r="CM9" s="239"/>
    </row>
    <row r="10" spans="1:108" ht="61.5" customHeight="1">
      <c r="A10" s="238"/>
      <c r="B10" s="704"/>
      <c r="C10" s="711"/>
      <c r="D10" s="955"/>
      <c r="E10" s="956"/>
      <c r="F10" s="957"/>
      <c r="G10" s="703"/>
      <c r="H10" s="711"/>
      <c r="I10" s="950"/>
      <c r="J10" s="951"/>
      <c r="K10" s="950"/>
      <c r="L10" s="951"/>
      <c r="M10" s="945"/>
      <c r="N10" s="947"/>
      <c r="O10" s="950"/>
      <c r="P10" s="951"/>
      <c r="Q10" s="942"/>
      <c r="R10" s="944"/>
      <c r="S10" s="945"/>
      <c r="T10" s="946"/>
      <c r="U10" s="947"/>
      <c r="V10" s="945"/>
      <c r="W10" s="947"/>
      <c r="X10" s="950"/>
      <c r="Y10" s="951"/>
      <c r="Z10" s="942"/>
      <c r="AA10" s="944"/>
      <c r="AB10" s="950"/>
      <c r="AC10" s="951"/>
      <c r="AD10" s="945"/>
      <c r="AE10" s="947"/>
      <c r="AF10" s="950"/>
      <c r="AG10" s="951"/>
      <c r="AH10" s="942"/>
      <c r="AI10" s="944"/>
      <c r="AJ10" s="942"/>
      <c r="AK10" s="944"/>
      <c r="AL10" s="942"/>
      <c r="AM10" s="943"/>
      <c r="AN10" s="943"/>
      <c r="AO10" s="944"/>
      <c r="AP10" s="942"/>
      <c r="AQ10" s="943"/>
      <c r="AR10" s="944"/>
      <c r="AS10" s="92"/>
      <c r="AT10" s="945"/>
      <c r="AU10" s="947"/>
      <c r="AV10" s="945"/>
      <c r="AW10" s="947"/>
      <c r="AX10" s="179"/>
      <c r="AY10" s="942"/>
      <c r="AZ10" s="944"/>
      <c r="BA10" s="942"/>
      <c r="BB10" s="944"/>
      <c r="BC10" s="942"/>
      <c r="BD10" s="943"/>
      <c r="BE10" s="944"/>
      <c r="BF10" s="952"/>
      <c r="BG10" s="954"/>
      <c r="BH10" s="945"/>
      <c r="BI10" s="947"/>
      <c r="BJ10" s="945"/>
      <c r="BK10" s="946"/>
      <c r="BL10" s="947"/>
      <c r="BM10" s="942"/>
      <c r="BN10" s="944"/>
      <c r="BO10" s="942"/>
      <c r="BP10" s="944"/>
      <c r="BQ10" s="942"/>
      <c r="BR10" s="944"/>
      <c r="BS10" s="942"/>
      <c r="BT10" s="943"/>
      <c r="BU10" s="944"/>
      <c r="BV10" s="952"/>
      <c r="BW10" s="954"/>
      <c r="BX10" s="950"/>
      <c r="BY10" s="1059"/>
      <c r="BZ10" s="951"/>
      <c r="CA10" s="942"/>
      <c r="CB10" s="943"/>
      <c r="CC10" s="944"/>
      <c r="CD10" s="945"/>
      <c r="CE10" s="946"/>
      <c r="CF10" s="947"/>
      <c r="CG10" s="950"/>
      <c r="CH10" s="1059"/>
      <c r="CI10" s="951"/>
      <c r="CJ10" s="942"/>
      <c r="CK10" s="943"/>
      <c r="CL10" s="1450"/>
      <c r="CM10" s="239"/>
    </row>
    <row r="11" spans="1:108" ht="46.5" customHeight="1">
      <c r="A11" s="238"/>
      <c r="B11" s="704"/>
      <c r="C11" s="711"/>
      <c r="D11" s="955"/>
      <c r="E11" s="956"/>
      <c r="F11" s="957"/>
      <c r="G11" s="703"/>
      <c r="H11" s="711"/>
      <c r="I11" s="950"/>
      <c r="J11" s="951"/>
      <c r="K11" s="950"/>
      <c r="L11" s="951"/>
      <c r="M11" s="945"/>
      <c r="N11" s="947"/>
      <c r="O11" s="950"/>
      <c r="P11" s="951"/>
      <c r="Q11" s="942"/>
      <c r="R11" s="944"/>
      <c r="S11" s="945"/>
      <c r="T11" s="946"/>
      <c r="U11" s="947"/>
      <c r="V11" s="945"/>
      <c r="W11" s="947"/>
      <c r="X11" s="950"/>
      <c r="Y11" s="951"/>
      <c r="Z11" s="942"/>
      <c r="AA11" s="944"/>
      <c r="AB11" s="950"/>
      <c r="AC11" s="951"/>
      <c r="AD11" s="945"/>
      <c r="AE11" s="947"/>
      <c r="AF11" s="950"/>
      <c r="AG11" s="951"/>
      <c r="AH11" s="942"/>
      <c r="AI11" s="944"/>
      <c r="AJ11" s="942"/>
      <c r="AK11" s="944"/>
      <c r="AL11" s="942"/>
      <c r="AM11" s="943"/>
      <c r="AN11" s="943"/>
      <c r="AO11" s="944"/>
      <c r="AP11" s="942"/>
      <c r="AQ11" s="943"/>
      <c r="AR11" s="944"/>
      <c r="AS11" s="92"/>
      <c r="AT11" s="945"/>
      <c r="AU11" s="947"/>
      <c r="AV11" s="945"/>
      <c r="AW11" s="947"/>
      <c r="AX11" s="179"/>
      <c r="AY11" s="942"/>
      <c r="AZ11" s="944"/>
      <c r="BA11" s="942"/>
      <c r="BB11" s="944"/>
      <c r="BC11" s="942"/>
      <c r="BD11" s="943"/>
      <c r="BE11" s="944"/>
      <c r="BF11" s="952"/>
      <c r="BG11" s="954"/>
      <c r="BH11" s="945"/>
      <c r="BI11" s="947"/>
      <c r="BJ11" s="945"/>
      <c r="BK11" s="946"/>
      <c r="BL11" s="947"/>
      <c r="BM11" s="942"/>
      <c r="BN11" s="944"/>
      <c r="BO11" s="942"/>
      <c r="BP11" s="944"/>
      <c r="BQ11" s="942"/>
      <c r="BR11" s="944"/>
      <c r="BS11" s="942"/>
      <c r="BT11" s="943"/>
      <c r="BU11" s="944"/>
      <c r="BV11" s="952"/>
      <c r="BW11" s="954"/>
      <c r="BX11" s="950"/>
      <c r="BY11" s="1059"/>
      <c r="BZ11" s="951"/>
      <c r="CA11" s="942"/>
      <c r="CB11" s="943"/>
      <c r="CC11" s="944"/>
      <c r="CD11" s="945"/>
      <c r="CE11" s="946"/>
      <c r="CF11" s="947"/>
      <c r="CG11" s="950"/>
      <c r="CH11" s="1059"/>
      <c r="CI11" s="951"/>
      <c r="CJ11" s="942"/>
      <c r="CK11" s="943"/>
      <c r="CL11" s="1450"/>
      <c r="CM11" s="239"/>
    </row>
    <row r="12" spans="1:108" ht="46.5" customHeight="1">
      <c r="A12" s="238"/>
      <c r="B12" s="704"/>
      <c r="C12" s="711"/>
      <c r="D12" s="955"/>
      <c r="E12" s="956"/>
      <c r="F12" s="957"/>
      <c r="G12" s="703"/>
      <c r="H12" s="711"/>
      <c r="I12" s="950"/>
      <c r="J12" s="951"/>
      <c r="K12" s="950"/>
      <c r="L12" s="951"/>
      <c r="M12" s="945"/>
      <c r="N12" s="947"/>
      <c r="O12" s="950"/>
      <c r="P12" s="951"/>
      <c r="Q12" s="942"/>
      <c r="R12" s="944"/>
      <c r="S12" s="945"/>
      <c r="T12" s="946"/>
      <c r="U12" s="947"/>
      <c r="V12" s="945"/>
      <c r="W12" s="947"/>
      <c r="X12" s="950"/>
      <c r="Y12" s="951"/>
      <c r="Z12" s="942"/>
      <c r="AA12" s="944"/>
      <c r="AB12" s="950"/>
      <c r="AC12" s="951"/>
      <c r="AD12" s="945"/>
      <c r="AE12" s="947"/>
      <c r="AF12" s="950"/>
      <c r="AG12" s="951"/>
      <c r="AH12" s="942"/>
      <c r="AI12" s="944"/>
      <c r="AJ12" s="942"/>
      <c r="AK12" s="944"/>
      <c r="AL12" s="942"/>
      <c r="AM12" s="943"/>
      <c r="AN12" s="943"/>
      <c r="AO12" s="944"/>
      <c r="AP12" s="942"/>
      <c r="AQ12" s="943"/>
      <c r="AR12" s="944"/>
      <c r="AS12" s="92"/>
      <c r="AT12" s="945"/>
      <c r="AU12" s="947"/>
      <c r="AV12" s="945"/>
      <c r="AW12" s="947"/>
      <c r="AX12" s="179"/>
      <c r="AY12" s="942"/>
      <c r="AZ12" s="944"/>
      <c r="BA12" s="942"/>
      <c r="BB12" s="944"/>
      <c r="BC12" s="942"/>
      <c r="BD12" s="943"/>
      <c r="BE12" s="944"/>
      <c r="BF12" s="952"/>
      <c r="BG12" s="954"/>
      <c r="BH12" s="945"/>
      <c r="BI12" s="947"/>
      <c r="BJ12" s="945"/>
      <c r="BK12" s="946"/>
      <c r="BL12" s="947"/>
      <c r="BM12" s="942"/>
      <c r="BN12" s="944"/>
      <c r="BO12" s="942"/>
      <c r="BP12" s="944"/>
      <c r="BQ12" s="942"/>
      <c r="BR12" s="944"/>
      <c r="BS12" s="942"/>
      <c r="BT12" s="943"/>
      <c r="BU12" s="944"/>
      <c r="BV12" s="952"/>
      <c r="BW12" s="954"/>
      <c r="BX12" s="950"/>
      <c r="BY12" s="1059"/>
      <c r="BZ12" s="951"/>
      <c r="CA12" s="942"/>
      <c r="CB12" s="943"/>
      <c r="CC12" s="944"/>
      <c r="CD12" s="945"/>
      <c r="CE12" s="946"/>
      <c r="CF12" s="947"/>
      <c r="CG12" s="950"/>
      <c r="CH12" s="1059"/>
      <c r="CI12" s="951"/>
      <c r="CJ12" s="942"/>
      <c r="CK12" s="943"/>
      <c r="CL12" s="1450"/>
      <c r="CM12" s="239"/>
    </row>
    <row r="13" spans="1:108" ht="46.5" customHeight="1">
      <c r="A13" s="238"/>
      <c r="B13" s="959"/>
      <c r="C13" s="960"/>
      <c r="D13" s="955"/>
      <c r="E13" s="956"/>
      <c r="F13" s="957"/>
      <c r="G13" s="703"/>
      <c r="H13" s="711"/>
      <c r="I13" s="950"/>
      <c r="J13" s="951"/>
      <c r="K13" s="950"/>
      <c r="L13" s="951"/>
      <c r="M13" s="952"/>
      <c r="N13" s="954"/>
      <c r="O13" s="950"/>
      <c r="P13" s="951"/>
      <c r="Q13" s="942"/>
      <c r="R13" s="944"/>
      <c r="S13" s="952"/>
      <c r="T13" s="953"/>
      <c r="U13" s="954"/>
      <c r="V13" s="952"/>
      <c r="W13" s="954"/>
      <c r="X13" s="950"/>
      <c r="Y13" s="951"/>
      <c r="Z13" s="942"/>
      <c r="AA13" s="944"/>
      <c r="AB13" s="950"/>
      <c r="AC13" s="951"/>
      <c r="AD13" s="945"/>
      <c r="AE13" s="947"/>
      <c r="AF13" s="950"/>
      <c r="AG13" s="951"/>
      <c r="AH13" s="942"/>
      <c r="AI13" s="944"/>
      <c r="AJ13" s="942"/>
      <c r="AK13" s="944"/>
      <c r="AL13" s="942"/>
      <c r="AM13" s="943"/>
      <c r="AN13" s="943"/>
      <c r="AO13" s="944"/>
      <c r="AP13" s="942"/>
      <c r="AQ13" s="943"/>
      <c r="AR13" s="944"/>
      <c r="AS13" s="92"/>
      <c r="AT13" s="945"/>
      <c r="AU13" s="947"/>
      <c r="AV13" s="945"/>
      <c r="AW13" s="947"/>
      <c r="AX13" s="92"/>
      <c r="AY13" s="942"/>
      <c r="AZ13" s="944"/>
      <c r="BA13" s="942"/>
      <c r="BB13" s="944"/>
      <c r="BC13" s="942"/>
      <c r="BD13" s="943"/>
      <c r="BE13" s="944"/>
      <c r="BF13" s="945"/>
      <c r="BG13" s="947"/>
      <c r="BH13" s="945"/>
      <c r="BI13" s="947"/>
      <c r="BJ13" s="945"/>
      <c r="BK13" s="946"/>
      <c r="BL13" s="947"/>
      <c r="BM13" s="942"/>
      <c r="BN13" s="944"/>
      <c r="BO13" s="942"/>
      <c r="BP13" s="944"/>
      <c r="BQ13" s="942"/>
      <c r="BR13" s="944"/>
      <c r="BS13" s="942"/>
      <c r="BT13" s="943"/>
      <c r="BU13" s="944"/>
      <c r="BV13" s="945"/>
      <c r="BW13" s="947"/>
      <c r="BX13" s="950"/>
      <c r="BY13" s="1059"/>
      <c r="BZ13" s="951"/>
      <c r="CA13" s="942"/>
      <c r="CB13" s="943"/>
      <c r="CC13" s="944"/>
      <c r="CD13" s="945"/>
      <c r="CE13" s="946"/>
      <c r="CF13" s="947"/>
      <c r="CG13" s="950"/>
      <c r="CH13" s="1059"/>
      <c r="CI13" s="951"/>
      <c r="CJ13" s="942"/>
      <c r="CK13" s="943"/>
      <c r="CL13" s="1450"/>
      <c r="CM13" s="239"/>
    </row>
    <row r="14" spans="1:108" ht="46.5" customHeight="1">
      <c r="A14" s="238"/>
      <c r="B14" s="704"/>
      <c r="C14" s="711"/>
      <c r="D14" s="955"/>
      <c r="E14" s="956"/>
      <c r="F14" s="957"/>
      <c r="G14" s="703"/>
      <c r="H14" s="711"/>
      <c r="I14" s="950"/>
      <c r="J14" s="951"/>
      <c r="K14" s="950"/>
      <c r="L14" s="951"/>
      <c r="M14" s="952"/>
      <c r="N14" s="954"/>
      <c r="O14" s="950"/>
      <c r="P14" s="951"/>
      <c r="Q14" s="942"/>
      <c r="R14" s="944"/>
      <c r="S14" s="952"/>
      <c r="T14" s="953"/>
      <c r="U14" s="954"/>
      <c r="V14" s="952"/>
      <c r="W14" s="954"/>
      <c r="X14" s="950"/>
      <c r="Y14" s="951"/>
      <c r="Z14" s="942"/>
      <c r="AA14" s="944"/>
      <c r="AB14" s="950"/>
      <c r="AC14" s="951"/>
      <c r="AD14" s="945"/>
      <c r="AE14" s="947"/>
      <c r="AF14" s="950"/>
      <c r="AG14" s="951"/>
      <c r="AH14" s="942"/>
      <c r="AI14" s="944"/>
      <c r="AJ14" s="942"/>
      <c r="AK14" s="944"/>
      <c r="AL14" s="942"/>
      <c r="AM14" s="943"/>
      <c r="AN14" s="943"/>
      <c r="AO14" s="944"/>
      <c r="AP14" s="942"/>
      <c r="AQ14" s="943"/>
      <c r="AR14" s="944"/>
      <c r="AS14" s="92"/>
      <c r="AT14" s="945"/>
      <c r="AU14" s="947"/>
      <c r="AV14" s="945"/>
      <c r="AW14" s="947"/>
      <c r="AX14" s="92"/>
      <c r="AY14" s="942"/>
      <c r="AZ14" s="944"/>
      <c r="BA14" s="942"/>
      <c r="BB14" s="944"/>
      <c r="BC14" s="942"/>
      <c r="BD14" s="943"/>
      <c r="BE14" s="944"/>
      <c r="BF14" s="945"/>
      <c r="BG14" s="947"/>
      <c r="BH14" s="945"/>
      <c r="BI14" s="947"/>
      <c r="BJ14" s="945"/>
      <c r="BK14" s="946"/>
      <c r="BL14" s="947"/>
      <c r="BM14" s="942"/>
      <c r="BN14" s="944"/>
      <c r="BO14" s="942"/>
      <c r="BP14" s="944"/>
      <c r="BQ14" s="942"/>
      <c r="BR14" s="944"/>
      <c r="BS14" s="942"/>
      <c r="BT14" s="943"/>
      <c r="BU14" s="944"/>
      <c r="BV14" s="945"/>
      <c r="BW14" s="947"/>
      <c r="BX14" s="950"/>
      <c r="BY14" s="1059"/>
      <c r="BZ14" s="951"/>
      <c r="CA14" s="942"/>
      <c r="CB14" s="943"/>
      <c r="CC14" s="944"/>
      <c r="CD14" s="945"/>
      <c r="CE14" s="946"/>
      <c r="CF14" s="947"/>
      <c r="CG14" s="950"/>
      <c r="CH14" s="1059"/>
      <c r="CI14" s="951"/>
      <c r="CJ14" s="942"/>
      <c r="CK14" s="943"/>
      <c r="CL14" s="1450"/>
      <c r="CM14" s="239"/>
    </row>
    <row r="15" spans="1:108" ht="46.5" customHeight="1">
      <c r="A15" s="238"/>
      <c r="B15" s="704"/>
      <c r="C15" s="711"/>
      <c r="D15" s="955"/>
      <c r="E15" s="956"/>
      <c r="F15" s="957"/>
      <c r="G15" s="703"/>
      <c r="H15" s="711"/>
      <c r="I15" s="950"/>
      <c r="J15" s="951"/>
      <c r="K15" s="950"/>
      <c r="L15" s="951"/>
      <c r="M15" s="952"/>
      <c r="N15" s="954"/>
      <c r="O15" s="950"/>
      <c r="P15" s="951"/>
      <c r="Q15" s="942"/>
      <c r="R15" s="944"/>
      <c r="S15" s="952"/>
      <c r="T15" s="953"/>
      <c r="U15" s="954"/>
      <c r="V15" s="952"/>
      <c r="W15" s="954"/>
      <c r="X15" s="950"/>
      <c r="Y15" s="951"/>
      <c r="Z15" s="942"/>
      <c r="AA15" s="944"/>
      <c r="AB15" s="950"/>
      <c r="AC15" s="951"/>
      <c r="AD15" s="945"/>
      <c r="AE15" s="947"/>
      <c r="AF15" s="950"/>
      <c r="AG15" s="951"/>
      <c r="AH15" s="942"/>
      <c r="AI15" s="944"/>
      <c r="AJ15" s="942"/>
      <c r="AK15" s="944"/>
      <c r="AL15" s="942"/>
      <c r="AM15" s="943"/>
      <c r="AN15" s="943"/>
      <c r="AO15" s="944"/>
      <c r="AP15" s="942"/>
      <c r="AQ15" s="943"/>
      <c r="AR15" s="944"/>
      <c r="AS15" s="92"/>
      <c r="AT15" s="945"/>
      <c r="AU15" s="947"/>
      <c r="AV15" s="945"/>
      <c r="AW15" s="947"/>
      <c r="AX15" s="92"/>
      <c r="AY15" s="942"/>
      <c r="AZ15" s="944"/>
      <c r="BA15" s="942"/>
      <c r="BB15" s="944"/>
      <c r="BC15" s="942"/>
      <c r="BD15" s="943"/>
      <c r="BE15" s="944"/>
      <c r="BF15" s="945"/>
      <c r="BG15" s="947"/>
      <c r="BH15" s="945"/>
      <c r="BI15" s="947"/>
      <c r="BJ15" s="945"/>
      <c r="BK15" s="946"/>
      <c r="BL15" s="947"/>
      <c r="BM15" s="942"/>
      <c r="BN15" s="944"/>
      <c r="BO15" s="942"/>
      <c r="BP15" s="944"/>
      <c r="BQ15" s="942"/>
      <c r="BR15" s="944"/>
      <c r="BS15" s="942"/>
      <c r="BT15" s="943"/>
      <c r="BU15" s="944"/>
      <c r="BV15" s="945"/>
      <c r="BW15" s="947"/>
      <c r="BX15" s="950"/>
      <c r="BY15" s="1059"/>
      <c r="BZ15" s="951"/>
      <c r="CA15" s="942"/>
      <c r="CB15" s="943"/>
      <c r="CC15" s="944"/>
      <c r="CD15" s="945"/>
      <c r="CE15" s="946"/>
      <c r="CF15" s="947"/>
      <c r="CG15" s="950"/>
      <c r="CH15" s="1059"/>
      <c r="CI15" s="951"/>
      <c r="CJ15" s="942"/>
      <c r="CK15" s="943"/>
      <c r="CL15" s="1450"/>
      <c r="CM15" s="239"/>
    </row>
    <row r="16" spans="1:108" ht="46.5" customHeight="1">
      <c r="A16" s="238"/>
      <c r="B16" s="704"/>
      <c r="C16" s="711"/>
      <c r="D16" s="955"/>
      <c r="E16" s="956"/>
      <c r="F16" s="957"/>
      <c r="G16" s="703"/>
      <c r="H16" s="711"/>
      <c r="I16" s="950"/>
      <c r="J16" s="951"/>
      <c r="K16" s="950"/>
      <c r="L16" s="951"/>
      <c r="M16" s="952"/>
      <c r="N16" s="954"/>
      <c r="O16" s="950"/>
      <c r="P16" s="951"/>
      <c r="Q16" s="942"/>
      <c r="R16" s="944"/>
      <c r="S16" s="952"/>
      <c r="T16" s="953"/>
      <c r="U16" s="954"/>
      <c r="V16" s="952"/>
      <c r="W16" s="954"/>
      <c r="X16" s="950"/>
      <c r="Y16" s="951"/>
      <c r="Z16" s="942"/>
      <c r="AA16" s="944"/>
      <c r="AB16" s="950"/>
      <c r="AC16" s="951"/>
      <c r="AD16" s="945"/>
      <c r="AE16" s="947"/>
      <c r="AF16" s="950"/>
      <c r="AG16" s="951"/>
      <c r="AH16" s="942"/>
      <c r="AI16" s="944"/>
      <c r="AJ16" s="942"/>
      <c r="AK16" s="944"/>
      <c r="AL16" s="942"/>
      <c r="AM16" s="943"/>
      <c r="AN16" s="943"/>
      <c r="AO16" s="944"/>
      <c r="AP16" s="942"/>
      <c r="AQ16" s="943"/>
      <c r="AR16" s="944"/>
      <c r="AS16" s="92"/>
      <c r="AT16" s="945"/>
      <c r="AU16" s="947"/>
      <c r="AV16" s="945"/>
      <c r="AW16" s="947"/>
      <c r="AX16" s="92"/>
      <c r="AY16" s="942"/>
      <c r="AZ16" s="944"/>
      <c r="BA16" s="942"/>
      <c r="BB16" s="944"/>
      <c r="BC16" s="942"/>
      <c r="BD16" s="943"/>
      <c r="BE16" s="944"/>
      <c r="BF16" s="945"/>
      <c r="BG16" s="947"/>
      <c r="BH16" s="945"/>
      <c r="BI16" s="947"/>
      <c r="BJ16" s="945"/>
      <c r="BK16" s="946"/>
      <c r="BL16" s="947"/>
      <c r="BM16" s="942"/>
      <c r="BN16" s="944"/>
      <c r="BO16" s="942"/>
      <c r="BP16" s="944"/>
      <c r="BQ16" s="942"/>
      <c r="BR16" s="944"/>
      <c r="BS16" s="942"/>
      <c r="BT16" s="943"/>
      <c r="BU16" s="944"/>
      <c r="BV16" s="945"/>
      <c r="BW16" s="947"/>
      <c r="BX16" s="950"/>
      <c r="BY16" s="1059"/>
      <c r="BZ16" s="951"/>
      <c r="CA16" s="942"/>
      <c r="CB16" s="943"/>
      <c r="CC16" s="944"/>
      <c r="CD16" s="945"/>
      <c r="CE16" s="946"/>
      <c r="CF16" s="947"/>
      <c r="CG16" s="950"/>
      <c r="CH16" s="1059"/>
      <c r="CI16" s="951"/>
      <c r="CJ16" s="942"/>
      <c r="CK16" s="943"/>
      <c r="CL16" s="1450"/>
      <c r="CM16" s="239"/>
    </row>
    <row r="17" spans="1:102" ht="46.5" customHeight="1">
      <c r="A17" s="238"/>
      <c r="B17" s="704"/>
      <c r="C17" s="711"/>
      <c r="D17" s="955"/>
      <c r="E17" s="956"/>
      <c r="F17" s="957"/>
      <c r="G17" s="703"/>
      <c r="H17" s="711"/>
      <c r="I17" s="950"/>
      <c r="J17" s="951"/>
      <c r="K17" s="950"/>
      <c r="L17" s="951"/>
      <c r="M17" s="952"/>
      <c r="N17" s="954"/>
      <c r="O17" s="950"/>
      <c r="P17" s="951"/>
      <c r="Q17" s="942"/>
      <c r="R17" s="944"/>
      <c r="S17" s="952"/>
      <c r="T17" s="953"/>
      <c r="U17" s="954"/>
      <c r="V17" s="952"/>
      <c r="W17" s="954"/>
      <c r="X17" s="950"/>
      <c r="Y17" s="951"/>
      <c r="Z17" s="942"/>
      <c r="AA17" s="944"/>
      <c r="AB17" s="950"/>
      <c r="AC17" s="951"/>
      <c r="AD17" s="945"/>
      <c r="AE17" s="947"/>
      <c r="AF17" s="950"/>
      <c r="AG17" s="951"/>
      <c r="AH17" s="942"/>
      <c r="AI17" s="944"/>
      <c r="AJ17" s="942"/>
      <c r="AK17" s="944"/>
      <c r="AL17" s="942"/>
      <c r="AM17" s="943"/>
      <c r="AN17" s="943"/>
      <c r="AO17" s="944"/>
      <c r="AP17" s="942"/>
      <c r="AQ17" s="943"/>
      <c r="AR17" s="944"/>
      <c r="AS17" s="92"/>
      <c r="AT17" s="945"/>
      <c r="AU17" s="947"/>
      <c r="AV17" s="945"/>
      <c r="AW17" s="947"/>
      <c r="AX17" s="92"/>
      <c r="AY17" s="942"/>
      <c r="AZ17" s="944"/>
      <c r="BA17" s="942"/>
      <c r="BB17" s="944"/>
      <c r="BC17" s="942"/>
      <c r="BD17" s="943"/>
      <c r="BE17" s="944"/>
      <c r="BF17" s="945"/>
      <c r="BG17" s="947"/>
      <c r="BH17" s="945"/>
      <c r="BI17" s="947"/>
      <c r="BJ17" s="945"/>
      <c r="BK17" s="946"/>
      <c r="BL17" s="947"/>
      <c r="BM17" s="942"/>
      <c r="BN17" s="944"/>
      <c r="BO17" s="942"/>
      <c r="BP17" s="944"/>
      <c r="BQ17" s="942"/>
      <c r="BR17" s="944"/>
      <c r="BS17" s="942"/>
      <c r="BT17" s="943"/>
      <c r="BU17" s="944"/>
      <c r="BV17" s="945"/>
      <c r="BW17" s="947"/>
      <c r="BX17" s="950"/>
      <c r="BY17" s="1059"/>
      <c r="BZ17" s="951"/>
      <c r="CA17" s="942"/>
      <c r="CB17" s="943"/>
      <c r="CC17" s="944"/>
      <c r="CD17" s="945"/>
      <c r="CE17" s="946"/>
      <c r="CF17" s="947"/>
      <c r="CG17" s="950"/>
      <c r="CH17" s="1059"/>
      <c r="CI17" s="951"/>
      <c r="CJ17" s="942"/>
      <c r="CK17" s="943"/>
      <c r="CL17" s="1450"/>
      <c r="CM17" s="239"/>
    </row>
    <row r="18" spans="1:102" ht="46.5" customHeight="1">
      <c r="A18" s="238"/>
      <c r="B18" s="704"/>
      <c r="C18" s="711"/>
      <c r="D18" s="955"/>
      <c r="E18" s="956"/>
      <c r="F18" s="957"/>
      <c r="G18" s="703"/>
      <c r="H18" s="711"/>
      <c r="I18" s="950"/>
      <c r="J18" s="951"/>
      <c r="K18" s="950"/>
      <c r="L18" s="951"/>
      <c r="M18" s="952"/>
      <c r="N18" s="954"/>
      <c r="O18" s="950"/>
      <c r="P18" s="951"/>
      <c r="Q18" s="942"/>
      <c r="R18" s="944"/>
      <c r="S18" s="952"/>
      <c r="T18" s="953"/>
      <c r="U18" s="954"/>
      <c r="V18" s="952"/>
      <c r="W18" s="954"/>
      <c r="X18" s="950"/>
      <c r="Y18" s="951"/>
      <c r="Z18" s="942"/>
      <c r="AA18" s="944"/>
      <c r="AB18" s="950"/>
      <c r="AC18" s="951"/>
      <c r="AD18" s="945"/>
      <c r="AE18" s="947"/>
      <c r="AF18" s="950"/>
      <c r="AG18" s="951"/>
      <c r="AH18" s="942"/>
      <c r="AI18" s="944"/>
      <c r="AJ18" s="942"/>
      <c r="AK18" s="944"/>
      <c r="AL18" s="942"/>
      <c r="AM18" s="943"/>
      <c r="AN18" s="943"/>
      <c r="AO18" s="944"/>
      <c r="AP18" s="942"/>
      <c r="AQ18" s="943"/>
      <c r="AR18" s="944"/>
      <c r="AS18" s="92"/>
      <c r="AT18" s="945"/>
      <c r="AU18" s="947"/>
      <c r="AV18" s="945"/>
      <c r="AW18" s="947"/>
      <c r="AX18" s="92"/>
      <c r="AY18" s="942"/>
      <c r="AZ18" s="944"/>
      <c r="BA18" s="942"/>
      <c r="BB18" s="944"/>
      <c r="BC18" s="942"/>
      <c r="BD18" s="943"/>
      <c r="BE18" s="944"/>
      <c r="BF18" s="945"/>
      <c r="BG18" s="947"/>
      <c r="BH18" s="945"/>
      <c r="BI18" s="947"/>
      <c r="BJ18" s="945"/>
      <c r="BK18" s="946"/>
      <c r="BL18" s="947"/>
      <c r="BM18" s="942"/>
      <c r="BN18" s="944"/>
      <c r="BO18" s="942"/>
      <c r="BP18" s="944"/>
      <c r="BQ18" s="942"/>
      <c r="BR18" s="944"/>
      <c r="BS18" s="942"/>
      <c r="BT18" s="943"/>
      <c r="BU18" s="944"/>
      <c r="BV18" s="945"/>
      <c r="BW18" s="947"/>
      <c r="BX18" s="950"/>
      <c r="BY18" s="1059"/>
      <c r="BZ18" s="951"/>
      <c r="CA18" s="942"/>
      <c r="CB18" s="943"/>
      <c r="CC18" s="944"/>
      <c r="CD18" s="945"/>
      <c r="CE18" s="946"/>
      <c r="CF18" s="947"/>
      <c r="CG18" s="950"/>
      <c r="CH18" s="1059"/>
      <c r="CI18" s="951"/>
      <c r="CJ18" s="942"/>
      <c r="CK18" s="943"/>
      <c r="CL18" s="1450"/>
      <c r="CM18" s="239"/>
    </row>
    <row r="19" spans="1:102" ht="46.5" customHeight="1">
      <c r="A19" s="238"/>
      <c r="B19" s="959"/>
      <c r="C19" s="960"/>
      <c r="D19" s="955"/>
      <c r="E19" s="956"/>
      <c r="F19" s="957"/>
      <c r="G19" s="703"/>
      <c r="H19" s="711"/>
      <c r="I19" s="950"/>
      <c r="J19" s="951"/>
      <c r="K19" s="950"/>
      <c r="L19" s="951"/>
      <c r="M19" s="945"/>
      <c r="N19" s="947"/>
      <c r="O19" s="950"/>
      <c r="P19" s="951"/>
      <c r="Q19" s="942"/>
      <c r="R19" s="944"/>
      <c r="S19" s="945"/>
      <c r="T19" s="946"/>
      <c r="U19" s="947"/>
      <c r="V19" s="945"/>
      <c r="W19" s="947"/>
      <c r="X19" s="950"/>
      <c r="Y19" s="951"/>
      <c r="Z19" s="942"/>
      <c r="AA19" s="944"/>
      <c r="AB19" s="950"/>
      <c r="AC19" s="951"/>
      <c r="AD19" s="945"/>
      <c r="AE19" s="947"/>
      <c r="AF19" s="950"/>
      <c r="AG19" s="951"/>
      <c r="AH19" s="942"/>
      <c r="AI19" s="944"/>
      <c r="AJ19" s="942"/>
      <c r="AK19" s="944"/>
      <c r="AL19" s="942"/>
      <c r="AM19" s="943"/>
      <c r="AN19" s="943"/>
      <c r="AO19" s="944"/>
      <c r="AP19" s="942"/>
      <c r="AQ19" s="943"/>
      <c r="AR19" s="944"/>
      <c r="AS19" s="92"/>
      <c r="AT19" s="945"/>
      <c r="AU19" s="947"/>
      <c r="AV19" s="945"/>
      <c r="AW19" s="947"/>
      <c r="AX19" s="92"/>
      <c r="AY19" s="942"/>
      <c r="AZ19" s="944"/>
      <c r="BA19" s="942"/>
      <c r="BB19" s="944"/>
      <c r="BC19" s="942"/>
      <c r="BD19" s="943"/>
      <c r="BE19" s="944"/>
      <c r="BF19" s="945"/>
      <c r="BG19" s="947"/>
      <c r="BH19" s="945"/>
      <c r="BI19" s="947"/>
      <c r="BJ19" s="945"/>
      <c r="BK19" s="946"/>
      <c r="BL19" s="947"/>
      <c r="BM19" s="942"/>
      <c r="BN19" s="944"/>
      <c r="BO19" s="942"/>
      <c r="BP19" s="944"/>
      <c r="BQ19" s="942"/>
      <c r="BR19" s="944"/>
      <c r="BS19" s="942"/>
      <c r="BT19" s="943"/>
      <c r="BU19" s="944"/>
      <c r="BV19" s="945"/>
      <c r="BW19" s="947"/>
      <c r="BX19" s="950"/>
      <c r="BY19" s="1059"/>
      <c r="BZ19" s="951"/>
      <c r="CA19" s="942"/>
      <c r="CB19" s="943"/>
      <c r="CC19" s="944"/>
      <c r="CD19" s="945"/>
      <c r="CE19" s="946"/>
      <c r="CF19" s="947"/>
      <c r="CG19" s="950"/>
      <c r="CH19" s="1059"/>
      <c r="CI19" s="951"/>
      <c r="CJ19" s="942"/>
      <c r="CK19" s="943"/>
      <c r="CL19" s="1450"/>
      <c r="CM19" s="239"/>
    </row>
    <row r="20" spans="1:102" ht="46.5" customHeight="1">
      <c r="A20" s="238"/>
      <c r="B20" s="704"/>
      <c r="C20" s="711"/>
      <c r="D20" s="955"/>
      <c r="E20" s="956"/>
      <c r="F20" s="957"/>
      <c r="G20" s="703"/>
      <c r="H20" s="711"/>
      <c r="I20" s="950"/>
      <c r="J20" s="951"/>
      <c r="K20" s="950"/>
      <c r="L20" s="951"/>
      <c r="M20" s="945"/>
      <c r="N20" s="947"/>
      <c r="O20" s="950"/>
      <c r="P20" s="951"/>
      <c r="Q20" s="942"/>
      <c r="R20" s="944"/>
      <c r="S20" s="945"/>
      <c r="T20" s="946"/>
      <c r="U20" s="947"/>
      <c r="V20" s="945"/>
      <c r="W20" s="947"/>
      <c r="X20" s="950"/>
      <c r="Y20" s="951"/>
      <c r="Z20" s="942"/>
      <c r="AA20" s="944"/>
      <c r="AB20" s="950"/>
      <c r="AC20" s="951"/>
      <c r="AD20" s="945"/>
      <c r="AE20" s="947"/>
      <c r="AF20" s="950"/>
      <c r="AG20" s="951"/>
      <c r="AH20" s="942"/>
      <c r="AI20" s="944"/>
      <c r="AJ20" s="942"/>
      <c r="AK20" s="944"/>
      <c r="AL20" s="942"/>
      <c r="AM20" s="943"/>
      <c r="AN20" s="943"/>
      <c r="AO20" s="944"/>
      <c r="AP20" s="942"/>
      <c r="AQ20" s="943"/>
      <c r="AR20" s="944"/>
      <c r="AS20" s="92"/>
      <c r="AT20" s="945"/>
      <c r="AU20" s="947"/>
      <c r="AV20" s="945"/>
      <c r="AW20" s="947"/>
      <c r="AX20" s="92"/>
      <c r="AY20" s="942"/>
      <c r="AZ20" s="944"/>
      <c r="BA20" s="942"/>
      <c r="BB20" s="944"/>
      <c r="BC20" s="942"/>
      <c r="BD20" s="943"/>
      <c r="BE20" s="944"/>
      <c r="BF20" s="945"/>
      <c r="BG20" s="947"/>
      <c r="BH20" s="945"/>
      <c r="BI20" s="947"/>
      <c r="BJ20" s="945"/>
      <c r="BK20" s="946"/>
      <c r="BL20" s="947"/>
      <c r="BM20" s="942"/>
      <c r="BN20" s="944"/>
      <c r="BO20" s="942"/>
      <c r="BP20" s="944"/>
      <c r="BQ20" s="942"/>
      <c r="BR20" s="944"/>
      <c r="BS20" s="942"/>
      <c r="BT20" s="943"/>
      <c r="BU20" s="944"/>
      <c r="BV20" s="945"/>
      <c r="BW20" s="947"/>
      <c r="BX20" s="950"/>
      <c r="BY20" s="1059"/>
      <c r="BZ20" s="951"/>
      <c r="CA20" s="942"/>
      <c r="CB20" s="943"/>
      <c r="CC20" s="944"/>
      <c r="CD20" s="945"/>
      <c r="CE20" s="946"/>
      <c r="CF20" s="947"/>
      <c r="CG20" s="950"/>
      <c r="CH20" s="1059"/>
      <c r="CI20" s="951"/>
      <c r="CJ20" s="942"/>
      <c r="CK20" s="943"/>
      <c r="CL20" s="1450"/>
      <c r="CM20" s="239"/>
    </row>
    <row r="21" spans="1:102" ht="46.5" customHeight="1">
      <c r="A21" s="238"/>
      <c r="B21" s="959"/>
      <c r="C21" s="960"/>
      <c r="D21" s="955"/>
      <c r="E21" s="956"/>
      <c r="F21" s="957"/>
      <c r="G21" s="703"/>
      <c r="H21" s="711"/>
      <c r="I21" s="950"/>
      <c r="J21" s="951"/>
      <c r="K21" s="950"/>
      <c r="L21" s="951"/>
      <c r="M21" s="945"/>
      <c r="N21" s="947"/>
      <c r="O21" s="950"/>
      <c r="P21" s="951"/>
      <c r="Q21" s="942"/>
      <c r="R21" s="944"/>
      <c r="S21" s="945"/>
      <c r="T21" s="946"/>
      <c r="U21" s="947"/>
      <c r="V21" s="945"/>
      <c r="W21" s="947"/>
      <c r="X21" s="950"/>
      <c r="Y21" s="951"/>
      <c r="Z21" s="942"/>
      <c r="AA21" s="944"/>
      <c r="AB21" s="950"/>
      <c r="AC21" s="951"/>
      <c r="AD21" s="945"/>
      <c r="AE21" s="947"/>
      <c r="AF21" s="950"/>
      <c r="AG21" s="951"/>
      <c r="AH21" s="942"/>
      <c r="AI21" s="944"/>
      <c r="AJ21" s="942"/>
      <c r="AK21" s="944"/>
      <c r="AL21" s="942"/>
      <c r="AM21" s="943"/>
      <c r="AN21" s="943"/>
      <c r="AO21" s="944"/>
      <c r="AP21" s="942"/>
      <c r="AQ21" s="943"/>
      <c r="AR21" s="944"/>
      <c r="AS21" s="92"/>
      <c r="AT21" s="945"/>
      <c r="AU21" s="947"/>
      <c r="AV21" s="945"/>
      <c r="AW21" s="947"/>
      <c r="AX21" s="92"/>
      <c r="AY21" s="942"/>
      <c r="AZ21" s="944"/>
      <c r="BA21" s="942"/>
      <c r="BB21" s="944"/>
      <c r="BC21" s="942"/>
      <c r="BD21" s="943"/>
      <c r="BE21" s="944"/>
      <c r="BF21" s="945"/>
      <c r="BG21" s="947"/>
      <c r="BH21" s="945"/>
      <c r="BI21" s="947"/>
      <c r="BJ21" s="945"/>
      <c r="BK21" s="946"/>
      <c r="BL21" s="947"/>
      <c r="BM21" s="942"/>
      <c r="BN21" s="944"/>
      <c r="BO21" s="942"/>
      <c r="BP21" s="944"/>
      <c r="BQ21" s="942"/>
      <c r="BR21" s="944"/>
      <c r="BS21" s="942"/>
      <c r="BT21" s="943"/>
      <c r="BU21" s="944"/>
      <c r="BV21" s="945"/>
      <c r="BW21" s="947"/>
      <c r="BX21" s="950"/>
      <c r="BY21" s="1059"/>
      <c r="BZ21" s="951"/>
      <c r="CA21" s="942"/>
      <c r="CB21" s="943"/>
      <c r="CC21" s="944"/>
      <c r="CD21" s="945"/>
      <c r="CE21" s="946"/>
      <c r="CF21" s="947"/>
      <c r="CG21" s="950"/>
      <c r="CH21" s="1059"/>
      <c r="CI21" s="951"/>
      <c r="CJ21" s="942"/>
      <c r="CK21" s="943"/>
      <c r="CL21" s="1450"/>
      <c r="CM21" s="239"/>
    </row>
    <row r="22" spans="1:102" ht="46.5" customHeight="1">
      <c r="A22" s="238"/>
      <c r="B22" s="704"/>
      <c r="C22" s="711"/>
      <c r="D22" s="955"/>
      <c r="E22" s="956"/>
      <c r="F22" s="957"/>
      <c r="G22" s="703"/>
      <c r="H22" s="711"/>
      <c r="I22" s="950"/>
      <c r="J22" s="951"/>
      <c r="K22" s="950"/>
      <c r="L22" s="951"/>
      <c r="M22" s="945"/>
      <c r="N22" s="947"/>
      <c r="O22" s="950"/>
      <c r="P22" s="951"/>
      <c r="Q22" s="942"/>
      <c r="R22" s="944"/>
      <c r="S22" s="945"/>
      <c r="T22" s="946"/>
      <c r="U22" s="947"/>
      <c r="V22" s="945"/>
      <c r="W22" s="947"/>
      <c r="X22" s="950"/>
      <c r="Y22" s="951"/>
      <c r="Z22" s="942"/>
      <c r="AA22" s="944"/>
      <c r="AB22" s="950"/>
      <c r="AC22" s="951"/>
      <c r="AD22" s="945"/>
      <c r="AE22" s="947"/>
      <c r="AF22" s="950"/>
      <c r="AG22" s="951"/>
      <c r="AH22" s="942"/>
      <c r="AI22" s="944"/>
      <c r="AJ22" s="942"/>
      <c r="AK22" s="944"/>
      <c r="AL22" s="942"/>
      <c r="AM22" s="943"/>
      <c r="AN22" s="943"/>
      <c r="AO22" s="944"/>
      <c r="AP22" s="942"/>
      <c r="AQ22" s="943"/>
      <c r="AR22" s="944"/>
      <c r="AS22" s="92"/>
      <c r="AT22" s="945"/>
      <c r="AU22" s="947"/>
      <c r="AV22" s="945"/>
      <c r="AW22" s="947"/>
      <c r="AX22" s="92"/>
      <c r="AY22" s="942"/>
      <c r="AZ22" s="944"/>
      <c r="BA22" s="942"/>
      <c r="BB22" s="944"/>
      <c r="BC22" s="942"/>
      <c r="BD22" s="943"/>
      <c r="BE22" s="944"/>
      <c r="BF22" s="945"/>
      <c r="BG22" s="947"/>
      <c r="BH22" s="945"/>
      <c r="BI22" s="947"/>
      <c r="BJ22" s="945"/>
      <c r="BK22" s="946"/>
      <c r="BL22" s="947"/>
      <c r="BM22" s="942"/>
      <c r="BN22" s="944"/>
      <c r="BO22" s="942"/>
      <c r="BP22" s="944"/>
      <c r="BQ22" s="942"/>
      <c r="BR22" s="944"/>
      <c r="BS22" s="942"/>
      <c r="BT22" s="943"/>
      <c r="BU22" s="944"/>
      <c r="BV22" s="945"/>
      <c r="BW22" s="947"/>
      <c r="BX22" s="950"/>
      <c r="BY22" s="1059"/>
      <c r="BZ22" s="951"/>
      <c r="CA22" s="942"/>
      <c r="CB22" s="943"/>
      <c r="CC22" s="944"/>
      <c r="CD22" s="945"/>
      <c r="CE22" s="946"/>
      <c r="CF22" s="947"/>
      <c r="CG22" s="950"/>
      <c r="CH22" s="1059"/>
      <c r="CI22" s="951"/>
      <c r="CJ22" s="942"/>
      <c r="CK22" s="943"/>
      <c r="CL22" s="1450"/>
      <c r="CM22" s="239"/>
    </row>
    <row r="23" spans="1:102" ht="46.5" customHeight="1">
      <c r="A23" s="327"/>
      <c r="B23" s="704"/>
      <c r="C23" s="711"/>
      <c r="D23" s="955"/>
      <c r="E23" s="956"/>
      <c r="F23" s="957"/>
      <c r="G23" s="703"/>
      <c r="H23" s="711"/>
      <c r="I23" s="950"/>
      <c r="J23" s="951"/>
      <c r="K23" s="950"/>
      <c r="L23" s="951"/>
      <c r="M23" s="945"/>
      <c r="N23" s="947"/>
      <c r="O23" s="950"/>
      <c r="P23" s="951"/>
      <c r="Q23" s="942"/>
      <c r="R23" s="944"/>
      <c r="S23" s="945"/>
      <c r="T23" s="946"/>
      <c r="U23" s="947"/>
      <c r="V23" s="945"/>
      <c r="W23" s="947"/>
      <c r="X23" s="950"/>
      <c r="Y23" s="951"/>
      <c r="Z23" s="942"/>
      <c r="AA23" s="944"/>
      <c r="AB23" s="950"/>
      <c r="AC23" s="951"/>
      <c r="AD23" s="945"/>
      <c r="AE23" s="947"/>
      <c r="AF23" s="950"/>
      <c r="AG23" s="951"/>
      <c r="AH23" s="942"/>
      <c r="AI23" s="944"/>
      <c r="AJ23" s="942"/>
      <c r="AK23" s="944"/>
      <c r="AL23" s="942"/>
      <c r="AM23" s="943"/>
      <c r="AN23" s="943"/>
      <c r="AO23" s="944"/>
      <c r="AP23" s="942"/>
      <c r="AQ23" s="943"/>
      <c r="AR23" s="944"/>
      <c r="AS23" s="92"/>
      <c r="AT23" s="945"/>
      <c r="AU23" s="947"/>
      <c r="AV23" s="945"/>
      <c r="AW23" s="947"/>
      <c r="AX23" s="92"/>
      <c r="AY23" s="942"/>
      <c r="AZ23" s="944"/>
      <c r="BA23" s="942"/>
      <c r="BB23" s="944"/>
      <c r="BC23" s="942"/>
      <c r="BD23" s="943"/>
      <c r="BE23" s="944"/>
      <c r="BF23" s="945"/>
      <c r="BG23" s="947"/>
      <c r="BH23" s="945"/>
      <c r="BI23" s="947"/>
      <c r="BJ23" s="945"/>
      <c r="BK23" s="946"/>
      <c r="BL23" s="947"/>
      <c r="BM23" s="942"/>
      <c r="BN23" s="944"/>
      <c r="BO23" s="942"/>
      <c r="BP23" s="944"/>
      <c r="BQ23" s="942"/>
      <c r="BR23" s="944"/>
      <c r="BS23" s="942"/>
      <c r="BT23" s="943"/>
      <c r="BU23" s="944"/>
      <c r="BV23" s="945"/>
      <c r="BW23" s="947"/>
      <c r="BX23" s="950"/>
      <c r="BY23" s="1059"/>
      <c r="BZ23" s="951"/>
      <c r="CA23" s="942"/>
      <c r="CB23" s="943"/>
      <c r="CC23" s="944"/>
      <c r="CD23" s="945"/>
      <c r="CE23" s="946"/>
      <c r="CF23" s="947"/>
      <c r="CG23" s="950"/>
      <c r="CH23" s="1059"/>
      <c r="CI23" s="951"/>
      <c r="CJ23" s="942"/>
      <c r="CK23" s="943"/>
      <c r="CL23" s="1450"/>
      <c r="CM23" s="239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47">
        <f>CK25*20</f>
        <v>0</v>
      </c>
    </row>
    <row r="24" spans="1:102" ht="46.5" customHeight="1">
      <c r="A24" s="396"/>
      <c r="B24" s="704"/>
      <c r="C24" s="711"/>
      <c r="D24" s="343"/>
      <c r="E24" s="344"/>
      <c r="F24" s="345"/>
      <c r="G24" s="340"/>
      <c r="H24" s="341"/>
      <c r="I24" s="332"/>
      <c r="J24" s="333"/>
      <c r="K24" s="332"/>
      <c r="L24" s="333"/>
      <c r="M24" s="334"/>
      <c r="N24" s="336"/>
      <c r="O24" s="332"/>
      <c r="P24" s="333"/>
      <c r="Q24" s="330"/>
      <c r="R24" s="331"/>
      <c r="S24" s="334"/>
      <c r="T24" s="335"/>
      <c r="U24" s="336"/>
      <c r="V24" s="334"/>
      <c r="W24" s="336"/>
      <c r="X24" s="332"/>
      <c r="Y24" s="333"/>
      <c r="Z24" s="330"/>
      <c r="AA24" s="331"/>
      <c r="AB24" s="332"/>
      <c r="AC24" s="333"/>
      <c r="AD24" s="334"/>
      <c r="AE24" s="336"/>
      <c r="AF24" s="332"/>
      <c r="AG24" s="333"/>
      <c r="AH24" s="330"/>
      <c r="AI24" s="331"/>
      <c r="AJ24" s="330"/>
      <c r="AK24" s="331"/>
      <c r="AL24" s="330"/>
      <c r="AM24" s="337"/>
      <c r="AN24" s="337"/>
      <c r="AO24" s="331"/>
      <c r="AP24" s="330"/>
      <c r="AQ24" s="337"/>
      <c r="AR24" s="331"/>
      <c r="AS24" s="92"/>
      <c r="AT24" s="334"/>
      <c r="AU24" s="336"/>
      <c r="AV24" s="334"/>
      <c r="AW24" s="336"/>
      <c r="AX24" s="92"/>
      <c r="AY24" s="330"/>
      <c r="AZ24" s="331"/>
      <c r="BA24" s="330"/>
      <c r="BB24" s="331"/>
      <c r="BC24" s="330"/>
      <c r="BD24" s="337"/>
      <c r="BE24" s="331"/>
      <c r="BF24" s="334"/>
      <c r="BG24" s="336"/>
      <c r="BH24" s="334"/>
      <c r="BI24" s="336"/>
      <c r="BJ24" s="334"/>
      <c r="BK24" s="335"/>
      <c r="BL24" s="336"/>
      <c r="BM24" s="330"/>
      <c r="BN24" s="331"/>
      <c r="BO24" s="330"/>
      <c r="BP24" s="331"/>
      <c r="BQ24" s="330"/>
      <c r="BR24" s="331"/>
      <c r="BS24" s="330"/>
      <c r="BT24" s="337"/>
      <c r="BU24" s="331"/>
      <c r="BV24" s="334"/>
      <c r="BW24" s="336"/>
      <c r="BX24" s="332"/>
      <c r="BY24" s="338"/>
      <c r="BZ24" s="333"/>
      <c r="CA24" s="330"/>
      <c r="CB24" s="337"/>
      <c r="CC24" s="331"/>
      <c r="CD24" s="334"/>
      <c r="CE24" s="335"/>
      <c r="CF24" s="336"/>
      <c r="CG24" s="332"/>
      <c r="CH24" s="338"/>
      <c r="CI24" s="333"/>
      <c r="CJ24" s="330"/>
      <c r="CK24" s="337"/>
      <c r="CL24" s="339"/>
      <c r="CM24" s="239"/>
      <c r="CN24" s="342"/>
      <c r="CO24" s="342"/>
      <c r="CP24" s="342"/>
      <c r="CQ24" s="342"/>
      <c r="CR24" s="342"/>
      <c r="CS24" s="342"/>
      <c r="CT24" s="342"/>
      <c r="CU24" s="342"/>
      <c r="CV24" s="342"/>
      <c r="CW24" s="342"/>
      <c r="CX24" s="47"/>
    </row>
    <row r="25" spans="1:102" ht="46.5" customHeight="1">
      <c r="A25" s="328"/>
      <c r="B25" s="959"/>
      <c r="C25" s="960"/>
      <c r="D25" s="1451"/>
      <c r="E25" s="1452"/>
      <c r="F25" s="1453"/>
      <c r="G25" s="1451"/>
      <c r="H25" s="1453"/>
      <c r="I25" s="950"/>
      <c r="J25" s="951"/>
      <c r="K25" s="950"/>
      <c r="L25" s="951"/>
      <c r="M25" s="945"/>
      <c r="N25" s="947"/>
      <c r="O25" s="950"/>
      <c r="P25" s="951"/>
      <c r="Q25" s="942"/>
      <c r="R25" s="944"/>
      <c r="S25" s="945"/>
      <c r="T25" s="946"/>
      <c r="U25" s="947"/>
      <c r="V25" s="945"/>
      <c r="W25" s="947"/>
      <c r="X25" s="950"/>
      <c r="Y25" s="951"/>
      <c r="Z25" s="942"/>
      <c r="AA25" s="944"/>
      <c r="AB25" s="950"/>
      <c r="AC25" s="951"/>
      <c r="AD25" s="945"/>
      <c r="AE25" s="947"/>
      <c r="AF25" s="950"/>
      <c r="AG25" s="951"/>
      <c r="AH25" s="942"/>
      <c r="AI25" s="944"/>
      <c r="AJ25" s="942"/>
      <c r="AK25" s="944"/>
      <c r="AL25" s="942"/>
      <c r="AM25" s="943"/>
      <c r="AN25" s="943"/>
      <c r="AO25" s="944"/>
      <c r="AP25" s="942"/>
      <c r="AQ25" s="943"/>
      <c r="AR25" s="944"/>
      <c r="AS25" s="92"/>
      <c r="AT25" s="945"/>
      <c r="AU25" s="947"/>
      <c r="AV25" s="945"/>
      <c r="AW25" s="947"/>
      <c r="AX25" s="92"/>
      <c r="AY25" s="942"/>
      <c r="AZ25" s="944"/>
      <c r="BA25" s="942"/>
      <c r="BB25" s="944"/>
      <c r="BC25" s="942"/>
      <c r="BD25" s="943"/>
      <c r="BE25" s="944"/>
      <c r="BF25" s="945"/>
      <c r="BG25" s="947"/>
      <c r="BH25" s="945"/>
      <c r="BI25" s="947"/>
      <c r="BJ25" s="945"/>
      <c r="BK25" s="946"/>
      <c r="BL25" s="947"/>
      <c r="BM25" s="942"/>
      <c r="BN25" s="944"/>
      <c r="BO25" s="942"/>
      <c r="BP25" s="944"/>
      <c r="BQ25" s="942"/>
      <c r="BR25" s="944"/>
      <c r="BS25" s="942"/>
      <c r="BT25" s="943"/>
      <c r="BU25" s="944"/>
      <c r="BV25" s="945"/>
      <c r="BW25" s="947"/>
      <c r="BX25" s="950"/>
      <c r="BY25" s="1059"/>
      <c r="BZ25" s="951"/>
      <c r="CA25" s="942"/>
      <c r="CB25" s="943"/>
      <c r="CC25" s="944"/>
      <c r="CD25" s="945"/>
      <c r="CE25" s="946"/>
      <c r="CF25" s="947"/>
      <c r="CG25" s="950"/>
      <c r="CH25" s="1059"/>
      <c r="CI25" s="951"/>
      <c r="CJ25" s="942"/>
      <c r="CK25" s="943"/>
      <c r="CL25" s="1450"/>
      <c r="CM25" s="239">
        <f>SUM(CM7:CM23)</f>
        <v>0</v>
      </c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47">
        <f>CX23+CX22</f>
        <v>0</v>
      </c>
    </row>
    <row r="26" spans="1:102" ht="46.5" customHeight="1">
      <c r="A26" s="1446" t="s">
        <v>530</v>
      </c>
      <c r="B26" s="787"/>
      <c r="C26" s="787"/>
      <c r="D26" s="787"/>
      <c r="E26" s="787"/>
      <c r="F26" s="787"/>
      <c r="G26" s="787"/>
      <c r="H26" s="787"/>
      <c r="I26" s="787"/>
      <c r="J26" s="787"/>
      <c r="K26" s="787"/>
      <c r="L26" s="787"/>
      <c r="M26" s="787"/>
      <c r="N26" s="787"/>
      <c r="O26" s="787"/>
      <c r="P26" s="787"/>
      <c r="Q26" s="787"/>
      <c r="R26" s="787"/>
      <c r="S26" s="787"/>
      <c r="T26" s="787"/>
      <c r="U26" s="787"/>
      <c r="V26" s="787"/>
      <c r="W26" s="787"/>
      <c r="X26" s="787"/>
      <c r="Y26" s="787"/>
      <c r="Z26" s="787"/>
      <c r="AA26" s="787"/>
      <c r="AB26" s="787"/>
      <c r="AC26" s="787"/>
      <c r="AD26" s="787"/>
      <c r="AE26" s="787"/>
      <c r="AF26" s="787"/>
      <c r="AG26" s="787"/>
      <c r="AH26" s="787"/>
      <c r="AI26" s="787"/>
      <c r="AJ26" s="787"/>
      <c r="AK26" s="787"/>
      <c r="AL26" s="787"/>
      <c r="AM26" s="787"/>
      <c r="AN26" s="787"/>
      <c r="AO26" s="787"/>
      <c r="AP26" s="787"/>
      <c r="AQ26" s="787"/>
      <c r="AR26" s="787"/>
      <c r="AS26" s="787"/>
      <c r="AT26" s="787"/>
      <c r="AU26" s="787"/>
      <c r="AV26" s="787"/>
      <c r="AW26" s="787"/>
      <c r="AX26" s="787"/>
      <c r="AY26" s="787"/>
      <c r="AZ26" s="787"/>
      <c r="BA26" s="787"/>
      <c r="BB26" s="787"/>
      <c r="BC26" s="787"/>
      <c r="BD26" s="787"/>
      <c r="BE26" s="787"/>
      <c r="BF26" s="787"/>
      <c r="BG26" s="787"/>
      <c r="BH26" s="787"/>
      <c r="BI26" s="787"/>
      <c r="BJ26" s="787"/>
      <c r="BK26" s="787"/>
      <c r="BL26" s="787"/>
      <c r="BM26" s="787"/>
      <c r="BN26" s="787"/>
      <c r="BO26" s="787"/>
      <c r="BP26" s="787"/>
      <c r="BQ26" s="787"/>
      <c r="BR26" s="787"/>
      <c r="BS26" s="787"/>
      <c r="BT26" s="787"/>
      <c r="BU26" s="787"/>
      <c r="BV26" s="787"/>
      <c r="BW26" s="787"/>
      <c r="BX26" s="787"/>
      <c r="BY26" s="787"/>
      <c r="BZ26" s="787"/>
      <c r="CA26" s="787"/>
      <c r="CB26" s="787"/>
      <c r="CC26" s="787"/>
      <c r="CD26" s="787"/>
      <c r="CE26" s="787"/>
      <c r="CF26" s="787"/>
      <c r="CG26" s="787"/>
      <c r="CH26" s="787"/>
      <c r="CI26" s="787"/>
      <c r="CJ26" s="787"/>
      <c r="CK26" s="787"/>
      <c r="CL26" s="1447"/>
      <c r="CM26" s="239">
        <f>CJ25*20</f>
        <v>0</v>
      </c>
    </row>
    <row r="27" spans="1:102" ht="46.5" customHeight="1" thickBot="1">
      <c r="A27" s="1454" t="s">
        <v>531</v>
      </c>
      <c r="B27" s="1455"/>
      <c r="C27" s="1455"/>
      <c r="D27" s="1455"/>
      <c r="E27" s="1455"/>
      <c r="F27" s="1455"/>
      <c r="G27" s="1455"/>
      <c r="H27" s="1455"/>
      <c r="I27" s="1455"/>
      <c r="J27" s="1455"/>
      <c r="K27" s="1455"/>
      <c r="L27" s="1455"/>
      <c r="M27" s="1455"/>
      <c r="N27" s="1455"/>
      <c r="O27" s="1455"/>
      <c r="P27" s="1455"/>
      <c r="Q27" s="1455"/>
      <c r="R27" s="1455"/>
      <c r="S27" s="1455"/>
      <c r="T27" s="1455"/>
      <c r="U27" s="1455"/>
      <c r="V27" s="1455"/>
      <c r="W27" s="1455"/>
      <c r="X27" s="1455"/>
      <c r="Y27" s="1455"/>
      <c r="Z27" s="1455"/>
      <c r="AA27" s="1455"/>
      <c r="AB27" s="1455"/>
      <c r="AC27" s="1455"/>
      <c r="AD27" s="1455"/>
      <c r="AE27" s="1455"/>
      <c r="AF27" s="1455"/>
      <c r="AG27" s="1455"/>
      <c r="AH27" s="1455"/>
      <c r="AI27" s="1455"/>
      <c r="AJ27" s="1455"/>
      <c r="AK27" s="1455"/>
      <c r="AL27" s="1455"/>
      <c r="AM27" s="1455"/>
      <c r="AN27" s="1455"/>
      <c r="AO27" s="1455"/>
      <c r="AP27" s="1455"/>
      <c r="AQ27" s="1455"/>
      <c r="AR27" s="1455"/>
      <c r="AS27" s="1455"/>
      <c r="AT27" s="1455"/>
      <c r="AU27" s="1455"/>
      <c r="AV27" s="1455"/>
      <c r="AW27" s="1455"/>
      <c r="AX27" s="1455"/>
      <c r="AY27" s="1455"/>
      <c r="AZ27" s="1455"/>
      <c r="BA27" s="1455"/>
      <c r="BB27" s="1455"/>
      <c r="BC27" s="1455"/>
      <c r="BD27" s="1455"/>
      <c r="BE27" s="1455"/>
      <c r="BF27" s="1455"/>
      <c r="BG27" s="1455"/>
      <c r="BH27" s="1455"/>
      <c r="BI27" s="1455"/>
      <c r="BJ27" s="1455"/>
      <c r="BK27" s="1455"/>
      <c r="BL27" s="1455"/>
      <c r="BM27" s="1455"/>
      <c r="BN27" s="1455"/>
      <c r="BO27" s="1455"/>
      <c r="BP27" s="1455"/>
      <c r="BQ27" s="1455"/>
      <c r="BR27" s="1455"/>
      <c r="BS27" s="1455"/>
      <c r="BT27" s="1455"/>
      <c r="BU27" s="1455"/>
      <c r="BV27" s="1455"/>
      <c r="BW27" s="1455"/>
      <c r="BX27" s="1455"/>
      <c r="BY27" s="1455"/>
      <c r="BZ27" s="1455"/>
      <c r="CA27" s="1455"/>
      <c r="CB27" s="1455"/>
      <c r="CC27" s="1455"/>
      <c r="CD27" s="1455"/>
      <c r="CE27" s="1455"/>
      <c r="CF27" s="1455"/>
      <c r="CG27" s="1455"/>
      <c r="CH27" s="1455"/>
      <c r="CI27" s="1455"/>
      <c r="CJ27" s="1455"/>
      <c r="CK27" s="1455"/>
      <c r="CL27" s="1455"/>
      <c r="CM27" s="329">
        <f>CM26+CM25</f>
        <v>0</v>
      </c>
    </row>
    <row r="28" spans="1:102" ht="46.5" customHeight="1">
      <c r="CD28" s="40">
        <f>COUNTIF(CJ7:CL23, "&lt;1000")</f>
        <v>0</v>
      </c>
      <c r="CE28" s="40">
        <f>COUNTIF(CJ7:CL23, "&gt;1000")</f>
        <v>0</v>
      </c>
    </row>
  </sheetData>
  <mergeCells count="721">
    <mergeCell ref="A27:CL27"/>
    <mergeCell ref="CA5:CL5"/>
    <mergeCell ref="AY6:AZ6"/>
    <mergeCell ref="BA6:BB6"/>
    <mergeCell ref="BC6:BE6"/>
    <mergeCell ref="BF6:BG6"/>
    <mergeCell ref="A5:A6"/>
    <mergeCell ref="B5:C6"/>
    <mergeCell ref="D5:F6"/>
    <mergeCell ref="G5:H6"/>
    <mergeCell ref="I5:P5"/>
    <mergeCell ref="Q5:Y5"/>
    <mergeCell ref="Z5:AG5"/>
    <mergeCell ref="AH5:AR5"/>
    <mergeCell ref="I6:J6"/>
    <mergeCell ref="K6:L6"/>
    <mergeCell ref="M6:N6"/>
    <mergeCell ref="O6:P6"/>
    <mergeCell ref="Q6:R6"/>
    <mergeCell ref="S6:U6"/>
    <mergeCell ref="AY5:BG5"/>
    <mergeCell ref="BH5:BP5"/>
    <mergeCell ref="BQ5:BZ5"/>
    <mergeCell ref="AH6:AI6"/>
    <mergeCell ref="AJ6:AK6"/>
    <mergeCell ref="AL6:AO6"/>
    <mergeCell ref="AP6:AR6"/>
    <mergeCell ref="AT6:AU6"/>
    <mergeCell ref="AV6:AW6"/>
    <mergeCell ref="V6:W6"/>
    <mergeCell ref="X6:Y6"/>
    <mergeCell ref="Z6:AA6"/>
    <mergeCell ref="AB6:AC6"/>
    <mergeCell ref="AD6:AE6"/>
    <mergeCell ref="AF6:AG6"/>
    <mergeCell ref="BV6:BW6"/>
    <mergeCell ref="BX6:BZ6"/>
    <mergeCell ref="AS5:AX5"/>
    <mergeCell ref="CA6:CC6"/>
    <mergeCell ref="CD6:CF6"/>
    <mergeCell ref="CG6:CI6"/>
    <mergeCell ref="CJ6:CL6"/>
    <mergeCell ref="BH6:BI6"/>
    <mergeCell ref="BJ6:BL6"/>
    <mergeCell ref="BM6:BN6"/>
    <mergeCell ref="BO6:BP6"/>
    <mergeCell ref="BQ6:BR6"/>
    <mergeCell ref="BS6:BU6"/>
    <mergeCell ref="X7:Y7"/>
    <mergeCell ref="Z7:AA7"/>
    <mergeCell ref="AB7:AC7"/>
    <mergeCell ref="B7:C7"/>
    <mergeCell ref="D7:F7"/>
    <mergeCell ref="G7:H7"/>
    <mergeCell ref="I7:J7"/>
    <mergeCell ref="K7:L7"/>
    <mergeCell ref="M7:N7"/>
    <mergeCell ref="O7:P7"/>
    <mergeCell ref="CD7:CF7"/>
    <mergeCell ref="CG7:CI7"/>
    <mergeCell ref="CJ7:CL7"/>
    <mergeCell ref="BH7:BI7"/>
    <mergeCell ref="BJ7:BL7"/>
    <mergeCell ref="BM7:BN7"/>
    <mergeCell ref="BO7:BP7"/>
    <mergeCell ref="BQ7:BR7"/>
    <mergeCell ref="BS7:BU7"/>
    <mergeCell ref="B8:C8"/>
    <mergeCell ref="D8:F8"/>
    <mergeCell ref="G8:H8"/>
    <mergeCell ref="I8:J8"/>
    <mergeCell ref="K8:L8"/>
    <mergeCell ref="M8:N8"/>
    <mergeCell ref="BV7:BW7"/>
    <mergeCell ref="BX7:BZ7"/>
    <mergeCell ref="CA7:CC7"/>
    <mergeCell ref="AT7:AU7"/>
    <mergeCell ref="AV7:AW7"/>
    <mergeCell ref="AY7:AZ7"/>
    <mergeCell ref="BA7:BB7"/>
    <mergeCell ref="BC7:BE7"/>
    <mergeCell ref="BF7:BG7"/>
    <mergeCell ref="AD7:AE7"/>
    <mergeCell ref="AF7:AG7"/>
    <mergeCell ref="AH7:AI7"/>
    <mergeCell ref="AJ7:AK7"/>
    <mergeCell ref="AL7:AO7"/>
    <mergeCell ref="AP7:AR7"/>
    <mergeCell ref="Q7:R7"/>
    <mergeCell ref="S7:U7"/>
    <mergeCell ref="V7:W7"/>
    <mergeCell ref="AB8:AC8"/>
    <mergeCell ref="AD8:AE8"/>
    <mergeCell ref="AF8:AG8"/>
    <mergeCell ref="AH8:AI8"/>
    <mergeCell ref="AJ8:AK8"/>
    <mergeCell ref="AL8:AO8"/>
    <mergeCell ref="O8:P8"/>
    <mergeCell ref="Q8:R8"/>
    <mergeCell ref="S8:U8"/>
    <mergeCell ref="V8:W8"/>
    <mergeCell ref="X8:Y8"/>
    <mergeCell ref="Z8:AA8"/>
    <mergeCell ref="CJ8:CL8"/>
    <mergeCell ref="B9:C9"/>
    <mergeCell ref="D9:F9"/>
    <mergeCell ref="G9:H9"/>
    <mergeCell ref="I9:J9"/>
    <mergeCell ref="K9:L9"/>
    <mergeCell ref="BS8:BU8"/>
    <mergeCell ref="BV8:BW8"/>
    <mergeCell ref="BX8:BZ8"/>
    <mergeCell ref="CA8:CC8"/>
    <mergeCell ref="CD8:CF8"/>
    <mergeCell ref="CG8:CI8"/>
    <mergeCell ref="BF8:BG8"/>
    <mergeCell ref="BH8:BI8"/>
    <mergeCell ref="BJ8:BL8"/>
    <mergeCell ref="BM8:BN8"/>
    <mergeCell ref="BO8:BP8"/>
    <mergeCell ref="BQ8:BR8"/>
    <mergeCell ref="AP8:AR8"/>
    <mergeCell ref="AT8:AU8"/>
    <mergeCell ref="AV8:AW8"/>
    <mergeCell ref="AY8:AZ8"/>
    <mergeCell ref="BA8:BB8"/>
    <mergeCell ref="BC8:BE8"/>
    <mergeCell ref="AY9:AZ9"/>
    <mergeCell ref="BA9:BB9"/>
    <mergeCell ref="Z9:AA9"/>
    <mergeCell ref="AB9:AC9"/>
    <mergeCell ref="AD9:AE9"/>
    <mergeCell ref="AF9:AG9"/>
    <mergeCell ref="AH9:AI9"/>
    <mergeCell ref="AJ9:AK9"/>
    <mergeCell ref="M9:N9"/>
    <mergeCell ref="O9:P9"/>
    <mergeCell ref="Q9:R9"/>
    <mergeCell ref="S9:U9"/>
    <mergeCell ref="V9:W9"/>
    <mergeCell ref="X9:Y9"/>
    <mergeCell ref="B10:C10"/>
    <mergeCell ref="D10:F10"/>
    <mergeCell ref="G10:H10"/>
    <mergeCell ref="I10:J10"/>
    <mergeCell ref="K10:L10"/>
    <mergeCell ref="M10:N10"/>
    <mergeCell ref="CG9:CI9"/>
    <mergeCell ref="CJ9:CL9"/>
    <mergeCell ref="BQ9:BR9"/>
    <mergeCell ref="BS9:BU9"/>
    <mergeCell ref="BV9:BW9"/>
    <mergeCell ref="BX9:BZ9"/>
    <mergeCell ref="CA9:CC9"/>
    <mergeCell ref="CD9:CF9"/>
    <mergeCell ref="BC9:BE9"/>
    <mergeCell ref="BF9:BG9"/>
    <mergeCell ref="BH9:BI9"/>
    <mergeCell ref="BJ9:BL9"/>
    <mergeCell ref="BM9:BN9"/>
    <mergeCell ref="BO9:BP9"/>
    <mergeCell ref="AL9:AO9"/>
    <mergeCell ref="AP9:AR9"/>
    <mergeCell ref="AT9:AU9"/>
    <mergeCell ref="AV9:AW9"/>
    <mergeCell ref="AB10:AC10"/>
    <mergeCell ref="AD10:AE10"/>
    <mergeCell ref="AF10:AG10"/>
    <mergeCell ref="AH10:AI10"/>
    <mergeCell ref="AJ10:AK10"/>
    <mergeCell ref="AL10:AO10"/>
    <mergeCell ref="O10:P10"/>
    <mergeCell ref="Q10:R10"/>
    <mergeCell ref="S10:U10"/>
    <mergeCell ref="V10:W10"/>
    <mergeCell ref="X10:Y10"/>
    <mergeCell ref="Z10:AA10"/>
    <mergeCell ref="CJ10:CL10"/>
    <mergeCell ref="B11:C11"/>
    <mergeCell ref="D11:F11"/>
    <mergeCell ref="G11:H11"/>
    <mergeCell ref="I11:J11"/>
    <mergeCell ref="K11:L11"/>
    <mergeCell ref="BS10:BU10"/>
    <mergeCell ref="BV10:BW10"/>
    <mergeCell ref="BX10:BZ10"/>
    <mergeCell ref="CA10:CC10"/>
    <mergeCell ref="CD10:CF10"/>
    <mergeCell ref="CG10:CI10"/>
    <mergeCell ref="BF10:BG10"/>
    <mergeCell ref="BH10:BI10"/>
    <mergeCell ref="BJ10:BL10"/>
    <mergeCell ref="BM10:BN10"/>
    <mergeCell ref="BO10:BP10"/>
    <mergeCell ref="BQ10:BR10"/>
    <mergeCell ref="AP10:AR10"/>
    <mergeCell ref="AT10:AU10"/>
    <mergeCell ref="AV10:AW10"/>
    <mergeCell ref="AY10:AZ10"/>
    <mergeCell ref="BA10:BB10"/>
    <mergeCell ref="BC10:BE10"/>
    <mergeCell ref="AY11:AZ11"/>
    <mergeCell ref="BA11:BB11"/>
    <mergeCell ref="Z11:AA11"/>
    <mergeCell ref="AB11:AC11"/>
    <mergeCell ref="AD11:AE11"/>
    <mergeCell ref="AF11:AG11"/>
    <mergeCell ref="AH11:AI11"/>
    <mergeCell ref="AJ11:AK11"/>
    <mergeCell ref="M11:N11"/>
    <mergeCell ref="O11:P11"/>
    <mergeCell ref="Q11:R11"/>
    <mergeCell ref="S11:U11"/>
    <mergeCell ref="V11:W11"/>
    <mergeCell ref="X11:Y11"/>
    <mergeCell ref="B12:C12"/>
    <mergeCell ref="D12:F12"/>
    <mergeCell ref="G12:H12"/>
    <mergeCell ref="I12:J12"/>
    <mergeCell ref="K12:L12"/>
    <mergeCell ref="M12:N12"/>
    <mergeCell ref="CG11:CI11"/>
    <mergeCell ref="CJ11:CL11"/>
    <mergeCell ref="BQ11:BR11"/>
    <mergeCell ref="BS11:BU11"/>
    <mergeCell ref="BV11:BW11"/>
    <mergeCell ref="BX11:BZ11"/>
    <mergeCell ref="CA11:CC11"/>
    <mergeCell ref="CD11:CF11"/>
    <mergeCell ref="BC11:BE11"/>
    <mergeCell ref="BF11:BG11"/>
    <mergeCell ref="BH11:BI11"/>
    <mergeCell ref="BJ11:BL11"/>
    <mergeCell ref="BM11:BN11"/>
    <mergeCell ref="BO11:BP11"/>
    <mergeCell ref="AL11:AO11"/>
    <mergeCell ref="AP11:AR11"/>
    <mergeCell ref="AT11:AU11"/>
    <mergeCell ref="AV11:AW11"/>
    <mergeCell ref="AB12:AC12"/>
    <mergeCell ref="AD12:AE12"/>
    <mergeCell ref="AF12:AG12"/>
    <mergeCell ref="AH12:AI12"/>
    <mergeCell ref="AJ12:AK12"/>
    <mergeCell ref="AL12:AO12"/>
    <mergeCell ref="O12:P12"/>
    <mergeCell ref="Q12:R12"/>
    <mergeCell ref="S12:U12"/>
    <mergeCell ref="V12:W12"/>
    <mergeCell ref="X12:Y12"/>
    <mergeCell ref="Z12:AA12"/>
    <mergeCell ref="CJ12:CL12"/>
    <mergeCell ref="B13:C13"/>
    <mergeCell ref="D13:F13"/>
    <mergeCell ref="G13:H13"/>
    <mergeCell ref="I13:J13"/>
    <mergeCell ref="K13:L13"/>
    <mergeCell ref="BS12:BU12"/>
    <mergeCell ref="BV12:BW12"/>
    <mergeCell ref="BX12:BZ12"/>
    <mergeCell ref="CA12:CC12"/>
    <mergeCell ref="CD12:CF12"/>
    <mergeCell ref="CG12:CI12"/>
    <mergeCell ref="BF12:BG12"/>
    <mergeCell ref="BH12:BI12"/>
    <mergeCell ref="BJ12:BL12"/>
    <mergeCell ref="BM12:BN12"/>
    <mergeCell ref="BO12:BP12"/>
    <mergeCell ref="BQ12:BR12"/>
    <mergeCell ref="AP12:AR12"/>
    <mergeCell ref="AT12:AU12"/>
    <mergeCell ref="AV12:AW12"/>
    <mergeCell ref="AY12:AZ12"/>
    <mergeCell ref="BA12:BB12"/>
    <mergeCell ref="BC12:BE12"/>
    <mergeCell ref="AY13:AZ13"/>
    <mergeCell ref="BA13:BB13"/>
    <mergeCell ref="Z13:AA13"/>
    <mergeCell ref="AB13:AC13"/>
    <mergeCell ref="AD13:AE13"/>
    <mergeCell ref="AF13:AG13"/>
    <mergeCell ref="AH13:AI13"/>
    <mergeCell ref="AJ13:AK13"/>
    <mergeCell ref="M13:N13"/>
    <mergeCell ref="O13:P13"/>
    <mergeCell ref="Q13:R13"/>
    <mergeCell ref="S13:U13"/>
    <mergeCell ref="V13:W13"/>
    <mergeCell ref="X13:Y13"/>
    <mergeCell ref="B14:C14"/>
    <mergeCell ref="D14:F14"/>
    <mergeCell ref="G14:H14"/>
    <mergeCell ref="I14:J14"/>
    <mergeCell ref="K14:L14"/>
    <mergeCell ref="M14:N14"/>
    <mergeCell ref="CG13:CI13"/>
    <mergeCell ref="CJ13:CL13"/>
    <mergeCell ref="BQ13:BR13"/>
    <mergeCell ref="BS13:BU13"/>
    <mergeCell ref="BV13:BW13"/>
    <mergeCell ref="BX13:BZ13"/>
    <mergeCell ref="CA13:CC13"/>
    <mergeCell ref="CD13:CF13"/>
    <mergeCell ref="BC13:BE13"/>
    <mergeCell ref="BF13:BG13"/>
    <mergeCell ref="BH13:BI13"/>
    <mergeCell ref="BJ13:BL13"/>
    <mergeCell ref="BM13:BN13"/>
    <mergeCell ref="BO13:BP13"/>
    <mergeCell ref="AL13:AO13"/>
    <mergeCell ref="AP13:AR13"/>
    <mergeCell ref="AT13:AU13"/>
    <mergeCell ref="AV13:AW13"/>
    <mergeCell ref="AB14:AC14"/>
    <mergeCell ref="AD14:AE14"/>
    <mergeCell ref="AF14:AG14"/>
    <mergeCell ref="AH14:AI14"/>
    <mergeCell ref="AJ14:AK14"/>
    <mergeCell ref="AL14:AO14"/>
    <mergeCell ref="O14:P14"/>
    <mergeCell ref="Q14:R14"/>
    <mergeCell ref="S14:U14"/>
    <mergeCell ref="V14:W14"/>
    <mergeCell ref="X14:Y14"/>
    <mergeCell ref="Z14:AA14"/>
    <mergeCell ref="CJ14:CL14"/>
    <mergeCell ref="B15:C15"/>
    <mergeCell ref="D15:F15"/>
    <mergeCell ref="G15:H15"/>
    <mergeCell ref="I15:J15"/>
    <mergeCell ref="K15:L15"/>
    <mergeCell ref="BS14:BU14"/>
    <mergeCell ref="BV14:BW14"/>
    <mergeCell ref="BX14:BZ14"/>
    <mergeCell ref="CA14:CC14"/>
    <mergeCell ref="CD14:CF14"/>
    <mergeCell ref="CG14:CI14"/>
    <mergeCell ref="BF14:BG14"/>
    <mergeCell ref="BH14:BI14"/>
    <mergeCell ref="BJ14:BL14"/>
    <mergeCell ref="BM14:BN14"/>
    <mergeCell ref="BO14:BP14"/>
    <mergeCell ref="BQ14:BR14"/>
    <mergeCell ref="AP14:AR14"/>
    <mergeCell ref="AT14:AU14"/>
    <mergeCell ref="AV14:AW14"/>
    <mergeCell ref="AY14:AZ14"/>
    <mergeCell ref="BA14:BB14"/>
    <mergeCell ref="BC14:BE14"/>
    <mergeCell ref="AY15:AZ15"/>
    <mergeCell ref="BA15:BB15"/>
    <mergeCell ref="Z15:AA15"/>
    <mergeCell ref="AB15:AC15"/>
    <mergeCell ref="AD15:AE15"/>
    <mergeCell ref="AF15:AG15"/>
    <mergeCell ref="AH15:AI15"/>
    <mergeCell ref="AJ15:AK15"/>
    <mergeCell ref="M15:N15"/>
    <mergeCell ref="O15:P15"/>
    <mergeCell ref="Q15:R15"/>
    <mergeCell ref="S15:U15"/>
    <mergeCell ref="V15:W15"/>
    <mergeCell ref="X15:Y15"/>
    <mergeCell ref="B16:C16"/>
    <mergeCell ref="D16:F16"/>
    <mergeCell ref="G16:H16"/>
    <mergeCell ref="I16:J16"/>
    <mergeCell ref="K16:L16"/>
    <mergeCell ref="M16:N16"/>
    <mergeCell ref="CG15:CI15"/>
    <mergeCell ref="CJ15:CL15"/>
    <mergeCell ref="BQ15:BR15"/>
    <mergeCell ref="BS15:BU15"/>
    <mergeCell ref="BV15:BW15"/>
    <mergeCell ref="BX15:BZ15"/>
    <mergeCell ref="CA15:CC15"/>
    <mergeCell ref="CD15:CF15"/>
    <mergeCell ref="BC15:BE15"/>
    <mergeCell ref="BF15:BG15"/>
    <mergeCell ref="BH15:BI15"/>
    <mergeCell ref="BJ15:BL15"/>
    <mergeCell ref="BM15:BN15"/>
    <mergeCell ref="BO15:BP15"/>
    <mergeCell ref="AL15:AO15"/>
    <mergeCell ref="AP15:AR15"/>
    <mergeCell ref="AT15:AU15"/>
    <mergeCell ref="AV15:AW15"/>
    <mergeCell ref="AB16:AC16"/>
    <mergeCell ref="AD16:AE16"/>
    <mergeCell ref="AF16:AG16"/>
    <mergeCell ref="AH16:AI16"/>
    <mergeCell ref="AJ16:AK16"/>
    <mergeCell ref="AL16:AO16"/>
    <mergeCell ref="O16:P16"/>
    <mergeCell ref="Q16:R16"/>
    <mergeCell ref="S16:U16"/>
    <mergeCell ref="V16:W16"/>
    <mergeCell ref="X16:Y16"/>
    <mergeCell ref="Z16:AA16"/>
    <mergeCell ref="CJ16:CL16"/>
    <mergeCell ref="B17:C17"/>
    <mergeCell ref="D17:F17"/>
    <mergeCell ref="G17:H17"/>
    <mergeCell ref="I17:J17"/>
    <mergeCell ref="K17:L17"/>
    <mergeCell ref="BS16:BU16"/>
    <mergeCell ref="BV16:BW16"/>
    <mergeCell ref="BX16:BZ16"/>
    <mergeCell ref="CA16:CC16"/>
    <mergeCell ref="CD16:CF16"/>
    <mergeCell ref="CG16:CI16"/>
    <mergeCell ref="BF16:BG16"/>
    <mergeCell ref="BH16:BI16"/>
    <mergeCell ref="BJ16:BL16"/>
    <mergeCell ref="BM16:BN16"/>
    <mergeCell ref="BO16:BP16"/>
    <mergeCell ref="BQ16:BR16"/>
    <mergeCell ref="AP16:AR16"/>
    <mergeCell ref="AT16:AU16"/>
    <mergeCell ref="AV16:AW16"/>
    <mergeCell ref="AY16:AZ16"/>
    <mergeCell ref="BA16:BB16"/>
    <mergeCell ref="BC16:BE16"/>
    <mergeCell ref="AY17:AZ17"/>
    <mergeCell ref="BA17:BB17"/>
    <mergeCell ref="Z17:AA17"/>
    <mergeCell ref="AB17:AC17"/>
    <mergeCell ref="AD17:AE17"/>
    <mergeCell ref="AF17:AG17"/>
    <mergeCell ref="AH17:AI17"/>
    <mergeCell ref="AJ17:AK17"/>
    <mergeCell ref="M17:N17"/>
    <mergeCell ref="O17:P17"/>
    <mergeCell ref="Q17:R17"/>
    <mergeCell ref="S17:U17"/>
    <mergeCell ref="V17:W17"/>
    <mergeCell ref="X17:Y17"/>
    <mergeCell ref="B18:C18"/>
    <mergeCell ref="D18:F18"/>
    <mergeCell ref="G18:H18"/>
    <mergeCell ref="I18:J18"/>
    <mergeCell ref="K18:L18"/>
    <mergeCell ref="M18:N18"/>
    <mergeCell ref="CG17:CI17"/>
    <mergeCell ref="CJ17:CL17"/>
    <mergeCell ref="BQ17:BR17"/>
    <mergeCell ref="BS17:BU17"/>
    <mergeCell ref="BV17:BW17"/>
    <mergeCell ref="BX17:BZ17"/>
    <mergeCell ref="CA17:CC17"/>
    <mergeCell ref="CD17:CF17"/>
    <mergeCell ref="BC17:BE17"/>
    <mergeCell ref="BF17:BG17"/>
    <mergeCell ref="BH17:BI17"/>
    <mergeCell ref="BJ17:BL17"/>
    <mergeCell ref="BM17:BN17"/>
    <mergeCell ref="BO17:BP17"/>
    <mergeCell ref="AL17:AO17"/>
    <mergeCell ref="AP17:AR17"/>
    <mergeCell ref="AT17:AU17"/>
    <mergeCell ref="AV17:AW17"/>
    <mergeCell ref="AB18:AC18"/>
    <mergeCell ref="AD18:AE18"/>
    <mergeCell ref="AF18:AG18"/>
    <mergeCell ref="AH18:AI18"/>
    <mergeCell ref="AJ18:AK18"/>
    <mergeCell ref="AL18:AO18"/>
    <mergeCell ref="O18:P18"/>
    <mergeCell ref="Q18:R18"/>
    <mergeCell ref="S18:U18"/>
    <mergeCell ref="V18:W18"/>
    <mergeCell ref="X18:Y18"/>
    <mergeCell ref="Z18:AA18"/>
    <mergeCell ref="CJ18:CL18"/>
    <mergeCell ref="B19:C19"/>
    <mergeCell ref="D19:F19"/>
    <mergeCell ref="G19:H19"/>
    <mergeCell ref="I19:J19"/>
    <mergeCell ref="K19:L19"/>
    <mergeCell ref="BS18:BU18"/>
    <mergeCell ref="BV18:BW18"/>
    <mergeCell ref="BX18:BZ18"/>
    <mergeCell ref="CA18:CC18"/>
    <mergeCell ref="CD18:CF18"/>
    <mergeCell ref="CG18:CI18"/>
    <mergeCell ref="BF18:BG18"/>
    <mergeCell ref="BH18:BI18"/>
    <mergeCell ref="BJ18:BL18"/>
    <mergeCell ref="BM18:BN18"/>
    <mergeCell ref="BO18:BP18"/>
    <mergeCell ref="BQ18:BR18"/>
    <mergeCell ref="AP18:AR18"/>
    <mergeCell ref="AT18:AU18"/>
    <mergeCell ref="AV18:AW18"/>
    <mergeCell ref="AY18:AZ18"/>
    <mergeCell ref="BA18:BB18"/>
    <mergeCell ref="BC18:BE18"/>
    <mergeCell ref="AY19:AZ19"/>
    <mergeCell ref="BA19:BB19"/>
    <mergeCell ref="Z19:AA19"/>
    <mergeCell ref="AB19:AC19"/>
    <mergeCell ref="AD19:AE19"/>
    <mergeCell ref="AF19:AG19"/>
    <mergeCell ref="AH19:AI19"/>
    <mergeCell ref="AJ19:AK19"/>
    <mergeCell ref="M19:N19"/>
    <mergeCell ref="O19:P19"/>
    <mergeCell ref="Q19:R19"/>
    <mergeCell ref="S19:U19"/>
    <mergeCell ref="V19:W19"/>
    <mergeCell ref="X19:Y19"/>
    <mergeCell ref="B20:C20"/>
    <mergeCell ref="D20:F20"/>
    <mergeCell ref="G20:H20"/>
    <mergeCell ref="I20:J20"/>
    <mergeCell ref="K20:L20"/>
    <mergeCell ref="M20:N20"/>
    <mergeCell ref="CG19:CI19"/>
    <mergeCell ref="CJ19:CL19"/>
    <mergeCell ref="BQ19:BR19"/>
    <mergeCell ref="BS19:BU19"/>
    <mergeCell ref="BV19:BW19"/>
    <mergeCell ref="BX19:BZ19"/>
    <mergeCell ref="CA19:CC19"/>
    <mergeCell ref="CD19:CF19"/>
    <mergeCell ref="BC19:BE19"/>
    <mergeCell ref="BF19:BG19"/>
    <mergeCell ref="BH19:BI19"/>
    <mergeCell ref="BJ19:BL19"/>
    <mergeCell ref="BM19:BN19"/>
    <mergeCell ref="BO19:BP19"/>
    <mergeCell ref="AL19:AO19"/>
    <mergeCell ref="AP19:AR19"/>
    <mergeCell ref="AT19:AU19"/>
    <mergeCell ref="AV19:AW19"/>
    <mergeCell ref="AB20:AC20"/>
    <mergeCell ref="AD20:AE20"/>
    <mergeCell ref="AF20:AG20"/>
    <mergeCell ref="AH20:AI20"/>
    <mergeCell ref="AJ20:AK20"/>
    <mergeCell ref="AL20:AO20"/>
    <mergeCell ref="O20:P20"/>
    <mergeCell ref="Q20:R20"/>
    <mergeCell ref="S20:U20"/>
    <mergeCell ref="V20:W20"/>
    <mergeCell ref="X20:Y20"/>
    <mergeCell ref="Z20:AA20"/>
    <mergeCell ref="CJ20:CL20"/>
    <mergeCell ref="B21:C21"/>
    <mergeCell ref="D21:F21"/>
    <mergeCell ref="G21:H21"/>
    <mergeCell ref="I21:J21"/>
    <mergeCell ref="K21:L21"/>
    <mergeCell ref="BS20:BU20"/>
    <mergeCell ref="BV20:BW20"/>
    <mergeCell ref="BX20:BZ20"/>
    <mergeCell ref="CA20:CC20"/>
    <mergeCell ref="CD20:CF20"/>
    <mergeCell ref="CG20:CI20"/>
    <mergeCell ref="BF20:BG20"/>
    <mergeCell ref="BH20:BI20"/>
    <mergeCell ref="BJ20:BL20"/>
    <mergeCell ref="BM20:BN20"/>
    <mergeCell ref="BO20:BP20"/>
    <mergeCell ref="BQ20:BR20"/>
    <mergeCell ref="AP20:AR20"/>
    <mergeCell ref="AT20:AU20"/>
    <mergeCell ref="AV20:AW20"/>
    <mergeCell ref="AY20:AZ20"/>
    <mergeCell ref="BA20:BB20"/>
    <mergeCell ref="BC20:BE20"/>
    <mergeCell ref="AY21:AZ21"/>
    <mergeCell ref="BA21:BB21"/>
    <mergeCell ref="Z21:AA21"/>
    <mergeCell ref="AB21:AC21"/>
    <mergeCell ref="AD21:AE21"/>
    <mergeCell ref="AF21:AG21"/>
    <mergeCell ref="AH21:AI21"/>
    <mergeCell ref="AJ21:AK21"/>
    <mergeCell ref="M21:N21"/>
    <mergeCell ref="O21:P21"/>
    <mergeCell ref="Q21:R21"/>
    <mergeCell ref="S21:U21"/>
    <mergeCell ref="V21:W21"/>
    <mergeCell ref="X21:Y21"/>
    <mergeCell ref="B22:C22"/>
    <mergeCell ref="D22:F22"/>
    <mergeCell ref="G22:H22"/>
    <mergeCell ref="I22:J22"/>
    <mergeCell ref="K22:L22"/>
    <mergeCell ref="M22:N22"/>
    <mergeCell ref="CG21:CI21"/>
    <mergeCell ref="CJ21:CL21"/>
    <mergeCell ref="BQ21:BR21"/>
    <mergeCell ref="BS21:BU21"/>
    <mergeCell ref="BV21:BW21"/>
    <mergeCell ref="BX21:BZ21"/>
    <mergeCell ref="CA21:CC21"/>
    <mergeCell ref="CD21:CF21"/>
    <mergeCell ref="BC21:BE21"/>
    <mergeCell ref="BF21:BG21"/>
    <mergeCell ref="BH21:BI21"/>
    <mergeCell ref="BJ21:BL21"/>
    <mergeCell ref="BM21:BN21"/>
    <mergeCell ref="BO21:BP21"/>
    <mergeCell ref="AL21:AO21"/>
    <mergeCell ref="AP21:AR21"/>
    <mergeCell ref="AT21:AU21"/>
    <mergeCell ref="AV21:AW21"/>
    <mergeCell ref="AB22:AC22"/>
    <mergeCell ref="AD22:AE22"/>
    <mergeCell ref="AF22:AG22"/>
    <mergeCell ref="AH22:AI22"/>
    <mergeCell ref="AJ22:AK22"/>
    <mergeCell ref="AL22:AO22"/>
    <mergeCell ref="O22:P22"/>
    <mergeCell ref="Q22:R22"/>
    <mergeCell ref="S22:U22"/>
    <mergeCell ref="V22:W22"/>
    <mergeCell ref="X22:Y22"/>
    <mergeCell ref="Z22:AA22"/>
    <mergeCell ref="CJ22:CL22"/>
    <mergeCell ref="B23:C23"/>
    <mergeCell ref="D23:F23"/>
    <mergeCell ref="G23:H23"/>
    <mergeCell ref="I23:J23"/>
    <mergeCell ref="K23:L23"/>
    <mergeCell ref="BS22:BU22"/>
    <mergeCell ref="BV22:BW22"/>
    <mergeCell ref="BX22:BZ22"/>
    <mergeCell ref="CA22:CC22"/>
    <mergeCell ref="CD22:CF22"/>
    <mergeCell ref="CG22:CI22"/>
    <mergeCell ref="BF22:BG22"/>
    <mergeCell ref="BH22:BI22"/>
    <mergeCell ref="BJ22:BL22"/>
    <mergeCell ref="BM22:BN22"/>
    <mergeCell ref="BO22:BP22"/>
    <mergeCell ref="BQ22:BR22"/>
    <mergeCell ref="AP22:AR22"/>
    <mergeCell ref="AT22:AU22"/>
    <mergeCell ref="AV22:AW22"/>
    <mergeCell ref="AY22:AZ22"/>
    <mergeCell ref="BA22:BB22"/>
    <mergeCell ref="BC22:BE22"/>
    <mergeCell ref="AY23:AZ23"/>
    <mergeCell ref="BA23:BB23"/>
    <mergeCell ref="Z23:AA23"/>
    <mergeCell ref="AB23:AC23"/>
    <mergeCell ref="AD23:AE23"/>
    <mergeCell ref="AF23:AG23"/>
    <mergeCell ref="AH23:AI23"/>
    <mergeCell ref="AJ23:AK23"/>
    <mergeCell ref="M23:N23"/>
    <mergeCell ref="O23:P23"/>
    <mergeCell ref="Q23:R23"/>
    <mergeCell ref="S23:U23"/>
    <mergeCell ref="V23:W23"/>
    <mergeCell ref="X23:Y23"/>
    <mergeCell ref="B25:C25"/>
    <mergeCell ref="D25:F25"/>
    <mergeCell ref="G25:H25"/>
    <mergeCell ref="I25:J25"/>
    <mergeCell ref="K25:L25"/>
    <mergeCell ref="M25:N25"/>
    <mergeCell ref="CG23:CI23"/>
    <mergeCell ref="CJ23:CL23"/>
    <mergeCell ref="BQ23:BR23"/>
    <mergeCell ref="BS23:BU23"/>
    <mergeCell ref="BV23:BW23"/>
    <mergeCell ref="BX23:BZ23"/>
    <mergeCell ref="CA23:CC23"/>
    <mergeCell ref="CD23:CF23"/>
    <mergeCell ref="BC23:BE23"/>
    <mergeCell ref="BF23:BG23"/>
    <mergeCell ref="BH23:BI23"/>
    <mergeCell ref="BJ23:BL23"/>
    <mergeCell ref="BM23:BN23"/>
    <mergeCell ref="BO23:BP23"/>
    <mergeCell ref="AL23:AO23"/>
    <mergeCell ref="AP23:AR23"/>
    <mergeCell ref="AT23:AU23"/>
    <mergeCell ref="AV23:AW23"/>
    <mergeCell ref="BA25:BB25"/>
    <mergeCell ref="BC25:BE25"/>
    <mergeCell ref="AB25:AC25"/>
    <mergeCell ref="AD25:AE25"/>
    <mergeCell ref="AF25:AG25"/>
    <mergeCell ref="AH25:AI25"/>
    <mergeCell ref="AJ25:AK25"/>
    <mergeCell ref="AL25:AO25"/>
    <mergeCell ref="O25:P25"/>
    <mergeCell ref="Q25:R25"/>
    <mergeCell ref="S25:U25"/>
    <mergeCell ref="V25:W25"/>
    <mergeCell ref="X25:Y25"/>
    <mergeCell ref="Z25:AA25"/>
    <mergeCell ref="B24:C24"/>
    <mergeCell ref="A1:CM1"/>
    <mergeCell ref="A2:CM2"/>
    <mergeCell ref="A3:CM3"/>
    <mergeCell ref="A4:CM4"/>
    <mergeCell ref="A26:CL26"/>
    <mergeCell ref="CM5:CM6"/>
    <mergeCell ref="CJ25:CL25"/>
    <mergeCell ref="BS25:BU25"/>
    <mergeCell ref="BV25:BW25"/>
    <mergeCell ref="BX25:BZ25"/>
    <mergeCell ref="CA25:CC25"/>
    <mergeCell ref="CD25:CF25"/>
    <mergeCell ref="CG25:CI25"/>
    <mergeCell ref="BF25:BG25"/>
    <mergeCell ref="BH25:BI25"/>
    <mergeCell ref="BJ25:BL25"/>
    <mergeCell ref="BM25:BN25"/>
    <mergeCell ref="BO25:BP25"/>
    <mergeCell ref="BQ25:BR25"/>
    <mergeCell ref="AP25:AR25"/>
    <mergeCell ref="AT25:AU25"/>
    <mergeCell ref="AV25:AW25"/>
    <mergeCell ref="AY25:AZ25"/>
  </mergeCells>
  <pageMargins left="0.7" right="0.7" top="0.75" bottom="0.75" header="0.3" footer="0.3"/>
  <pageSetup paperSize="9" scale="3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2"/>
  <sheetViews>
    <sheetView topLeftCell="A5" zoomScale="70" zoomScaleNormal="70" workbookViewId="0">
      <selection activeCell="B5" sqref="B5:B6"/>
    </sheetView>
  </sheetViews>
  <sheetFormatPr defaultRowHeight="15"/>
  <cols>
    <col min="1" max="1" width="10.1640625" style="481" customWidth="1"/>
    <col min="2" max="2" width="122.33203125" style="481" customWidth="1"/>
    <col min="3" max="3" width="26.33203125" style="481" hidden="1" customWidth="1"/>
    <col min="4" max="4" width="22.1640625" style="481" hidden="1" customWidth="1"/>
    <col min="5" max="5" width="20.33203125" style="481" hidden="1" customWidth="1"/>
    <col min="6" max="6" width="20" style="481" hidden="1" customWidth="1"/>
    <col min="7" max="7" width="19.6640625" style="481" hidden="1" customWidth="1"/>
    <col min="8" max="8" width="15" style="481" hidden="1" customWidth="1"/>
    <col min="9" max="9" width="77" style="481" hidden="1" customWidth="1"/>
    <col min="10" max="16384" width="9.33203125" style="481"/>
  </cols>
  <sheetData>
    <row r="1" spans="1:94" ht="34.5">
      <c r="A1" s="1458" t="s">
        <v>409</v>
      </c>
      <c r="B1" s="1459"/>
      <c r="C1" s="1459"/>
      <c r="D1" s="1459"/>
      <c r="E1" s="1459"/>
      <c r="F1" s="1459"/>
      <c r="G1" s="1459"/>
      <c r="H1" s="1460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8"/>
      <c r="AH1" s="448"/>
      <c r="AI1" s="448"/>
      <c r="AJ1" s="448"/>
      <c r="AK1" s="448"/>
      <c r="AL1" s="448"/>
      <c r="AM1" s="448"/>
      <c r="AN1" s="448"/>
      <c r="AO1" s="448"/>
      <c r="AP1" s="448"/>
      <c r="AQ1" s="448"/>
      <c r="AR1" s="448"/>
      <c r="AS1" s="448"/>
      <c r="AT1" s="448"/>
      <c r="AU1" s="448"/>
      <c r="AV1" s="448"/>
      <c r="AW1" s="448"/>
      <c r="AX1" s="448"/>
      <c r="AY1" s="448"/>
      <c r="AZ1" s="448"/>
      <c r="BA1" s="448"/>
      <c r="BB1" s="448"/>
      <c r="BC1" s="448"/>
      <c r="BD1" s="448"/>
      <c r="BE1" s="448"/>
      <c r="BF1" s="448"/>
      <c r="BG1" s="448"/>
      <c r="BH1" s="448"/>
      <c r="BI1" s="448"/>
      <c r="BJ1" s="448"/>
      <c r="BK1" s="448"/>
      <c r="BL1" s="448"/>
      <c r="BM1" s="448"/>
      <c r="BN1" s="448"/>
      <c r="BO1" s="448"/>
      <c r="BP1" s="448"/>
      <c r="BQ1" s="448"/>
      <c r="BR1" s="448"/>
      <c r="BS1" s="448"/>
      <c r="BT1" s="448"/>
      <c r="BU1" s="448"/>
      <c r="BV1" s="448"/>
      <c r="BW1" s="448"/>
      <c r="BX1" s="448"/>
      <c r="BY1" s="448"/>
      <c r="BZ1" s="448"/>
      <c r="CA1" s="448"/>
      <c r="CB1" s="448"/>
      <c r="CC1" s="448"/>
      <c r="CD1" s="448"/>
      <c r="CE1" s="448"/>
      <c r="CF1" s="448"/>
      <c r="CG1" s="448"/>
      <c r="CH1" s="448"/>
      <c r="CI1" s="448"/>
      <c r="CJ1" s="448"/>
      <c r="CK1" s="448"/>
      <c r="CL1" s="448"/>
      <c r="CM1" s="448"/>
      <c r="CN1" s="448"/>
      <c r="CO1" s="448"/>
      <c r="CP1" s="449"/>
    </row>
    <row r="2" spans="1:94" ht="34.5">
      <c r="A2" s="1461" t="s">
        <v>410</v>
      </c>
      <c r="B2" s="1462"/>
      <c r="C2" s="1462"/>
      <c r="D2" s="1462"/>
      <c r="E2" s="1462"/>
      <c r="F2" s="1462"/>
      <c r="G2" s="1462"/>
      <c r="H2" s="1463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L2" s="450"/>
      <c r="AM2" s="450"/>
      <c r="AN2" s="450"/>
      <c r="AO2" s="450"/>
      <c r="AP2" s="450"/>
      <c r="AQ2" s="450"/>
      <c r="AR2" s="450"/>
      <c r="AS2" s="450"/>
      <c r="AT2" s="450"/>
      <c r="AU2" s="450"/>
      <c r="AV2" s="450"/>
      <c r="AW2" s="450"/>
      <c r="AX2" s="450"/>
      <c r="AY2" s="450"/>
      <c r="AZ2" s="450"/>
      <c r="BA2" s="450"/>
      <c r="BB2" s="450"/>
      <c r="BC2" s="450"/>
      <c r="BD2" s="450"/>
      <c r="BE2" s="450"/>
      <c r="BF2" s="450"/>
      <c r="BG2" s="450"/>
      <c r="BH2" s="450"/>
      <c r="BI2" s="450"/>
      <c r="BJ2" s="450"/>
      <c r="BK2" s="450"/>
      <c r="BL2" s="450"/>
      <c r="BM2" s="450"/>
      <c r="BN2" s="450"/>
      <c r="BO2" s="450"/>
      <c r="BP2" s="450"/>
      <c r="BQ2" s="450"/>
      <c r="BR2" s="450"/>
      <c r="BS2" s="450"/>
      <c r="BT2" s="450"/>
      <c r="BU2" s="450"/>
      <c r="BV2" s="450"/>
      <c r="BW2" s="450"/>
      <c r="BX2" s="450"/>
      <c r="BY2" s="450"/>
      <c r="BZ2" s="450"/>
      <c r="CA2" s="450"/>
      <c r="CB2" s="450"/>
      <c r="CC2" s="450"/>
      <c r="CD2" s="450"/>
      <c r="CE2" s="450"/>
      <c r="CF2" s="450"/>
      <c r="CG2" s="450"/>
      <c r="CH2" s="450"/>
      <c r="CI2" s="450"/>
      <c r="CJ2" s="450"/>
      <c r="CK2" s="450"/>
      <c r="CL2" s="450"/>
      <c r="CM2" s="450"/>
      <c r="CN2" s="450"/>
      <c r="CO2" s="450"/>
      <c r="CP2" s="451"/>
    </row>
    <row r="3" spans="1:94" ht="34.5">
      <c r="A3" s="1461" t="s">
        <v>411</v>
      </c>
      <c r="B3" s="1462"/>
      <c r="C3" s="1462"/>
      <c r="D3" s="1462"/>
      <c r="E3" s="1462"/>
      <c r="F3" s="1462"/>
      <c r="G3" s="1462"/>
      <c r="H3" s="1463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  <c r="AK3" s="450"/>
      <c r="AL3" s="450"/>
      <c r="AM3" s="450"/>
      <c r="AN3" s="450"/>
      <c r="AO3" s="450"/>
      <c r="AP3" s="450"/>
      <c r="AQ3" s="450"/>
      <c r="AR3" s="450"/>
      <c r="AS3" s="450"/>
      <c r="AT3" s="450"/>
      <c r="AU3" s="450"/>
      <c r="AV3" s="450"/>
      <c r="AW3" s="450"/>
      <c r="AX3" s="450"/>
      <c r="AY3" s="450"/>
      <c r="AZ3" s="450"/>
      <c r="BA3" s="450"/>
      <c r="BB3" s="450"/>
      <c r="BC3" s="450"/>
      <c r="BD3" s="450"/>
      <c r="BE3" s="450"/>
      <c r="BF3" s="450"/>
      <c r="BG3" s="450"/>
      <c r="BH3" s="450"/>
      <c r="BI3" s="450"/>
      <c r="BJ3" s="450"/>
      <c r="BK3" s="450"/>
      <c r="BL3" s="450"/>
      <c r="BM3" s="450"/>
      <c r="BN3" s="450"/>
      <c r="BO3" s="450"/>
      <c r="BP3" s="450"/>
      <c r="BQ3" s="450"/>
      <c r="BR3" s="450"/>
      <c r="BS3" s="450"/>
      <c r="BT3" s="450"/>
      <c r="BU3" s="450"/>
      <c r="BV3" s="450"/>
      <c r="BW3" s="450"/>
      <c r="BX3" s="450"/>
      <c r="BY3" s="450"/>
      <c r="BZ3" s="450"/>
      <c r="CA3" s="450"/>
      <c r="CB3" s="450"/>
      <c r="CC3" s="450"/>
      <c r="CD3" s="450"/>
      <c r="CE3" s="450"/>
      <c r="CF3" s="450"/>
      <c r="CG3" s="450"/>
      <c r="CH3" s="450"/>
      <c r="CI3" s="450"/>
      <c r="CJ3" s="450"/>
      <c r="CK3" s="450"/>
      <c r="CL3" s="450"/>
      <c r="CM3" s="450"/>
      <c r="CN3" s="450"/>
      <c r="CO3" s="450"/>
      <c r="CP3" s="451"/>
    </row>
    <row r="4" spans="1:94" ht="34.5">
      <c r="A4" s="1461" t="s">
        <v>14</v>
      </c>
      <c r="B4" s="1462"/>
      <c r="C4" s="1462"/>
      <c r="D4" s="1462"/>
      <c r="E4" s="1462"/>
      <c r="F4" s="1462"/>
      <c r="G4" s="1462"/>
      <c r="H4" s="1463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0"/>
      <c r="AC4" s="450"/>
      <c r="AD4" s="450"/>
      <c r="AE4" s="450"/>
      <c r="AF4" s="450"/>
      <c r="AG4" s="450"/>
      <c r="AH4" s="450"/>
      <c r="AI4" s="450"/>
      <c r="AJ4" s="450"/>
      <c r="AK4" s="450"/>
      <c r="AL4" s="450"/>
      <c r="AM4" s="450"/>
      <c r="AN4" s="450"/>
      <c r="AO4" s="450"/>
      <c r="AP4" s="450"/>
      <c r="AQ4" s="450"/>
      <c r="AR4" s="450"/>
      <c r="AS4" s="450"/>
      <c r="AT4" s="450"/>
      <c r="AU4" s="450"/>
      <c r="AV4" s="450"/>
      <c r="AW4" s="450"/>
      <c r="AX4" s="450"/>
      <c r="AY4" s="450"/>
      <c r="AZ4" s="450"/>
      <c r="BA4" s="450"/>
      <c r="BB4" s="450"/>
      <c r="BC4" s="450"/>
      <c r="BD4" s="450"/>
      <c r="BE4" s="450"/>
      <c r="BF4" s="450"/>
      <c r="BG4" s="450"/>
      <c r="BH4" s="450"/>
      <c r="BI4" s="450"/>
      <c r="BJ4" s="450"/>
      <c r="BK4" s="450"/>
      <c r="BL4" s="450"/>
      <c r="BM4" s="450"/>
      <c r="BN4" s="450"/>
      <c r="BO4" s="450"/>
      <c r="BP4" s="450"/>
      <c r="BQ4" s="450"/>
      <c r="BR4" s="450"/>
      <c r="BS4" s="450"/>
      <c r="BT4" s="450"/>
      <c r="BU4" s="450"/>
      <c r="BV4" s="450"/>
      <c r="BW4" s="450"/>
      <c r="BX4" s="450"/>
      <c r="BY4" s="450"/>
      <c r="BZ4" s="450"/>
      <c r="CA4" s="450"/>
      <c r="CB4" s="450"/>
      <c r="CC4" s="450"/>
      <c r="CD4" s="450"/>
      <c r="CE4" s="450"/>
      <c r="CF4" s="450"/>
      <c r="CG4" s="450"/>
      <c r="CH4" s="450"/>
      <c r="CI4" s="450"/>
      <c r="CJ4" s="450"/>
      <c r="CK4" s="450"/>
      <c r="CL4" s="450"/>
      <c r="CM4" s="450"/>
      <c r="CN4" s="450"/>
      <c r="CO4" s="450"/>
      <c r="CP4" s="451"/>
    </row>
    <row r="5" spans="1:94" s="483" customFormat="1" ht="23.25" customHeight="1">
      <c r="A5" s="1464" t="s">
        <v>0</v>
      </c>
      <c r="B5" s="1464" t="s">
        <v>551</v>
      </c>
      <c r="C5" s="1465" t="s">
        <v>552</v>
      </c>
      <c r="D5" s="1465" t="s">
        <v>602</v>
      </c>
      <c r="E5" s="1465" t="s">
        <v>7</v>
      </c>
      <c r="F5" s="1466" t="s">
        <v>553</v>
      </c>
      <c r="G5" s="1466"/>
      <c r="H5" s="1466"/>
      <c r="I5" s="1456" t="s">
        <v>537</v>
      </c>
    </row>
    <row r="6" spans="1:94" s="483" customFormat="1" ht="69" customHeight="1">
      <c r="A6" s="1464"/>
      <c r="B6" s="1464"/>
      <c r="C6" s="1465"/>
      <c r="D6" s="1465"/>
      <c r="E6" s="1465"/>
      <c r="F6" s="484" t="s">
        <v>554</v>
      </c>
      <c r="G6" s="484" t="s">
        <v>555</v>
      </c>
      <c r="H6" s="484" t="s">
        <v>421</v>
      </c>
      <c r="I6" s="1457"/>
    </row>
    <row r="7" spans="1:94" s="483" customFormat="1" ht="25.5">
      <c r="A7" s="485">
        <v>1</v>
      </c>
      <c r="B7" s="485" t="s">
        <v>829</v>
      </c>
      <c r="C7" s="485">
        <v>1</v>
      </c>
      <c r="D7" s="485">
        <v>2</v>
      </c>
      <c r="E7" s="485">
        <v>31</v>
      </c>
      <c r="F7" s="485">
        <v>1205</v>
      </c>
      <c r="G7" s="485">
        <v>1257</v>
      </c>
      <c r="H7" s="485">
        <f t="shared" ref="H7:H21" si="0">SUM(F7:G7)</f>
        <v>2462</v>
      </c>
      <c r="I7" s="246">
        <f>IF(H7=0,0,IF(H7&lt;1001,30000 * 3,IF(H7="","",50000*3)))</f>
        <v>150000</v>
      </c>
      <c r="J7" s="486"/>
    </row>
    <row r="8" spans="1:94" s="483" customFormat="1" ht="25.5">
      <c r="A8" s="485">
        <v>2</v>
      </c>
      <c r="B8" s="485" t="s">
        <v>830</v>
      </c>
      <c r="C8" s="485">
        <v>1</v>
      </c>
      <c r="D8" s="485">
        <v>2</v>
      </c>
      <c r="E8" s="485">
        <v>23</v>
      </c>
      <c r="F8" s="485">
        <v>364</v>
      </c>
      <c r="G8" s="485">
        <v>386</v>
      </c>
      <c r="H8" s="485">
        <f t="shared" si="0"/>
        <v>750</v>
      </c>
      <c r="I8" s="246">
        <f t="shared" ref="I8:I20" si="1">IF(H8=0,0,IF(H8&lt;1001,30000 * 3,IF(H8="","",50000*3)))</f>
        <v>90000</v>
      </c>
    </row>
    <row r="9" spans="1:94" s="483" customFormat="1" ht="25.5">
      <c r="A9" s="485">
        <v>3</v>
      </c>
      <c r="B9" s="485" t="s">
        <v>831</v>
      </c>
      <c r="C9" s="485">
        <v>1</v>
      </c>
      <c r="D9" s="485">
        <v>2</v>
      </c>
      <c r="E9" s="485">
        <v>23</v>
      </c>
      <c r="F9" s="485">
        <v>385</v>
      </c>
      <c r="G9" s="485">
        <v>482</v>
      </c>
      <c r="H9" s="485">
        <f t="shared" si="0"/>
        <v>867</v>
      </c>
      <c r="I9" s="246">
        <f t="shared" si="1"/>
        <v>90000</v>
      </c>
    </row>
    <row r="10" spans="1:94" s="483" customFormat="1" ht="25.5">
      <c r="A10" s="485">
        <v>4</v>
      </c>
      <c r="B10" s="485" t="s">
        <v>832</v>
      </c>
      <c r="C10" s="485">
        <v>1</v>
      </c>
      <c r="D10" s="485">
        <v>2</v>
      </c>
      <c r="E10" s="485">
        <v>35</v>
      </c>
      <c r="F10" s="485">
        <v>1207</v>
      </c>
      <c r="G10" s="485">
        <v>1343</v>
      </c>
      <c r="H10" s="485">
        <f t="shared" si="0"/>
        <v>2550</v>
      </c>
      <c r="I10" s="246">
        <f t="shared" si="1"/>
        <v>150000</v>
      </c>
    </row>
    <row r="11" spans="1:94" s="483" customFormat="1" ht="25.5">
      <c r="A11" s="485">
        <v>5</v>
      </c>
      <c r="B11" s="485" t="s">
        <v>833</v>
      </c>
      <c r="C11" s="485">
        <v>1</v>
      </c>
      <c r="D11" s="485">
        <v>2</v>
      </c>
      <c r="E11" s="485">
        <v>16</v>
      </c>
      <c r="F11" s="485">
        <v>715</v>
      </c>
      <c r="G11" s="485">
        <v>663</v>
      </c>
      <c r="H11" s="485">
        <f t="shared" si="0"/>
        <v>1378</v>
      </c>
      <c r="I11" s="246">
        <f t="shared" si="1"/>
        <v>150000</v>
      </c>
    </row>
    <row r="12" spans="1:94" s="483" customFormat="1" ht="25.5">
      <c r="A12" s="485">
        <v>6</v>
      </c>
      <c r="B12" s="485" t="s">
        <v>834</v>
      </c>
      <c r="C12" s="485">
        <v>1</v>
      </c>
      <c r="D12" s="485">
        <v>2</v>
      </c>
      <c r="E12" s="485">
        <v>19</v>
      </c>
      <c r="F12" s="485">
        <v>603</v>
      </c>
      <c r="G12" s="485">
        <v>582</v>
      </c>
      <c r="H12" s="485">
        <f t="shared" si="0"/>
        <v>1185</v>
      </c>
      <c r="I12" s="246">
        <f t="shared" si="1"/>
        <v>150000</v>
      </c>
    </row>
    <row r="13" spans="1:94" s="483" customFormat="1" ht="25.5">
      <c r="A13" s="485">
        <v>7</v>
      </c>
      <c r="B13" s="485" t="s">
        <v>835</v>
      </c>
      <c r="C13" s="485">
        <v>1</v>
      </c>
      <c r="D13" s="485">
        <v>2</v>
      </c>
      <c r="E13" s="485">
        <v>24</v>
      </c>
      <c r="F13" s="485">
        <v>449</v>
      </c>
      <c r="G13" s="485">
        <v>470</v>
      </c>
      <c r="H13" s="485">
        <f t="shared" si="0"/>
        <v>919</v>
      </c>
      <c r="I13" s="246">
        <f t="shared" si="1"/>
        <v>90000</v>
      </c>
    </row>
    <row r="14" spans="1:94" s="483" customFormat="1" ht="25.5">
      <c r="A14" s="485">
        <v>8</v>
      </c>
      <c r="B14" s="485" t="s">
        <v>836</v>
      </c>
      <c r="C14" s="485">
        <v>1</v>
      </c>
      <c r="D14" s="485">
        <v>1</v>
      </c>
      <c r="E14" s="485">
        <v>33</v>
      </c>
      <c r="F14" s="485">
        <v>445</v>
      </c>
      <c r="G14" s="485">
        <v>412</v>
      </c>
      <c r="H14" s="485">
        <f t="shared" si="0"/>
        <v>857</v>
      </c>
      <c r="I14" s="246">
        <f t="shared" si="1"/>
        <v>90000</v>
      </c>
    </row>
    <row r="15" spans="1:94" s="483" customFormat="1" ht="25.5">
      <c r="A15" s="485">
        <v>9</v>
      </c>
      <c r="B15" s="485" t="s">
        <v>837</v>
      </c>
      <c r="C15" s="485">
        <v>1</v>
      </c>
      <c r="D15" s="485">
        <v>2</v>
      </c>
      <c r="E15" s="485">
        <v>27</v>
      </c>
      <c r="F15" s="485">
        <v>496</v>
      </c>
      <c r="G15" s="485">
        <v>477</v>
      </c>
      <c r="H15" s="485">
        <f t="shared" si="0"/>
        <v>973</v>
      </c>
      <c r="I15" s="246">
        <f t="shared" si="1"/>
        <v>90000</v>
      </c>
    </row>
    <row r="16" spans="1:94" s="483" customFormat="1" ht="25.5">
      <c r="A16" s="485">
        <v>10</v>
      </c>
      <c r="B16" s="485" t="s">
        <v>838</v>
      </c>
      <c r="C16" s="485">
        <v>1</v>
      </c>
      <c r="D16" s="485">
        <v>1</v>
      </c>
      <c r="E16" s="485">
        <v>40</v>
      </c>
      <c r="F16" s="485">
        <v>40</v>
      </c>
      <c r="G16" s="485">
        <v>25</v>
      </c>
      <c r="H16" s="485">
        <f t="shared" si="0"/>
        <v>65</v>
      </c>
      <c r="I16" s="246">
        <f t="shared" si="1"/>
        <v>90000</v>
      </c>
    </row>
    <row r="17" spans="1:9" s="483" customFormat="1" ht="25.5">
      <c r="A17" s="485">
        <v>11</v>
      </c>
      <c r="B17" s="485" t="s">
        <v>839</v>
      </c>
      <c r="C17" s="485">
        <v>1</v>
      </c>
      <c r="D17" s="485">
        <v>1</v>
      </c>
      <c r="E17" s="485">
        <v>14</v>
      </c>
      <c r="F17" s="485">
        <v>131</v>
      </c>
      <c r="G17" s="485">
        <v>138</v>
      </c>
      <c r="H17" s="485">
        <f t="shared" si="0"/>
        <v>269</v>
      </c>
      <c r="I17" s="246">
        <f t="shared" si="1"/>
        <v>90000</v>
      </c>
    </row>
    <row r="18" spans="1:9" s="483" customFormat="1" ht="25.5">
      <c r="A18" s="485">
        <v>12</v>
      </c>
      <c r="B18" s="485" t="s">
        <v>840</v>
      </c>
      <c r="C18" s="485">
        <v>1</v>
      </c>
      <c r="D18" s="485">
        <v>2</v>
      </c>
      <c r="E18" s="485">
        <v>46</v>
      </c>
      <c r="F18" s="485">
        <v>810</v>
      </c>
      <c r="G18" s="485">
        <v>743</v>
      </c>
      <c r="H18" s="485">
        <f t="shared" si="0"/>
        <v>1553</v>
      </c>
      <c r="I18" s="246">
        <f t="shared" si="1"/>
        <v>150000</v>
      </c>
    </row>
    <row r="19" spans="1:9" s="483" customFormat="1" ht="25.5">
      <c r="A19" s="487">
        <v>13</v>
      </c>
      <c r="B19" s="487" t="s">
        <v>841</v>
      </c>
      <c r="C19" s="487">
        <v>1</v>
      </c>
      <c r="D19" s="485">
        <v>2</v>
      </c>
      <c r="E19" s="485">
        <v>32</v>
      </c>
      <c r="F19" s="485">
        <v>535</v>
      </c>
      <c r="G19" s="485">
        <v>428</v>
      </c>
      <c r="H19" s="485">
        <f t="shared" si="0"/>
        <v>963</v>
      </c>
      <c r="I19" s="246">
        <f t="shared" si="1"/>
        <v>90000</v>
      </c>
    </row>
    <row r="20" spans="1:9" s="483" customFormat="1" ht="25.5">
      <c r="A20" s="487">
        <v>14</v>
      </c>
      <c r="B20" s="487" t="s">
        <v>842</v>
      </c>
      <c r="C20" s="487">
        <v>1</v>
      </c>
      <c r="D20" s="487">
        <v>1</v>
      </c>
      <c r="E20" s="487">
        <v>17</v>
      </c>
      <c r="F20" s="487">
        <v>139</v>
      </c>
      <c r="G20" s="487">
        <v>97</v>
      </c>
      <c r="H20" s="487">
        <f t="shared" si="0"/>
        <v>236</v>
      </c>
      <c r="I20" s="246">
        <f t="shared" si="1"/>
        <v>90000</v>
      </c>
    </row>
    <row r="21" spans="1:9" s="483" customFormat="1" ht="36">
      <c r="A21" s="485"/>
      <c r="B21" s="488" t="s">
        <v>421</v>
      </c>
      <c r="C21" s="489">
        <f>SUM(C7:C20)</f>
        <v>14</v>
      </c>
      <c r="D21" s="489">
        <f>SUM(D7:D20)</f>
        <v>24</v>
      </c>
      <c r="E21" s="489">
        <f>SUM(E7:E20)</f>
        <v>380</v>
      </c>
      <c r="F21" s="489">
        <f>SUM(F7:F20)</f>
        <v>7524</v>
      </c>
      <c r="G21" s="489">
        <f>SUM(G7:G20)</f>
        <v>7503</v>
      </c>
      <c r="H21" s="488">
        <f t="shared" si="0"/>
        <v>15027</v>
      </c>
      <c r="I21" s="490">
        <f>SUM(I7:I20)</f>
        <v>1560000</v>
      </c>
    </row>
    <row r="22" spans="1:9" ht="40.5" customHeight="1">
      <c r="B22" s="482">
        <f>COUNTA(A7:A20)</f>
        <v>14</v>
      </c>
      <c r="C22" s="557">
        <f>COUNTIF(H7:H20, "&lt;1001")</f>
        <v>9</v>
      </c>
      <c r="D22" s="557">
        <f>COUNTIF(H7:H20, "&gt;1001")</f>
        <v>5</v>
      </c>
    </row>
  </sheetData>
  <mergeCells count="11">
    <mergeCell ref="I5:I6"/>
    <mergeCell ref="A1:H1"/>
    <mergeCell ref="A2:H2"/>
    <mergeCell ref="A3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3"/>
  <sheetViews>
    <sheetView view="pageBreakPreview" zoomScale="60" workbookViewId="0">
      <selection activeCell="CP7" sqref="CP7"/>
    </sheetView>
  </sheetViews>
  <sheetFormatPr defaultRowHeight="12.75"/>
  <cols>
    <col min="6" max="6" width="154.5" customWidth="1"/>
    <col min="7" max="84" width="0" hidden="1" customWidth="1"/>
    <col min="86" max="86" width="9.1640625" customWidth="1"/>
    <col min="87" max="87" width="2.5" hidden="1" customWidth="1"/>
    <col min="89" max="89" width="9.83203125" customWidth="1"/>
    <col min="90" max="90" width="9.33203125" hidden="1" customWidth="1"/>
    <col min="94" max="94" width="77" customWidth="1"/>
    <col min="95" max="95" width="12.5" hidden="1" customWidth="1"/>
    <col min="99" max="99" width="19.33203125" customWidth="1"/>
  </cols>
  <sheetData>
    <row r="1" spans="1:99" ht="34.5">
      <c r="A1" s="1467" t="s">
        <v>409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  <c r="M1" s="1468"/>
      <c r="N1" s="1468"/>
      <c r="O1" s="1468"/>
      <c r="P1" s="1468"/>
      <c r="Q1" s="1468"/>
      <c r="R1" s="1468"/>
      <c r="S1" s="1468"/>
      <c r="T1" s="1468"/>
      <c r="U1" s="1468"/>
      <c r="V1" s="1468"/>
      <c r="W1" s="1468"/>
      <c r="X1" s="1468"/>
      <c r="Y1" s="1468"/>
      <c r="Z1" s="1468"/>
      <c r="AA1" s="1468"/>
      <c r="AB1" s="1468"/>
      <c r="AC1" s="1468"/>
      <c r="AD1" s="1468"/>
      <c r="AE1" s="1468"/>
      <c r="AF1" s="1468"/>
      <c r="AG1" s="1468"/>
      <c r="AH1" s="1468"/>
      <c r="AI1" s="1468"/>
      <c r="AJ1" s="1468"/>
      <c r="AK1" s="1468"/>
      <c r="AL1" s="1468"/>
      <c r="AM1" s="1468"/>
      <c r="AN1" s="1468"/>
      <c r="AO1" s="1468"/>
      <c r="AP1" s="1468"/>
      <c r="AQ1" s="1468"/>
      <c r="AR1" s="1468"/>
      <c r="AS1" s="1468"/>
      <c r="AT1" s="1468"/>
      <c r="AU1" s="1468"/>
      <c r="AV1" s="1468"/>
      <c r="AW1" s="1468"/>
      <c r="AX1" s="1468"/>
      <c r="AY1" s="1468"/>
      <c r="AZ1" s="1468"/>
      <c r="BA1" s="1468"/>
      <c r="BB1" s="1468"/>
      <c r="BC1" s="1468"/>
      <c r="BD1" s="1468"/>
      <c r="BE1" s="1468"/>
      <c r="BF1" s="1468"/>
      <c r="BG1" s="1468"/>
      <c r="BH1" s="1468"/>
      <c r="BI1" s="1468"/>
      <c r="BJ1" s="1468"/>
      <c r="BK1" s="1468"/>
      <c r="BL1" s="1468"/>
      <c r="BM1" s="1468"/>
      <c r="BN1" s="1468"/>
      <c r="BO1" s="1468"/>
      <c r="BP1" s="1468"/>
      <c r="BQ1" s="1468"/>
      <c r="BR1" s="1468"/>
      <c r="BS1" s="1468"/>
      <c r="BT1" s="1468"/>
      <c r="BU1" s="1468"/>
      <c r="BV1" s="1468"/>
      <c r="BW1" s="1468"/>
      <c r="BX1" s="1468"/>
      <c r="BY1" s="1468"/>
      <c r="BZ1" s="1468"/>
      <c r="CA1" s="1468"/>
      <c r="CB1" s="1468"/>
      <c r="CC1" s="1468"/>
      <c r="CD1" s="1468"/>
      <c r="CE1" s="1468"/>
      <c r="CF1" s="1468"/>
      <c r="CG1" s="1468"/>
      <c r="CH1" s="1468"/>
      <c r="CI1" s="1468"/>
      <c r="CJ1" s="1468"/>
      <c r="CK1" s="1468"/>
      <c r="CL1" s="1468"/>
      <c r="CM1" s="1468"/>
      <c r="CN1" s="1468"/>
      <c r="CO1" s="1468"/>
      <c r="CP1" s="1469"/>
      <c r="CQ1" s="12"/>
      <c r="CR1" s="4"/>
      <c r="CS1" s="4"/>
      <c r="CT1" s="4"/>
      <c r="CU1" s="4"/>
    </row>
    <row r="2" spans="1:99" ht="34.5">
      <c r="A2" s="1470" t="s">
        <v>410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  <c r="P2" s="1471"/>
      <c r="Q2" s="1471"/>
      <c r="R2" s="1471"/>
      <c r="S2" s="1471"/>
      <c r="T2" s="1471"/>
      <c r="U2" s="1471"/>
      <c r="V2" s="1471"/>
      <c r="W2" s="1471"/>
      <c r="X2" s="1471"/>
      <c r="Y2" s="1471"/>
      <c r="Z2" s="1471"/>
      <c r="AA2" s="1471"/>
      <c r="AB2" s="1471"/>
      <c r="AC2" s="1471"/>
      <c r="AD2" s="1471"/>
      <c r="AE2" s="1471"/>
      <c r="AF2" s="1471"/>
      <c r="AG2" s="1471"/>
      <c r="AH2" s="1471"/>
      <c r="AI2" s="1471"/>
      <c r="AJ2" s="1471"/>
      <c r="AK2" s="1471"/>
      <c r="AL2" s="1471"/>
      <c r="AM2" s="1471"/>
      <c r="AN2" s="1471"/>
      <c r="AO2" s="1471"/>
      <c r="AP2" s="1471"/>
      <c r="AQ2" s="1471"/>
      <c r="AR2" s="1471"/>
      <c r="AS2" s="1471"/>
      <c r="AT2" s="1471"/>
      <c r="AU2" s="1471"/>
      <c r="AV2" s="1471"/>
      <c r="AW2" s="1471"/>
      <c r="AX2" s="1471"/>
      <c r="AY2" s="1471"/>
      <c r="AZ2" s="1471"/>
      <c r="BA2" s="1471"/>
      <c r="BB2" s="1471"/>
      <c r="BC2" s="1471"/>
      <c r="BD2" s="1471"/>
      <c r="BE2" s="1471"/>
      <c r="BF2" s="1471"/>
      <c r="BG2" s="1471"/>
      <c r="BH2" s="1471"/>
      <c r="BI2" s="1471"/>
      <c r="BJ2" s="1471"/>
      <c r="BK2" s="1471"/>
      <c r="BL2" s="1471"/>
      <c r="BM2" s="1471"/>
      <c r="BN2" s="1471"/>
      <c r="BO2" s="1471"/>
      <c r="BP2" s="1471"/>
      <c r="BQ2" s="1471"/>
      <c r="BR2" s="1471"/>
      <c r="BS2" s="1471"/>
      <c r="BT2" s="1471"/>
      <c r="BU2" s="1471"/>
      <c r="BV2" s="1471"/>
      <c r="BW2" s="1471"/>
      <c r="BX2" s="1471"/>
      <c r="BY2" s="1471"/>
      <c r="BZ2" s="1471"/>
      <c r="CA2" s="1471"/>
      <c r="CB2" s="1471"/>
      <c r="CC2" s="1471"/>
      <c r="CD2" s="1471"/>
      <c r="CE2" s="1471"/>
      <c r="CF2" s="1471"/>
      <c r="CG2" s="1471"/>
      <c r="CH2" s="1471"/>
      <c r="CI2" s="1471"/>
      <c r="CJ2" s="1471"/>
      <c r="CK2" s="1471"/>
      <c r="CL2" s="1471"/>
      <c r="CM2" s="1471"/>
      <c r="CN2" s="1471"/>
      <c r="CO2" s="1471"/>
      <c r="CP2" s="1472"/>
      <c r="CQ2" s="12"/>
      <c r="CR2" s="4"/>
      <c r="CS2" s="4"/>
      <c r="CT2" s="4"/>
      <c r="CU2" s="4"/>
    </row>
    <row r="3" spans="1:99" ht="34.5">
      <c r="A3" s="1470" t="s">
        <v>411</v>
      </c>
      <c r="B3" s="1471"/>
      <c r="C3" s="1471"/>
      <c r="D3" s="1471"/>
      <c r="E3" s="1471"/>
      <c r="F3" s="1471"/>
      <c r="G3" s="1471"/>
      <c r="H3" s="1471"/>
      <c r="I3" s="1471"/>
      <c r="J3" s="1471"/>
      <c r="K3" s="1471"/>
      <c r="L3" s="1471"/>
      <c r="M3" s="1471"/>
      <c r="N3" s="1471"/>
      <c r="O3" s="1471"/>
      <c r="P3" s="1471"/>
      <c r="Q3" s="1471"/>
      <c r="R3" s="1471"/>
      <c r="S3" s="1471"/>
      <c r="T3" s="1471"/>
      <c r="U3" s="1471"/>
      <c r="V3" s="1471"/>
      <c r="W3" s="1471"/>
      <c r="X3" s="1471"/>
      <c r="Y3" s="1471"/>
      <c r="Z3" s="1471"/>
      <c r="AA3" s="1471"/>
      <c r="AB3" s="1471"/>
      <c r="AC3" s="1471"/>
      <c r="AD3" s="1471"/>
      <c r="AE3" s="1471"/>
      <c r="AF3" s="1471"/>
      <c r="AG3" s="1471"/>
      <c r="AH3" s="1471"/>
      <c r="AI3" s="1471"/>
      <c r="AJ3" s="1471"/>
      <c r="AK3" s="1471"/>
      <c r="AL3" s="1471"/>
      <c r="AM3" s="1471"/>
      <c r="AN3" s="1471"/>
      <c r="AO3" s="1471"/>
      <c r="AP3" s="1471"/>
      <c r="AQ3" s="1471"/>
      <c r="AR3" s="1471"/>
      <c r="AS3" s="1471"/>
      <c r="AT3" s="1471"/>
      <c r="AU3" s="1471"/>
      <c r="AV3" s="1471"/>
      <c r="AW3" s="1471"/>
      <c r="AX3" s="1471"/>
      <c r="AY3" s="1471"/>
      <c r="AZ3" s="1471"/>
      <c r="BA3" s="1471"/>
      <c r="BB3" s="1471"/>
      <c r="BC3" s="1471"/>
      <c r="BD3" s="1471"/>
      <c r="BE3" s="1471"/>
      <c r="BF3" s="1471"/>
      <c r="BG3" s="1471"/>
      <c r="BH3" s="1471"/>
      <c r="BI3" s="1471"/>
      <c r="BJ3" s="1471"/>
      <c r="BK3" s="1471"/>
      <c r="BL3" s="1471"/>
      <c r="BM3" s="1471"/>
      <c r="BN3" s="1471"/>
      <c r="BO3" s="1471"/>
      <c r="BP3" s="1471"/>
      <c r="BQ3" s="1471"/>
      <c r="BR3" s="1471"/>
      <c r="BS3" s="1471"/>
      <c r="BT3" s="1471"/>
      <c r="BU3" s="1471"/>
      <c r="BV3" s="1471"/>
      <c r="BW3" s="1471"/>
      <c r="BX3" s="1471"/>
      <c r="BY3" s="1471"/>
      <c r="BZ3" s="1471"/>
      <c r="CA3" s="1471"/>
      <c r="CB3" s="1471"/>
      <c r="CC3" s="1471"/>
      <c r="CD3" s="1471"/>
      <c r="CE3" s="1471"/>
      <c r="CF3" s="1471"/>
      <c r="CG3" s="1471"/>
      <c r="CH3" s="1471"/>
      <c r="CI3" s="1471"/>
      <c r="CJ3" s="1471"/>
      <c r="CK3" s="1471"/>
      <c r="CL3" s="1471"/>
      <c r="CM3" s="1471"/>
      <c r="CN3" s="1471"/>
      <c r="CO3" s="1471"/>
      <c r="CP3" s="1472"/>
      <c r="CQ3" s="12"/>
      <c r="CR3" s="4"/>
      <c r="CS3" s="4"/>
      <c r="CT3" s="4"/>
      <c r="CU3" s="4"/>
    </row>
    <row r="4" spans="1:99" ht="34.5">
      <c r="A4" s="1470" t="s">
        <v>14</v>
      </c>
      <c r="B4" s="1471"/>
      <c r="C4" s="1471"/>
      <c r="D4" s="1471"/>
      <c r="E4" s="1471"/>
      <c r="F4" s="1471"/>
      <c r="G4" s="1471"/>
      <c r="H4" s="1471"/>
      <c r="I4" s="1471"/>
      <c r="J4" s="1471"/>
      <c r="K4" s="1471"/>
      <c r="L4" s="1471"/>
      <c r="M4" s="1471"/>
      <c r="N4" s="1471"/>
      <c r="O4" s="1471"/>
      <c r="P4" s="1471"/>
      <c r="Q4" s="1471"/>
      <c r="R4" s="1471"/>
      <c r="S4" s="1471"/>
      <c r="T4" s="1471"/>
      <c r="U4" s="1471"/>
      <c r="V4" s="1471"/>
      <c r="W4" s="1471"/>
      <c r="X4" s="1471"/>
      <c r="Y4" s="1471"/>
      <c r="Z4" s="1471"/>
      <c r="AA4" s="1471"/>
      <c r="AB4" s="1471"/>
      <c r="AC4" s="1471"/>
      <c r="AD4" s="1471"/>
      <c r="AE4" s="1471"/>
      <c r="AF4" s="1471"/>
      <c r="AG4" s="1471"/>
      <c r="AH4" s="1471"/>
      <c r="AI4" s="1471"/>
      <c r="AJ4" s="1471"/>
      <c r="AK4" s="1471"/>
      <c r="AL4" s="1471"/>
      <c r="AM4" s="1471"/>
      <c r="AN4" s="1471"/>
      <c r="AO4" s="1471"/>
      <c r="AP4" s="1471"/>
      <c r="AQ4" s="1471"/>
      <c r="AR4" s="1471"/>
      <c r="AS4" s="1471"/>
      <c r="AT4" s="1471"/>
      <c r="AU4" s="1471"/>
      <c r="AV4" s="1471"/>
      <c r="AW4" s="1471"/>
      <c r="AX4" s="1471"/>
      <c r="AY4" s="1471"/>
      <c r="AZ4" s="1471"/>
      <c r="BA4" s="1471"/>
      <c r="BB4" s="1471"/>
      <c r="BC4" s="1471"/>
      <c r="BD4" s="1471"/>
      <c r="BE4" s="1471"/>
      <c r="BF4" s="1471"/>
      <c r="BG4" s="1471"/>
      <c r="BH4" s="1471"/>
      <c r="BI4" s="1471"/>
      <c r="BJ4" s="1471"/>
      <c r="BK4" s="1471"/>
      <c r="BL4" s="1471"/>
      <c r="BM4" s="1471"/>
      <c r="BN4" s="1471"/>
      <c r="BO4" s="1471"/>
      <c r="BP4" s="1471"/>
      <c r="BQ4" s="1471"/>
      <c r="BR4" s="1471"/>
      <c r="BS4" s="1471"/>
      <c r="BT4" s="1471"/>
      <c r="BU4" s="1471"/>
      <c r="BV4" s="1471"/>
      <c r="BW4" s="1471"/>
      <c r="BX4" s="1471"/>
      <c r="BY4" s="1471"/>
      <c r="BZ4" s="1471"/>
      <c r="CA4" s="1471"/>
      <c r="CB4" s="1471"/>
      <c r="CC4" s="1471"/>
      <c r="CD4" s="1471"/>
      <c r="CE4" s="1471"/>
      <c r="CF4" s="1471"/>
      <c r="CG4" s="1471"/>
      <c r="CH4" s="1471"/>
      <c r="CI4" s="1471"/>
      <c r="CJ4" s="1471"/>
      <c r="CK4" s="1471"/>
      <c r="CL4" s="1471"/>
      <c r="CM4" s="1471"/>
      <c r="CN4" s="1471"/>
      <c r="CO4" s="1471"/>
      <c r="CP4" s="1472"/>
      <c r="CQ4" s="12"/>
      <c r="CR4" s="4"/>
      <c r="CS4" s="4"/>
      <c r="CT4" s="4"/>
      <c r="CU4" s="4"/>
    </row>
    <row r="5" spans="1:99" ht="90.75" customHeight="1">
      <c r="A5" s="1477" t="s">
        <v>0</v>
      </c>
      <c r="B5" s="1479" t="s">
        <v>511</v>
      </c>
      <c r="C5" s="1480"/>
      <c r="D5" s="1480"/>
      <c r="E5" s="1480"/>
      <c r="F5" s="1481"/>
      <c r="G5" s="1006" t="s">
        <v>29</v>
      </c>
      <c r="H5" s="1007"/>
      <c r="I5" s="1008"/>
      <c r="J5" s="1006" t="s">
        <v>30</v>
      </c>
      <c r="K5" s="1008"/>
      <c r="L5" s="1482" t="s">
        <v>1</v>
      </c>
      <c r="M5" s="1483"/>
      <c r="N5" s="1483"/>
      <c r="O5" s="1483"/>
      <c r="P5" s="1483"/>
      <c r="Q5" s="1483"/>
      <c r="R5" s="1483"/>
      <c r="S5" s="1484"/>
      <c r="T5" s="1482" t="s">
        <v>2</v>
      </c>
      <c r="U5" s="1483"/>
      <c r="V5" s="1483"/>
      <c r="W5" s="1483"/>
      <c r="X5" s="1483"/>
      <c r="Y5" s="1483"/>
      <c r="Z5" s="1483"/>
      <c r="AA5" s="1483"/>
      <c r="AB5" s="1484"/>
      <c r="AC5" s="1482" t="s">
        <v>3</v>
      </c>
      <c r="AD5" s="1483"/>
      <c r="AE5" s="1483"/>
      <c r="AF5" s="1483"/>
      <c r="AG5" s="1483"/>
      <c r="AH5" s="1483"/>
      <c r="AI5" s="1483"/>
      <c r="AJ5" s="1484"/>
      <c r="AK5" s="1488" t="s">
        <v>31</v>
      </c>
      <c r="AL5" s="1489"/>
      <c r="AM5" s="1489"/>
      <c r="AN5" s="1489"/>
      <c r="AO5" s="1489"/>
      <c r="AP5" s="1489"/>
      <c r="AQ5" s="1489"/>
      <c r="AR5" s="1489"/>
      <c r="AS5" s="1489"/>
      <c r="AT5" s="1489"/>
      <c r="AU5" s="1490"/>
      <c r="AV5" s="1482" t="s">
        <v>4</v>
      </c>
      <c r="AW5" s="1483"/>
      <c r="AX5" s="1483"/>
      <c r="AY5" s="1483"/>
      <c r="AZ5" s="1483"/>
      <c r="BA5" s="1484"/>
      <c r="BB5" s="1482" t="s">
        <v>5</v>
      </c>
      <c r="BC5" s="1483"/>
      <c r="BD5" s="1483"/>
      <c r="BE5" s="1483"/>
      <c r="BF5" s="1483"/>
      <c r="BG5" s="1483"/>
      <c r="BH5" s="1483"/>
      <c r="BI5" s="1483"/>
      <c r="BJ5" s="1484"/>
      <c r="BK5" s="1482" t="s">
        <v>6</v>
      </c>
      <c r="BL5" s="1483"/>
      <c r="BM5" s="1483"/>
      <c r="BN5" s="1483"/>
      <c r="BO5" s="1483"/>
      <c r="BP5" s="1483"/>
      <c r="BQ5" s="1483"/>
      <c r="BR5" s="1483"/>
      <c r="BS5" s="1484"/>
      <c r="BT5" s="1491" t="s">
        <v>32</v>
      </c>
      <c r="BU5" s="1492"/>
      <c r="BV5" s="1492"/>
      <c r="BW5" s="1492"/>
      <c r="BX5" s="1492"/>
      <c r="BY5" s="1492"/>
      <c r="BZ5" s="1492"/>
      <c r="CA5" s="1492"/>
      <c r="CB5" s="1492"/>
      <c r="CC5" s="1493"/>
      <c r="CD5" s="1485"/>
      <c r="CE5" s="1486"/>
      <c r="CF5" s="1486"/>
      <c r="CG5" s="1486"/>
      <c r="CH5" s="1486"/>
      <c r="CI5" s="1486"/>
      <c r="CJ5" s="1486"/>
      <c r="CK5" s="1486"/>
      <c r="CL5" s="1486"/>
      <c r="CM5" s="1486"/>
      <c r="CN5" s="1486"/>
      <c r="CO5" s="1487"/>
      <c r="CP5" s="1473" t="s">
        <v>537</v>
      </c>
      <c r="CQ5" s="1475" t="s">
        <v>422</v>
      </c>
      <c r="CR5" s="4"/>
      <c r="CS5" s="4"/>
      <c r="CT5" s="4"/>
      <c r="CU5" s="4"/>
    </row>
    <row r="6" spans="1:99" ht="52.5">
      <c r="A6" s="1478"/>
      <c r="B6" s="717"/>
      <c r="C6" s="718"/>
      <c r="D6" s="718"/>
      <c r="E6" s="718"/>
      <c r="F6" s="719"/>
      <c r="G6" s="723"/>
      <c r="H6" s="724"/>
      <c r="I6" s="725"/>
      <c r="J6" s="723"/>
      <c r="K6" s="725"/>
      <c r="L6" s="736" t="s">
        <v>8</v>
      </c>
      <c r="M6" s="738"/>
      <c r="N6" s="705" t="s">
        <v>9</v>
      </c>
      <c r="O6" s="706"/>
      <c r="P6" s="707" t="s">
        <v>10</v>
      </c>
      <c r="Q6" s="708"/>
      <c r="R6" s="736" t="s">
        <v>11</v>
      </c>
      <c r="S6" s="738"/>
      <c r="T6" s="705" t="s">
        <v>8</v>
      </c>
      <c r="U6" s="706"/>
      <c r="V6" s="707" t="s">
        <v>9</v>
      </c>
      <c r="W6" s="710"/>
      <c r="X6" s="708"/>
      <c r="Y6" s="707" t="s">
        <v>10</v>
      </c>
      <c r="Z6" s="708"/>
      <c r="AA6" s="736" t="s">
        <v>11</v>
      </c>
      <c r="AB6" s="738"/>
      <c r="AC6" s="705" t="s">
        <v>8</v>
      </c>
      <c r="AD6" s="706"/>
      <c r="AE6" s="736" t="s">
        <v>9</v>
      </c>
      <c r="AF6" s="738"/>
      <c r="AG6" s="703" t="s">
        <v>10</v>
      </c>
      <c r="AH6" s="711"/>
      <c r="AI6" s="736" t="s">
        <v>11</v>
      </c>
      <c r="AJ6" s="738"/>
      <c r="AK6" s="705" t="s">
        <v>8</v>
      </c>
      <c r="AL6" s="706"/>
      <c r="AM6" s="705" t="s">
        <v>9</v>
      </c>
      <c r="AN6" s="706"/>
      <c r="AO6" s="705" t="s">
        <v>10</v>
      </c>
      <c r="AP6" s="709"/>
      <c r="AQ6" s="709"/>
      <c r="AR6" s="706"/>
      <c r="AS6" s="707" t="s">
        <v>11</v>
      </c>
      <c r="AT6" s="710"/>
      <c r="AU6" s="708"/>
      <c r="AV6" s="89" t="s">
        <v>8</v>
      </c>
      <c r="AW6" s="736" t="s">
        <v>9</v>
      </c>
      <c r="AX6" s="738"/>
      <c r="AY6" s="703" t="s">
        <v>10</v>
      </c>
      <c r="AZ6" s="711"/>
      <c r="BA6" s="90" t="s">
        <v>11</v>
      </c>
      <c r="BB6" s="705" t="s">
        <v>8</v>
      </c>
      <c r="BC6" s="706"/>
      <c r="BD6" s="705" t="s">
        <v>9</v>
      </c>
      <c r="BE6" s="706"/>
      <c r="BF6" s="705" t="s">
        <v>10</v>
      </c>
      <c r="BG6" s="709"/>
      <c r="BH6" s="706"/>
      <c r="BI6" s="707" t="s">
        <v>11</v>
      </c>
      <c r="BJ6" s="708"/>
      <c r="BK6" s="703" t="s">
        <v>8</v>
      </c>
      <c r="BL6" s="711"/>
      <c r="BM6" s="703" t="s">
        <v>9</v>
      </c>
      <c r="BN6" s="704"/>
      <c r="BO6" s="704"/>
      <c r="BP6" s="711"/>
      <c r="BQ6" s="90" t="s">
        <v>10</v>
      </c>
      <c r="BR6" s="705" t="s">
        <v>11</v>
      </c>
      <c r="BS6" s="706"/>
      <c r="BT6" s="705" t="s">
        <v>8</v>
      </c>
      <c r="BU6" s="706"/>
      <c r="BV6" s="705" t="s">
        <v>9</v>
      </c>
      <c r="BW6" s="709"/>
      <c r="BX6" s="706"/>
      <c r="BY6" s="707" t="s">
        <v>10</v>
      </c>
      <c r="BZ6" s="708"/>
      <c r="CA6" s="705" t="s">
        <v>11</v>
      </c>
      <c r="CB6" s="709"/>
      <c r="CC6" s="706"/>
      <c r="CD6" s="705" t="s">
        <v>8</v>
      </c>
      <c r="CE6" s="709"/>
      <c r="CF6" s="706"/>
      <c r="CG6" s="707" t="s">
        <v>9</v>
      </c>
      <c r="CH6" s="710"/>
      <c r="CI6" s="708"/>
      <c r="CJ6" s="736" t="s">
        <v>10</v>
      </c>
      <c r="CK6" s="737"/>
      <c r="CL6" s="738"/>
      <c r="CM6" s="705" t="s">
        <v>11</v>
      </c>
      <c r="CN6" s="709"/>
      <c r="CO6" s="706"/>
      <c r="CP6" s="1474"/>
      <c r="CQ6" s="1476"/>
      <c r="CR6" s="4"/>
      <c r="CS6" s="4"/>
      <c r="CT6" s="4"/>
      <c r="CU6" s="4"/>
    </row>
    <row r="7" spans="1:99" ht="26.25">
      <c r="A7" s="238">
        <v>1</v>
      </c>
      <c r="B7" s="703" t="s">
        <v>65</v>
      </c>
      <c r="C7" s="704"/>
      <c r="D7" s="704"/>
      <c r="E7" s="704"/>
      <c r="F7" s="711"/>
      <c r="G7" s="1494" t="s">
        <v>66</v>
      </c>
      <c r="H7" s="1495"/>
      <c r="I7" s="1496"/>
      <c r="J7" s="942">
        <v>5</v>
      </c>
      <c r="K7" s="944"/>
      <c r="L7" s="950">
        <v>7</v>
      </c>
      <c r="M7" s="951"/>
      <c r="N7" s="942">
        <v>223</v>
      </c>
      <c r="O7" s="944"/>
      <c r="P7" s="945">
        <v>217</v>
      </c>
      <c r="Q7" s="947"/>
      <c r="R7" s="950">
        <v>440</v>
      </c>
      <c r="S7" s="951"/>
      <c r="T7" s="942">
        <v>6</v>
      </c>
      <c r="U7" s="944"/>
      <c r="V7" s="945">
        <v>200</v>
      </c>
      <c r="W7" s="946"/>
      <c r="X7" s="947"/>
      <c r="Y7" s="945">
        <v>185</v>
      </c>
      <c r="Z7" s="947"/>
      <c r="AA7" s="950">
        <v>385</v>
      </c>
      <c r="AB7" s="951"/>
      <c r="AC7" s="942">
        <v>6</v>
      </c>
      <c r="AD7" s="944"/>
      <c r="AE7" s="950">
        <v>146</v>
      </c>
      <c r="AF7" s="951"/>
      <c r="AG7" s="945">
        <v>169</v>
      </c>
      <c r="AH7" s="947"/>
      <c r="AI7" s="950">
        <v>315</v>
      </c>
      <c r="AJ7" s="951"/>
      <c r="AK7" s="942">
        <v>19</v>
      </c>
      <c r="AL7" s="944"/>
      <c r="AM7" s="942">
        <v>569</v>
      </c>
      <c r="AN7" s="944"/>
      <c r="AO7" s="942">
        <v>571</v>
      </c>
      <c r="AP7" s="943"/>
      <c r="AQ7" s="943"/>
      <c r="AR7" s="944"/>
      <c r="AS7" s="945">
        <v>1140</v>
      </c>
      <c r="AT7" s="946"/>
      <c r="AU7" s="947"/>
      <c r="AV7" s="92">
        <v>0</v>
      </c>
      <c r="AW7" s="950">
        <v>0</v>
      </c>
      <c r="AX7" s="951"/>
      <c r="AY7" s="945">
        <v>0</v>
      </c>
      <c r="AZ7" s="947"/>
      <c r="BA7" s="91">
        <v>0</v>
      </c>
      <c r="BB7" s="942">
        <v>0</v>
      </c>
      <c r="BC7" s="944"/>
      <c r="BD7" s="942">
        <v>0</v>
      </c>
      <c r="BE7" s="944"/>
      <c r="BF7" s="942">
        <v>0</v>
      </c>
      <c r="BG7" s="943"/>
      <c r="BH7" s="944"/>
      <c r="BI7" s="952">
        <v>0</v>
      </c>
      <c r="BJ7" s="954"/>
      <c r="BK7" s="945">
        <v>0</v>
      </c>
      <c r="BL7" s="947"/>
      <c r="BM7" s="945">
        <v>0</v>
      </c>
      <c r="BN7" s="946"/>
      <c r="BO7" s="946"/>
      <c r="BP7" s="947"/>
      <c r="BQ7" s="91">
        <v>0</v>
      </c>
      <c r="BR7" s="942">
        <v>0</v>
      </c>
      <c r="BS7" s="944"/>
      <c r="BT7" s="942">
        <v>0</v>
      </c>
      <c r="BU7" s="944"/>
      <c r="BV7" s="942">
        <v>0</v>
      </c>
      <c r="BW7" s="943"/>
      <c r="BX7" s="944"/>
      <c r="BY7" s="952">
        <v>0</v>
      </c>
      <c r="BZ7" s="954"/>
      <c r="CA7" s="942">
        <v>0</v>
      </c>
      <c r="CB7" s="943"/>
      <c r="CC7" s="944"/>
      <c r="CD7" s="942">
        <v>19</v>
      </c>
      <c r="CE7" s="943"/>
      <c r="CF7" s="944"/>
      <c r="CG7" s="945">
        <v>569</v>
      </c>
      <c r="CH7" s="946"/>
      <c r="CI7" s="947"/>
      <c r="CJ7" s="950">
        <v>571</v>
      </c>
      <c r="CK7" s="1059"/>
      <c r="CL7" s="951"/>
      <c r="CM7" s="942">
        <v>1140</v>
      </c>
      <c r="CN7" s="943"/>
      <c r="CO7" s="944"/>
      <c r="CP7" s="246">
        <f>IF(CM7&lt;1001,30000 * 3,50000*3)</f>
        <v>150000</v>
      </c>
      <c r="CQ7" s="245"/>
      <c r="CR7" s="4"/>
      <c r="CS7" s="4"/>
      <c r="CT7" s="4"/>
      <c r="CU7" s="4"/>
    </row>
    <row r="8" spans="1:99" ht="26.25">
      <c r="A8" s="238">
        <v>2</v>
      </c>
      <c r="B8" s="958" t="s">
        <v>67</v>
      </c>
      <c r="C8" s="959"/>
      <c r="D8" s="959"/>
      <c r="E8" s="959"/>
      <c r="F8" s="960"/>
      <c r="G8" s="1494" t="s">
        <v>68</v>
      </c>
      <c r="H8" s="1495"/>
      <c r="I8" s="1496"/>
      <c r="J8" s="942">
        <v>3</v>
      </c>
      <c r="K8" s="944"/>
      <c r="L8" s="950">
        <v>5</v>
      </c>
      <c r="M8" s="951"/>
      <c r="N8" s="942">
        <v>270</v>
      </c>
      <c r="O8" s="944"/>
      <c r="P8" s="945">
        <v>239</v>
      </c>
      <c r="Q8" s="947"/>
      <c r="R8" s="950">
        <v>509</v>
      </c>
      <c r="S8" s="951"/>
      <c r="T8" s="942">
        <v>5</v>
      </c>
      <c r="U8" s="944"/>
      <c r="V8" s="945">
        <v>249</v>
      </c>
      <c r="W8" s="946"/>
      <c r="X8" s="947"/>
      <c r="Y8" s="945">
        <v>233</v>
      </c>
      <c r="Z8" s="947"/>
      <c r="AA8" s="950">
        <v>482</v>
      </c>
      <c r="AB8" s="951"/>
      <c r="AC8" s="942">
        <v>3</v>
      </c>
      <c r="AD8" s="944"/>
      <c r="AE8" s="950">
        <v>156</v>
      </c>
      <c r="AF8" s="951"/>
      <c r="AG8" s="945">
        <v>164</v>
      </c>
      <c r="AH8" s="947"/>
      <c r="AI8" s="950">
        <v>320</v>
      </c>
      <c r="AJ8" s="951"/>
      <c r="AK8" s="942">
        <v>13</v>
      </c>
      <c r="AL8" s="944"/>
      <c r="AM8" s="942">
        <v>675</v>
      </c>
      <c r="AN8" s="944"/>
      <c r="AO8" s="942">
        <v>636</v>
      </c>
      <c r="AP8" s="943"/>
      <c r="AQ8" s="943"/>
      <c r="AR8" s="944"/>
      <c r="AS8" s="945">
        <v>1311</v>
      </c>
      <c r="AT8" s="946"/>
      <c r="AU8" s="947"/>
      <c r="AV8" s="92">
        <v>0</v>
      </c>
      <c r="AW8" s="950">
        <v>0</v>
      </c>
      <c r="AX8" s="951"/>
      <c r="AY8" s="945">
        <v>0</v>
      </c>
      <c r="AZ8" s="947"/>
      <c r="BA8" s="91">
        <v>0</v>
      </c>
      <c r="BB8" s="942">
        <v>0</v>
      </c>
      <c r="BC8" s="944"/>
      <c r="BD8" s="942">
        <v>0</v>
      </c>
      <c r="BE8" s="944"/>
      <c r="BF8" s="942">
        <v>0</v>
      </c>
      <c r="BG8" s="943"/>
      <c r="BH8" s="944"/>
      <c r="BI8" s="952">
        <v>0</v>
      </c>
      <c r="BJ8" s="954"/>
      <c r="BK8" s="945">
        <v>0</v>
      </c>
      <c r="BL8" s="947"/>
      <c r="BM8" s="945">
        <v>0</v>
      </c>
      <c r="BN8" s="946"/>
      <c r="BO8" s="946"/>
      <c r="BP8" s="947"/>
      <c r="BQ8" s="91">
        <v>0</v>
      </c>
      <c r="BR8" s="942">
        <v>0</v>
      </c>
      <c r="BS8" s="944"/>
      <c r="BT8" s="942">
        <v>0</v>
      </c>
      <c r="BU8" s="944"/>
      <c r="BV8" s="942">
        <v>0</v>
      </c>
      <c r="BW8" s="943"/>
      <c r="BX8" s="944"/>
      <c r="BY8" s="952">
        <v>0</v>
      </c>
      <c r="BZ8" s="954"/>
      <c r="CA8" s="942">
        <v>0</v>
      </c>
      <c r="CB8" s="943"/>
      <c r="CC8" s="944"/>
      <c r="CD8" s="942">
        <v>13</v>
      </c>
      <c r="CE8" s="943"/>
      <c r="CF8" s="944"/>
      <c r="CG8" s="945">
        <v>675</v>
      </c>
      <c r="CH8" s="946"/>
      <c r="CI8" s="947"/>
      <c r="CJ8" s="950">
        <v>636</v>
      </c>
      <c r="CK8" s="1059"/>
      <c r="CL8" s="951"/>
      <c r="CM8" s="942">
        <v>1311</v>
      </c>
      <c r="CN8" s="943"/>
      <c r="CO8" s="944"/>
      <c r="CP8" s="246">
        <f t="shared" ref="CP8:CP19" si="0">IF(CM8&lt;1001,30000 * 3,50000*3)</f>
        <v>150000</v>
      </c>
      <c r="CQ8" s="245"/>
      <c r="CR8" s="4"/>
      <c r="CS8" s="4"/>
      <c r="CT8" s="4"/>
      <c r="CU8" s="4"/>
    </row>
    <row r="9" spans="1:99" ht="26.25">
      <c r="A9" s="238">
        <v>3</v>
      </c>
      <c r="B9" s="703" t="s">
        <v>69</v>
      </c>
      <c r="C9" s="704"/>
      <c r="D9" s="704"/>
      <c r="E9" s="704"/>
      <c r="F9" s="711"/>
      <c r="G9" s="1494" t="s">
        <v>68</v>
      </c>
      <c r="H9" s="1495"/>
      <c r="I9" s="1496"/>
      <c r="J9" s="942">
        <v>4</v>
      </c>
      <c r="K9" s="944"/>
      <c r="L9" s="950">
        <v>0</v>
      </c>
      <c r="M9" s="951"/>
      <c r="N9" s="942">
        <v>0</v>
      </c>
      <c r="O9" s="944"/>
      <c r="P9" s="952">
        <v>0</v>
      </c>
      <c r="Q9" s="954"/>
      <c r="R9" s="950">
        <v>0</v>
      </c>
      <c r="S9" s="951"/>
      <c r="T9" s="942">
        <v>0</v>
      </c>
      <c r="U9" s="944"/>
      <c r="V9" s="952">
        <v>0</v>
      </c>
      <c r="W9" s="953"/>
      <c r="X9" s="954"/>
      <c r="Y9" s="952">
        <v>0</v>
      </c>
      <c r="Z9" s="954"/>
      <c r="AA9" s="950">
        <v>0</v>
      </c>
      <c r="AB9" s="951"/>
      <c r="AC9" s="942">
        <v>0</v>
      </c>
      <c r="AD9" s="944"/>
      <c r="AE9" s="950">
        <v>0</v>
      </c>
      <c r="AF9" s="951"/>
      <c r="AG9" s="945">
        <v>0</v>
      </c>
      <c r="AH9" s="947"/>
      <c r="AI9" s="950">
        <v>0</v>
      </c>
      <c r="AJ9" s="951"/>
      <c r="AK9" s="942">
        <v>0</v>
      </c>
      <c r="AL9" s="944"/>
      <c r="AM9" s="942">
        <v>0</v>
      </c>
      <c r="AN9" s="944"/>
      <c r="AO9" s="942">
        <v>0</v>
      </c>
      <c r="AP9" s="943"/>
      <c r="AQ9" s="943"/>
      <c r="AR9" s="944"/>
      <c r="AS9" s="952">
        <v>0</v>
      </c>
      <c r="AT9" s="953"/>
      <c r="AU9" s="954"/>
      <c r="AV9" s="92">
        <v>6</v>
      </c>
      <c r="AW9" s="950">
        <v>142</v>
      </c>
      <c r="AX9" s="951"/>
      <c r="AY9" s="945">
        <v>118</v>
      </c>
      <c r="AZ9" s="947"/>
      <c r="BA9" s="91">
        <v>260</v>
      </c>
      <c r="BB9" s="942">
        <v>5</v>
      </c>
      <c r="BC9" s="944"/>
      <c r="BD9" s="942">
        <v>129</v>
      </c>
      <c r="BE9" s="944"/>
      <c r="BF9" s="942">
        <v>128</v>
      </c>
      <c r="BG9" s="943"/>
      <c r="BH9" s="944"/>
      <c r="BI9" s="945">
        <v>257</v>
      </c>
      <c r="BJ9" s="947"/>
      <c r="BK9" s="945">
        <v>3</v>
      </c>
      <c r="BL9" s="947"/>
      <c r="BM9" s="945">
        <v>103</v>
      </c>
      <c r="BN9" s="946"/>
      <c r="BO9" s="946"/>
      <c r="BP9" s="947"/>
      <c r="BQ9" s="91">
        <v>90</v>
      </c>
      <c r="BR9" s="942">
        <v>193</v>
      </c>
      <c r="BS9" s="944"/>
      <c r="BT9" s="942">
        <v>14</v>
      </c>
      <c r="BU9" s="944"/>
      <c r="BV9" s="942">
        <v>374</v>
      </c>
      <c r="BW9" s="943"/>
      <c r="BX9" s="944"/>
      <c r="BY9" s="945">
        <v>336</v>
      </c>
      <c r="BZ9" s="947"/>
      <c r="CA9" s="942">
        <v>710</v>
      </c>
      <c r="CB9" s="943"/>
      <c r="CC9" s="944"/>
      <c r="CD9" s="942">
        <v>14</v>
      </c>
      <c r="CE9" s="943"/>
      <c r="CF9" s="944"/>
      <c r="CG9" s="945">
        <v>374</v>
      </c>
      <c r="CH9" s="946"/>
      <c r="CI9" s="947"/>
      <c r="CJ9" s="950">
        <v>336</v>
      </c>
      <c r="CK9" s="1059"/>
      <c r="CL9" s="951"/>
      <c r="CM9" s="942">
        <v>710</v>
      </c>
      <c r="CN9" s="943"/>
      <c r="CO9" s="944"/>
      <c r="CP9" s="246">
        <f t="shared" si="0"/>
        <v>90000</v>
      </c>
      <c r="CQ9" s="245"/>
      <c r="CR9" s="4"/>
      <c r="CS9" s="4"/>
      <c r="CT9" s="4"/>
      <c r="CU9" s="4"/>
    </row>
    <row r="10" spans="1:99" ht="26.25">
      <c r="A10" s="238">
        <v>4</v>
      </c>
      <c r="B10" s="958" t="s">
        <v>70</v>
      </c>
      <c r="C10" s="959"/>
      <c r="D10" s="959"/>
      <c r="E10" s="959"/>
      <c r="F10" s="960"/>
      <c r="G10" s="1494" t="s">
        <v>68</v>
      </c>
      <c r="H10" s="1495"/>
      <c r="I10" s="1496"/>
      <c r="J10" s="942">
        <v>5</v>
      </c>
      <c r="K10" s="944"/>
      <c r="L10" s="950">
        <v>0</v>
      </c>
      <c r="M10" s="951"/>
      <c r="N10" s="942">
        <v>0</v>
      </c>
      <c r="O10" s="944"/>
      <c r="P10" s="952">
        <v>0</v>
      </c>
      <c r="Q10" s="954"/>
      <c r="R10" s="950">
        <v>0</v>
      </c>
      <c r="S10" s="951"/>
      <c r="T10" s="942">
        <v>0</v>
      </c>
      <c r="U10" s="944"/>
      <c r="V10" s="952">
        <v>0</v>
      </c>
      <c r="W10" s="953"/>
      <c r="X10" s="954"/>
      <c r="Y10" s="952">
        <v>0</v>
      </c>
      <c r="Z10" s="954"/>
      <c r="AA10" s="950">
        <v>0</v>
      </c>
      <c r="AB10" s="951"/>
      <c r="AC10" s="942">
        <v>0</v>
      </c>
      <c r="AD10" s="944"/>
      <c r="AE10" s="950">
        <v>0</v>
      </c>
      <c r="AF10" s="951"/>
      <c r="AG10" s="945">
        <v>0</v>
      </c>
      <c r="AH10" s="947"/>
      <c r="AI10" s="950">
        <v>0</v>
      </c>
      <c r="AJ10" s="951"/>
      <c r="AK10" s="942">
        <v>0</v>
      </c>
      <c r="AL10" s="944"/>
      <c r="AM10" s="942">
        <v>0</v>
      </c>
      <c r="AN10" s="944"/>
      <c r="AO10" s="942">
        <v>0</v>
      </c>
      <c r="AP10" s="943"/>
      <c r="AQ10" s="943"/>
      <c r="AR10" s="944"/>
      <c r="AS10" s="952">
        <v>0</v>
      </c>
      <c r="AT10" s="953"/>
      <c r="AU10" s="954"/>
      <c r="AV10" s="92">
        <v>5</v>
      </c>
      <c r="AW10" s="950">
        <v>115</v>
      </c>
      <c r="AX10" s="951"/>
      <c r="AY10" s="945">
        <v>145</v>
      </c>
      <c r="AZ10" s="947"/>
      <c r="BA10" s="91">
        <v>260</v>
      </c>
      <c r="BB10" s="942">
        <v>5</v>
      </c>
      <c r="BC10" s="944"/>
      <c r="BD10" s="942">
        <v>145</v>
      </c>
      <c r="BE10" s="944"/>
      <c r="BF10" s="942">
        <v>137</v>
      </c>
      <c r="BG10" s="943"/>
      <c r="BH10" s="944"/>
      <c r="BI10" s="945">
        <v>282</v>
      </c>
      <c r="BJ10" s="947"/>
      <c r="BK10" s="945">
        <v>4</v>
      </c>
      <c r="BL10" s="947"/>
      <c r="BM10" s="945">
        <v>90</v>
      </c>
      <c r="BN10" s="946"/>
      <c r="BO10" s="946"/>
      <c r="BP10" s="947"/>
      <c r="BQ10" s="91">
        <v>76</v>
      </c>
      <c r="BR10" s="942">
        <v>166</v>
      </c>
      <c r="BS10" s="944"/>
      <c r="BT10" s="942">
        <v>14</v>
      </c>
      <c r="BU10" s="944"/>
      <c r="BV10" s="942">
        <v>350</v>
      </c>
      <c r="BW10" s="943"/>
      <c r="BX10" s="944"/>
      <c r="BY10" s="945">
        <v>358</v>
      </c>
      <c r="BZ10" s="947"/>
      <c r="CA10" s="942">
        <v>708</v>
      </c>
      <c r="CB10" s="943"/>
      <c r="CC10" s="944"/>
      <c r="CD10" s="942">
        <v>14</v>
      </c>
      <c r="CE10" s="943"/>
      <c r="CF10" s="944"/>
      <c r="CG10" s="945">
        <v>350</v>
      </c>
      <c r="CH10" s="946"/>
      <c r="CI10" s="947"/>
      <c r="CJ10" s="950">
        <v>358</v>
      </c>
      <c r="CK10" s="1059"/>
      <c r="CL10" s="951"/>
      <c r="CM10" s="942">
        <v>708</v>
      </c>
      <c r="CN10" s="943"/>
      <c r="CO10" s="944"/>
      <c r="CP10" s="246">
        <f t="shared" si="0"/>
        <v>90000</v>
      </c>
      <c r="CQ10" s="245"/>
      <c r="CR10" s="4"/>
      <c r="CS10" s="4"/>
      <c r="CT10" s="4"/>
      <c r="CU10" s="4"/>
    </row>
    <row r="11" spans="1:99" ht="26.25">
      <c r="A11" s="238">
        <v>5</v>
      </c>
      <c r="B11" s="703" t="s">
        <v>71</v>
      </c>
      <c r="C11" s="704"/>
      <c r="D11" s="704"/>
      <c r="E11" s="704"/>
      <c r="F11" s="711"/>
      <c r="G11" s="1494" t="s">
        <v>66</v>
      </c>
      <c r="H11" s="1495"/>
      <c r="I11" s="1496"/>
      <c r="J11" s="942">
        <v>10</v>
      </c>
      <c r="K11" s="944"/>
      <c r="L11" s="950">
        <v>6</v>
      </c>
      <c r="M11" s="951"/>
      <c r="N11" s="942">
        <v>152</v>
      </c>
      <c r="O11" s="944"/>
      <c r="P11" s="945">
        <v>144</v>
      </c>
      <c r="Q11" s="947"/>
      <c r="R11" s="950">
        <v>296</v>
      </c>
      <c r="S11" s="951"/>
      <c r="T11" s="942">
        <v>6</v>
      </c>
      <c r="U11" s="944"/>
      <c r="V11" s="945">
        <v>178</v>
      </c>
      <c r="W11" s="946"/>
      <c r="X11" s="947"/>
      <c r="Y11" s="945">
        <v>185</v>
      </c>
      <c r="Z11" s="947"/>
      <c r="AA11" s="950">
        <v>363</v>
      </c>
      <c r="AB11" s="951"/>
      <c r="AC11" s="942">
        <v>6</v>
      </c>
      <c r="AD11" s="944"/>
      <c r="AE11" s="950">
        <v>123</v>
      </c>
      <c r="AF11" s="951"/>
      <c r="AG11" s="945">
        <v>124</v>
      </c>
      <c r="AH11" s="947"/>
      <c r="AI11" s="950">
        <v>247</v>
      </c>
      <c r="AJ11" s="951"/>
      <c r="AK11" s="942">
        <v>18</v>
      </c>
      <c r="AL11" s="944"/>
      <c r="AM11" s="942">
        <v>453</v>
      </c>
      <c r="AN11" s="944"/>
      <c r="AO11" s="942">
        <v>453</v>
      </c>
      <c r="AP11" s="943"/>
      <c r="AQ11" s="943"/>
      <c r="AR11" s="944"/>
      <c r="AS11" s="945">
        <v>906</v>
      </c>
      <c r="AT11" s="946"/>
      <c r="AU11" s="947"/>
      <c r="AV11" s="92">
        <v>4</v>
      </c>
      <c r="AW11" s="950">
        <v>125</v>
      </c>
      <c r="AX11" s="951"/>
      <c r="AY11" s="945">
        <v>127</v>
      </c>
      <c r="AZ11" s="947"/>
      <c r="BA11" s="91">
        <v>252</v>
      </c>
      <c r="BB11" s="942">
        <v>5</v>
      </c>
      <c r="BC11" s="944"/>
      <c r="BD11" s="942">
        <v>116</v>
      </c>
      <c r="BE11" s="944"/>
      <c r="BF11" s="942">
        <v>101</v>
      </c>
      <c r="BG11" s="943"/>
      <c r="BH11" s="944"/>
      <c r="BI11" s="945">
        <v>217</v>
      </c>
      <c r="BJ11" s="947"/>
      <c r="BK11" s="945">
        <v>3</v>
      </c>
      <c r="BL11" s="947"/>
      <c r="BM11" s="945">
        <v>79</v>
      </c>
      <c r="BN11" s="946"/>
      <c r="BO11" s="946"/>
      <c r="BP11" s="947"/>
      <c r="BQ11" s="91">
        <v>101</v>
      </c>
      <c r="BR11" s="942">
        <v>180</v>
      </c>
      <c r="BS11" s="944"/>
      <c r="BT11" s="942">
        <v>12</v>
      </c>
      <c r="BU11" s="944"/>
      <c r="BV11" s="942">
        <v>320</v>
      </c>
      <c r="BW11" s="943"/>
      <c r="BX11" s="944"/>
      <c r="BY11" s="945">
        <v>329</v>
      </c>
      <c r="BZ11" s="947"/>
      <c r="CA11" s="942">
        <v>649</v>
      </c>
      <c r="CB11" s="943"/>
      <c r="CC11" s="944"/>
      <c r="CD11" s="942">
        <v>30</v>
      </c>
      <c r="CE11" s="943"/>
      <c r="CF11" s="944"/>
      <c r="CG11" s="945">
        <v>773</v>
      </c>
      <c r="CH11" s="946"/>
      <c r="CI11" s="947"/>
      <c r="CJ11" s="950">
        <v>782</v>
      </c>
      <c r="CK11" s="1059"/>
      <c r="CL11" s="951"/>
      <c r="CM11" s="942">
        <v>1555</v>
      </c>
      <c r="CN11" s="943"/>
      <c r="CO11" s="944"/>
      <c r="CP11" s="246">
        <f t="shared" si="0"/>
        <v>150000</v>
      </c>
      <c r="CQ11" s="245"/>
      <c r="CR11" s="4"/>
      <c r="CS11" s="4"/>
      <c r="CT11" s="4"/>
      <c r="CU11" s="4"/>
    </row>
    <row r="12" spans="1:99" ht="26.25">
      <c r="A12" s="238">
        <v>6</v>
      </c>
      <c r="B12" s="958" t="s">
        <v>72</v>
      </c>
      <c r="C12" s="959"/>
      <c r="D12" s="959"/>
      <c r="E12" s="959"/>
      <c r="F12" s="960"/>
      <c r="G12" s="1494" t="s">
        <v>66</v>
      </c>
      <c r="H12" s="1495"/>
      <c r="I12" s="1496"/>
      <c r="J12" s="942">
        <v>7</v>
      </c>
      <c r="K12" s="944"/>
      <c r="L12" s="950">
        <v>1</v>
      </c>
      <c r="M12" s="951"/>
      <c r="N12" s="942">
        <v>11</v>
      </c>
      <c r="O12" s="944"/>
      <c r="P12" s="945">
        <v>13</v>
      </c>
      <c r="Q12" s="947"/>
      <c r="R12" s="950">
        <v>24</v>
      </c>
      <c r="S12" s="951"/>
      <c r="T12" s="942">
        <v>1</v>
      </c>
      <c r="U12" s="944"/>
      <c r="V12" s="952">
        <v>7</v>
      </c>
      <c r="W12" s="953"/>
      <c r="X12" s="954"/>
      <c r="Y12" s="952">
        <v>4</v>
      </c>
      <c r="Z12" s="954"/>
      <c r="AA12" s="950">
        <v>11</v>
      </c>
      <c r="AB12" s="951"/>
      <c r="AC12" s="942">
        <v>2</v>
      </c>
      <c r="AD12" s="944"/>
      <c r="AE12" s="950">
        <v>16</v>
      </c>
      <c r="AF12" s="951"/>
      <c r="AG12" s="945">
        <v>18</v>
      </c>
      <c r="AH12" s="947"/>
      <c r="AI12" s="950">
        <v>34</v>
      </c>
      <c r="AJ12" s="951"/>
      <c r="AK12" s="942">
        <v>4</v>
      </c>
      <c r="AL12" s="944"/>
      <c r="AM12" s="942">
        <v>34</v>
      </c>
      <c r="AN12" s="944"/>
      <c r="AO12" s="942">
        <v>35</v>
      </c>
      <c r="AP12" s="943"/>
      <c r="AQ12" s="943"/>
      <c r="AR12" s="944"/>
      <c r="AS12" s="945">
        <v>69</v>
      </c>
      <c r="AT12" s="946"/>
      <c r="AU12" s="947"/>
      <c r="AV12" s="92">
        <v>1</v>
      </c>
      <c r="AW12" s="950">
        <v>7</v>
      </c>
      <c r="AX12" s="951"/>
      <c r="AY12" s="945">
        <v>4</v>
      </c>
      <c r="AZ12" s="947"/>
      <c r="BA12" s="91">
        <v>11</v>
      </c>
      <c r="BB12" s="942">
        <v>1</v>
      </c>
      <c r="BC12" s="944"/>
      <c r="BD12" s="942">
        <v>4</v>
      </c>
      <c r="BE12" s="944"/>
      <c r="BF12" s="942">
        <v>3</v>
      </c>
      <c r="BG12" s="943"/>
      <c r="BH12" s="944"/>
      <c r="BI12" s="952">
        <v>7</v>
      </c>
      <c r="BJ12" s="954"/>
      <c r="BK12" s="945">
        <v>3</v>
      </c>
      <c r="BL12" s="947"/>
      <c r="BM12" s="945">
        <v>13</v>
      </c>
      <c r="BN12" s="946"/>
      <c r="BO12" s="946"/>
      <c r="BP12" s="947"/>
      <c r="BQ12" s="91">
        <v>11</v>
      </c>
      <c r="BR12" s="942">
        <v>24</v>
      </c>
      <c r="BS12" s="944"/>
      <c r="BT12" s="942">
        <v>5</v>
      </c>
      <c r="BU12" s="944"/>
      <c r="BV12" s="942">
        <v>24</v>
      </c>
      <c r="BW12" s="943"/>
      <c r="BX12" s="944"/>
      <c r="BY12" s="945">
        <v>18</v>
      </c>
      <c r="BZ12" s="947"/>
      <c r="CA12" s="942">
        <v>42</v>
      </c>
      <c r="CB12" s="943"/>
      <c r="CC12" s="944"/>
      <c r="CD12" s="942">
        <v>9</v>
      </c>
      <c r="CE12" s="943"/>
      <c r="CF12" s="944"/>
      <c r="CG12" s="945">
        <v>58</v>
      </c>
      <c r="CH12" s="946"/>
      <c r="CI12" s="947"/>
      <c r="CJ12" s="950">
        <v>53</v>
      </c>
      <c r="CK12" s="1059"/>
      <c r="CL12" s="951"/>
      <c r="CM12" s="942">
        <v>111</v>
      </c>
      <c r="CN12" s="943"/>
      <c r="CO12" s="944"/>
      <c r="CP12" s="246">
        <f t="shared" si="0"/>
        <v>90000</v>
      </c>
      <c r="CQ12" s="245"/>
      <c r="CR12" s="4"/>
      <c r="CS12" s="4"/>
      <c r="CT12" s="4"/>
      <c r="CU12" s="4"/>
    </row>
    <row r="13" spans="1:99" ht="26.25">
      <c r="A13" s="238">
        <v>7</v>
      </c>
      <c r="B13" s="703" t="s">
        <v>73</v>
      </c>
      <c r="C13" s="704"/>
      <c r="D13" s="704"/>
      <c r="E13" s="704"/>
      <c r="F13" s="711"/>
      <c r="G13" s="1494" t="s">
        <v>66</v>
      </c>
      <c r="H13" s="1495"/>
      <c r="I13" s="1496"/>
      <c r="J13" s="942">
        <v>9</v>
      </c>
      <c r="K13" s="944"/>
      <c r="L13" s="950">
        <v>2</v>
      </c>
      <c r="M13" s="951"/>
      <c r="N13" s="942">
        <v>57</v>
      </c>
      <c r="O13" s="944"/>
      <c r="P13" s="945">
        <v>62</v>
      </c>
      <c r="Q13" s="947"/>
      <c r="R13" s="950">
        <v>119</v>
      </c>
      <c r="S13" s="951"/>
      <c r="T13" s="942">
        <v>2</v>
      </c>
      <c r="U13" s="944"/>
      <c r="V13" s="945">
        <v>35</v>
      </c>
      <c r="W13" s="946"/>
      <c r="X13" s="947"/>
      <c r="Y13" s="945">
        <v>48</v>
      </c>
      <c r="Z13" s="947"/>
      <c r="AA13" s="950">
        <v>83</v>
      </c>
      <c r="AB13" s="951"/>
      <c r="AC13" s="942">
        <v>2</v>
      </c>
      <c r="AD13" s="944"/>
      <c r="AE13" s="950">
        <v>32</v>
      </c>
      <c r="AF13" s="951"/>
      <c r="AG13" s="945">
        <v>37</v>
      </c>
      <c r="AH13" s="947"/>
      <c r="AI13" s="950">
        <v>69</v>
      </c>
      <c r="AJ13" s="951"/>
      <c r="AK13" s="942">
        <v>6</v>
      </c>
      <c r="AL13" s="944"/>
      <c r="AM13" s="942">
        <v>124</v>
      </c>
      <c r="AN13" s="944"/>
      <c r="AO13" s="942">
        <v>147</v>
      </c>
      <c r="AP13" s="943"/>
      <c r="AQ13" s="943"/>
      <c r="AR13" s="944"/>
      <c r="AS13" s="945">
        <v>271</v>
      </c>
      <c r="AT13" s="946"/>
      <c r="AU13" s="947"/>
      <c r="AV13" s="92">
        <v>1</v>
      </c>
      <c r="AW13" s="950">
        <v>52</v>
      </c>
      <c r="AX13" s="951"/>
      <c r="AY13" s="945">
        <v>39</v>
      </c>
      <c r="AZ13" s="947"/>
      <c r="BA13" s="91">
        <v>91</v>
      </c>
      <c r="BB13" s="942">
        <v>1</v>
      </c>
      <c r="BC13" s="944"/>
      <c r="BD13" s="942">
        <v>28</v>
      </c>
      <c r="BE13" s="944"/>
      <c r="BF13" s="942">
        <v>25</v>
      </c>
      <c r="BG13" s="943"/>
      <c r="BH13" s="944"/>
      <c r="BI13" s="945">
        <v>53</v>
      </c>
      <c r="BJ13" s="947"/>
      <c r="BK13" s="945">
        <v>1</v>
      </c>
      <c r="BL13" s="947"/>
      <c r="BM13" s="945">
        <v>29</v>
      </c>
      <c r="BN13" s="946"/>
      <c r="BO13" s="946"/>
      <c r="BP13" s="947"/>
      <c r="BQ13" s="91">
        <v>15</v>
      </c>
      <c r="BR13" s="942">
        <v>44</v>
      </c>
      <c r="BS13" s="944"/>
      <c r="BT13" s="942">
        <v>3</v>
      </c>
      <c r="BU13" s="944"/>
      <c r="BV13" s="942">
        <v>109</v>
      </c>
      <c r="BW13" s="943"/>
      <c r="BX13" s="944"/>
      <c r="BY13" s="945">
        <v>79</v>
      </c>
      <c r="BZ13" s="947"/>
      <c r="CA13" s="942">
        <v>188</v>
      </c>
      <c r="CB13" s="943"/>
      <c r="CC13" s="944"/>
      <c r="CD13" s="942">
        <v>9</v>
      </c>
      <c r="CE13" s="943"/>
      <c r="CF13" s="944"/>
      <c r="CG13" s="945">
        <v>233</v>
      </c>
      <c r="CH13" s="946"/>
      <c r="CI13" s="947"/>
      <c r="CJ13" s="950">
        <v>226</v>
      </c>
      <c r="CK13" s="1059"/>
      <c r="CL13" s="951"/>
      <c r="CM13" s="942">
        <v>459</v>
      </c>
      <c r="CN13" s="943"/>
      <c r="CO13" s="944"/>
      <c r="CP13" s="246">
        <f t="shared" si="0"/>
        <v>90000</v>
      </c>
      <c r="CQ13" s="245"/>
      <c r="CR13" s="4"/>
      <c r="CS13" s="4"/>
      <c r="CT13" s="4"/>
      <c r="CU13" s="4"/>
    </row>
    <row r="14" spans="1:99" ht="26.25">
      <c r="A14" s="238">
        <v>8</v>
      </c>
      <c r="B14" s="703" t="s">
        <v>74</v>
      </c>
      <c r="C14" s="704"/>
      <c r="D14" s="704"/>
      <c r="E14" s="704"/>
      <c r="F14" s="711"/>
      <c r="G14" s="1494" t="s">
        <v>66</v>
      </c>
      <c r="H14" s="1495"/>
      <c r="I14" s="1496"/>
      <c r="J14" s="942">
        <v>4</v>
      </c>
      <c r="K14" s="944"/>
      <c r="L14" s="950">
        <v>3</v>
      </c>
      <c r="M14" s="951"/>
      <c r="N14" s="942">
        <v>88</v>
      </c>
      <c r="O14" s="944"/>
      <c r="P14" s="945">
        <v>87</v>
      </c>
      <c r="Q14" s="947"/>
      <c r="R14" s="950">
        <v>175</v>
      </c>
      <c r="S14" s="951"/>
      <c r="T14" s="942">
        <v>2</v>
      </c>
      <c r="U14" s="944"/>
      <c r="V14" s="945">
        <v>92</v>
      </c>
      <c r="W14" s="946"/>
      <c r="X14" s="947"/>
      <c r="Y14" s="945">
        <v>69</v>
      </c>
      <c r="Z14" s="947"/>
      <c r="AA14" s="950">
        <v>161</v>
      </c>
      <c r="AB14" s="951"/>
      <c r="AC14" s="942">
        <v>2</v>
      </c>
      <c r="AD14" s="944"/>
      <c r="AE14" s="950">
        <v>70</v>
      </c>
      <c r="AF14" s="951"/>
      <c r="AG14" s="945">
        <v>80</v>
      </c>
      <c r="AH14" s="947"/>
      <c r="AI14" s="950">
        <v>150</v>
      </c>
      <c r="AJ14" s="951"/>
      <c r="AK14" s="942">
        <v>7</v>
      </c>
      <c r="AL14" s="944"/>
      <c r="AM14" s="942">
        <v>250</v>
      </c>
      <c r="AN14" s="944"/>
      <c r="AO14" s="942">
        <v>236</v>
      </c>
      <c r="AP14" s="943"/>
      <c r="AQ14" s="943"/>
      <c r="AR14" s="944"/>
      <c r="AS14" s="945">
        <v>486</v>
      </c>
      <c r="AT14" s="946"/>
      <c r="AU14" s="947"/>
      <c r="AV14" s="92">
        <v>2</v>
      </c>
      <c r="AW14" s="950">
        <v>49</v>
      </c>
      <c r="AX14" s="951"/>
      <c r="AY14" s="945">
        <v>61</v>
      </c>
      <c r="AZ14" s="947"/>
      <c r="BA14" s="91">
        <v>110</v>
      </c>
      <c r="BB14" s="942">
        <v>2</v>
      </c>
      <c r="BC14" s="944"/>
      <c r="BD14" s="942">
        <v>47</v>
      </c>
      <c r="BE14" s="944"/>
      <c r="BF14" s="942">
        <v>33</v>
      </c>
      <c r="BG14" s="943"/>
      <c r="BH14" s="944"/>
      <c r="BI14" s="945">
        <v>80</v>
      </c>
      <c r="BJ14" s="947"/>
      <c r="BK14" s="945">
        <v>2</v>
      </c>
      <c r="BL14" s="947"/>
      <c r="BM14" s="945">
        <v>41</v>
      </c>
      <c r="BN14" s="946"/>
      <c r="BO14" s="946"/>
      <c r="BP14" s="947"/>
      <c r="BQ14" s="91">
        <v>26</v>
      </c>
      <c r="BR14" s="942">
        <v>67</v>
      </c>
      <c r="BS14" s="944"/>
      <c r="BT14" s="942">
        <v>6</v>
      </c>
      <c r="BU14" s="944"/>
      <c r="BV14" s="942">
        <v>137</v>
      </c>
      <c r="BW14" s="943"/>
      <c r="BX14" s="944"/>
      <c r="BY14" s="945">
        <v>120</v>
      </c>
      <c r="BZ14" s="947"/>
      <c r="CA14" s="942">
        <v>257</v>
      </c>
      <c r="CB14" s="943"/>
      <c r="CC14" s="944"/>
      <c r="CD14" s="942">
        <v>13</v>
      </c>
      <c r="CE14" s="943"/>
      <c r="CF14" s="944"/>
      <c r="CG14" s="945">
        <v>387</v>
      </c>
      <c r="CH14" s="946"/>
      <c r="CI14" s="947"/>
      <c r="CJ14" s="950">
        <v>356</v>
      </c>
      <c r="CK14" s="1059"/>
      <c r="CL14" s="951"/>
      <c r="CM14" s="942">
        <v>743</v>
      </c>
      <c r="CN14" s="943"/>
      <c r="CO14" s="944"/>
      <c r="CP14" s="246">
        <f t="shared" si="0"/>
        <v>90000</v>
      </c>
      <c r="CQ14" s="245"/>
      <c r="CR14" s="4"/>
      <c r="CS14" s="4"/>
      <c r="CT14" s="4"/>
      <c r="CU14" s="4"/>
    </row>
    <row r="15" spans="1:99" ht="26.25">
      <c r="A15" s="238">
        <v>9</v>
      </c>
      <c r="B15" s="703" t="s">
        <v>75</v>
      </c>
      <c r="C15" s="704"/>
      <c r="D15" s="704"/>
      <c r="E15" s="704"/>
      <c r="F15" s="711"/>
      <c r="G15" s="1494" t="s">
        <v>68</v>
      </c>
      <c r="H15" s="1495"/>
      <c r="I15" s="1496"/>
      <c r="J15" s="942">
        <v>3</v>
      </c>
      <c r="K15" s="944"/>
      <c r="L15" s="950">
        <v>9</v>
      </c>
      <c r="M15" s="951"/>
      <c r="N15" s="942">
        <v>328</v>
      </c>
      <c r="O15" s="944"/>
      <c r="P15" s="945">
        <v>401</v>
      </c>
      <c r="Q15" s="947"/>
      <c r="R15" s="950">
        <v>729</v>
      </c>
      <c r="S15" s="951"/>
      <c r="T15" s="942">
        <v>8</v>
      </c>
      <c r="U15" s="944"/>
      <c r="V15" s="945">
        <v>327</v>
      </c>
      <c r="W15" s="946"/>
      <c r="X15" s="947"/>
      <c r="Y15" s="945">
        <v>456</v>
      </c>
      <c r="Z15" s="947"/>
      <c r="AA15" s="950">
        <v>783</v>
      </c>
      <c r="AB15" s="951"/>
      <c r="AC15" s="942">
        <v>8</v>
      </c>
      <c r="AD15" s="944"/>
      <c r="AE15" s="950">
        <v>332</v>
      </c>
      <c r="AF15" s="951"/>
      <c r="AG15" s="945">
        <v>468</v>
      </c>
      <c r="AH15" s="947"/>
      <c r="AI15" s="950">
        <v>800</v>
      </c>
      <c r="AJ15" s="951"/>
      <c r="AK15" s="942">
        <v>25</v>
      </c>
      <c r="AL15" s="944"/>
      <c r="AM15" s="942">
        <v>987</v>
      </c>
      <c r="AN15" s="944"/>
      <c r="AO15" s="942">
        <v>1325</v>
      </c>
      <c r="AP15" s="943"/>
      <c r="AQ15" s="943"/>
      <c r="AR15" s="944"/>
      <c r="AS15" s="945">
        <v>2312</v>
      </c>
      <c r="AT15" s="946"/>
      <c r="AU15" s="947"/>
      <c r="AV15" s="92">
        <v>0</v>
      </c>
      <c r="AW15" s="950">
        <v>0</v>
      </c>
      <c r="AX15" s="951"/>
      <c r="AY15" s="945">
        <v>0</v>
      </c>
      <c r="AZ15" s="947"/>
      <c r="BA15" s="91">
        <v>0</v>
      </c>
      <c r="BB15" s="942">
        <v>0</v>
      </c>
      <c r="BC15" s="944"/>
      <c r="BD15" s="942">
        <v>0</v>
      </c>
      <c r="BE15" s="944"/>
      <c r="BF15" s="942">
        <v>0</v>
      </c>
      <c r="BG15" s="943"/>
      <c r="BH15" s="944"/>
      <c r="BI15" s="952">
        <v>0</v>
      </c>
      <c r="BJ15" s="954"/>
      <c r="BK15" s="945">
        <v>0</v>
      </c>
      <c r="BL15" s="947"/>
      <c r="BM15" s="945">
        <v>0</v>
      </c>
      <c r="BN15" s="946"/>
      <c r="BO15" s="946"/>
      <c r="BP15" s="947"/>
      <c r="BQ15" s="91">
        <v>0</v>
      </c>
      <c r="BR15" s="942">
        <v>0</v>
      </c>
      <c r="BS15" s="944"/>
      <c r="BT15" s="942">
        <v>0</v>
      </c>
      <c r="BU15" s="944"/>
      <c r="BV15" s="942">
        <v>0</v>
      </c>
      <c r="BW15" s="943"/>
      <c r="BX15" s="944"/>
      <c r="BY15" s="952">
        <v>0</v>
      </c>
      <c r="BZ15" s="954"/>
      <c r="CA15" s="942">
        <v>0</v>
      </c>
      <c r="CB15" s="943"/>
      <c r="CC15" s="944"/>
      <c r="CD15" s="942">
        <v>25</v>
      </c>
      <c r="CE15" s="943"/>
      <c r="CF15" s="944"/>
      <c r="CG15" s="945">
        <v>987</v>
      </c>
      <c r="CH15" s="946"/>
      <c r="CI15" s="947"/>
      <c r="CJ15" s="950">
        <v>1325</v>
      </c>
      <c r="CK15" s="1059"/>
      <c r="CL15" s="951"/>
      <c r="CM15" s="942">
        <v>2312</v>
      </c>
      <c r="CN15" s="943"/>
      <c r="CO15" s="944"/>
      <c r="CP15" s="246">
        <f t="shared" si="0"/>
        <v>150000</v>
      </c>
      <c r="CQ15" s="245"/>
      <c r="CR15" s="4"/>
      <c r="CS15" s="4"/>
      <c r="CT15" s="4"/>
      <c r="CU15" s="4"/>
    </row>
    <row r="16" spans="1:99" ht="26.25">
      <c r="A16" s="238">
        <v>10</v>
      </c>
      <c r="B16" s="703" t="s">
        <v>76</v>
      </c>
      <c r="C16" s="704"/>
      <c r="D16" s="704"/>
      <c r="E16" s="704"/>
      <c r="F16" s="711"/>
      <c r="G16" s="1494" t="s">
        <v>68</v>
      </c>
      <c r="H16" s="1495"/>
      <c r="I16" s="1496"/>
      <c r="J16" s="942">
        <v>2</v>
      </c>
      <c r="K16" s="944"/>
      <c r="L16" s="950">
        <v>0</v>
      </c>
      <c r="M16" s="951"/>
      <c r="N16" s="942">
        <v>0</v>
      </c>
      <c r="O16" s="944"/>
      <c r="P16" s="952">
        <v>0</v>
      </c>
      <c r="Q16" s="954"/>
      <c r="R16" s="950">
        <v>0</v>
      </c>
      <c r="S16" s="951"/>
      <c r="T16" s="942">
        <v>0</v>
      </c>
      <c r="U16" s="944"/>
      <c r="V16" s="952">
        <v>0</v>
      </c>
      <c r="W16" s="953"/>
      <c r="X16" s="954"/>
      <c r="Y16" s="952">
        <v>0</v>
      </c>
      <c r="Z16" s="954"/>
      <c r="AA16" s="950">
        <v>0</v>
      </c>
      <c r="AB16" s="951"/>
      <c r="AC16" s="942">
        <v>0</v>
      </c>
      <c r="AD16" s="944"/>
      <c r="AE16" s="950">
        <v>0</v>
      </c>
      <c r="AF16" s="951"/>
      <c r="AG16" s="945">
        <v>0</v>
      </c>
      <c r="AH16" s="947"/>
      <c r="AI16" s="950">
        <v>0</v>
      </c>
      <c r="AJ16" s="951"/>
      <c r="AK16" s="942">
        <v>0</v>
      </c>
      <c r="AL16" s="944"/>
      <c r="AM16" s="942">
        <v>0</v>
      </c>
      <c r="AN16" s="944"/>
      <c r="AO16" s="942">
        <v>0</v>
      </c>
      <c r="AP16" s="943"/>
      <c r="AQ16" s="943"/>
      <c r="AR16" s="944"/>
      <c r="AS16" s="952">
        <v>0</v>
      </c>
      <c r="AT16" s="953"/>
      <c r="AU16" s="954"/>
      <c r="AV16" s="92">
        <v>8</v>
      </c>
      <c r="AW16" s="950">
        <v>413</v>
      </c>
      <c r="AX16" s="951"/>
      <c r="AY16" s="945">
        <v>427</v>
      </c>
      <c r="AZ16" s="947"/>
      <c r="BA16" s="91">
        <v>840</v>
      </c>
      <c r="BB16" s="942">
        <v>8</v>
      </c>
      <c r="BC16" s="944"/>
      <c r="BD16" s="942">
        <v>458</v>
      </c>
      <c r="BE16" s="944"/>
      <c r="BF16" s="942">
        <v>447</v>
      </c>
      <c r="BG16" s="943"/>
      <c r="BH16" s="944"/>
      <c r="BI16" s="945">
        <v>905</v>
      </c>
      <c r="BJ16" s="947"/>
      <c r="BK16" s="945">
        <v>7</v>
      </c>
      <c r="BL16" s="947"/>
      <c r="BM16" s="945">
        <v>249</v>
      </c>
      <c r="BN16" s="946"/>
      <c r="BO16" s="946"/>
      <c r="BP16" s="947"/>
      <c r="BQ16" s="91">
        <v>284</v>
      </c>
      <c r="BR16" s="942">
        <v>533</v>
      </c>
      <c r="BS16" s="944"/>
      <c r="BT16" s="942">
        <v>23</v>
      </c>
      <c r="BU16" s="944"/>
      <c r="BV16" s="942">
        <v>1120</v>
      </c>
      <c r="BW16" s="943"/>
      <c r="BX16" s="944"/>
      <c r="BY16" s="945">
        <v>1158</v>
      </c>
      <c r="BZ16" s="947"/>
      <c r="CA16" s="942">
        <v>2278</v>
      </c>
      <c r="CB16" s="943"/>
      <c r="CC16" s="944"/>
      <c r="CD16" s="942">
        <v>23</v>
      </c>
      <c r="CE16" s="943"/>
      <c r="CF16" s="944"/>
      <c r="CG16" s="945">
        <v>1120</v>
      </c>
      <c r="CH16" s="946"/>
      <c r="CI16" s="947"/>
      <c r="CJ16" s="950">
        <v>1158</v>
      </c>
      <c r="CK16" s="1059"/>
      <c r="CL16" s="951"/>
      <c r="CM16" s="942">
        <v>2278</v>
      </c>
      <c r="CN16" s="943"/>
      <c r="CO16" s="944"/>
      <c r="CP16" s="246">
        <f t="shared" si="0"/>
        <v>150000</v>
      </c>
      <c r="CQ16" s="245"/>
      <c r="CR16" s="4"/>
      <c r="CS16" s="4"/>
      <c r="CT16" s="4"/>
      <c r="CU16" s="4"/>
    </row>
    <row r="17" spans="1:99" ht="26.25">
      <c r="A17" s="238">
        <v>11</v>
      </c>
      <c r="B17" s="703" t="s">
        <v>77</v>
      </c>
      <c r="C17" s="704"/>
      <c r="D17" s="704"/>
      <c r="E17" s="704"/>
      <c r="F17" s="711"/>
      <c r="G17" s="1494" t="s">
        <v>66</v>
      </c>
      <c r="H17" s="1495"/>
      <c r="I17" s="1496"/>
      <c r="J17" s="942">
        <v>6</v>
      </c>
      <c r="K17" s="944"/>
      <c r="L17" s="950">
        <v>3</v>
      </c>
      <c r="M17" s="951"/>
      <c r="N17" s="942">
        <v>111</v>
      </c>
      <c r="O17" s="944"/>
      <c r="P17" s="945">
        <v>87</v>
      </c>
      <c r="Q17" s="947"/>
      <c r="R17" s="950">
        <v>198</v>
      </c>
      <c r="S17" s="951"/>
      <c r="T17" s="942">
        <v>3</v>
      </c>
      <c r="U17" s="944"/>
      <c r="V17" s="945">
        <v>107</v>
      </c>
      <c r="W17" s="946"/>
      <c r="X17" s="947"/>
      <c r="Y17" s="945">
        <v>83</v>
      </c>
      <c r="Z17" s="947"/>
      <c r="AA17" s="950">
        <v>190</v>
      </c>
      <c r="AB17" s="951"/>
      <c r="AC17" s="942">
        <v>3</v>
      </c>
      <c r="AD17" s="944"/>
      <c r="AE17" s="950">
        <v>85</v>
      </c>
      <c r="AF17" s="951"/>
      <c r="AG17" s="945">
        <v>69</v>
      </c>
      <c r="AH17" s="947"/>
      <c r="AI17" s="950">
        <v>154</v>
      </c>
      <c r="AJ17" s="951"/>
      <c r="AK17" s="942">
        <v>9</v>
      </c>
      <c r="AL17" s="944"/>
      <c r="AM17" s="942">
        <v>303</v>
      </c>
      <c r="AN17" s="944"/>
      <c r="AO17" s="942">
        <v>239</v>
      </c>
      <c r="AP17" s="943"/>
      <c r="AQ17" s="943"/>
      <c r="AR17" s="944"/>
      <c r="AS17" s="945">
        <v>542</v>
      </c>
      <c r="AT17" s="946"/>
      <c r="AU17" s="947"/>
      <c r="AV17" s="92">
        <v>3</v>
      </c>
      <c r="AW17" s="950">
        <v>72</v>
      </c>
      <c r="AX17" s="951"/>
      <c r="AY17" s="945">
        <v>64</v>
      </c>
      <c r="AZ17" s="947"/>
      <c r="BA17" s="91">
        <v>136</v>
      </c>
      <c r="BB17" s="942">
        <v>3</v>
      </c>
      <c r="BC17" s="944"/>
      <c r="BD17" s="942">
        <v>72</v>
      </c>
      <c r="BE17" s="944"/>
      <c r="BF17" s="942">
        <v>60</v>
      </c>
      <c r="BG17" s="943"/>
      <c r="BH17" s="944"/>
      <c r="BI17" s="945">
        <v>132</v>
      </c>
      <c r="BJ17" s="947"/>
      <c r="BK17" s="945">
        <v>2</v>
      </c>
      <c r="BL17" s="947"/>
      <c r="BM17" s="945">
        <v>46</v>
      </c>
      <c r="BN17" s="946"/>
      <c r="BO17" s="946"/>
      <c r="BP17" s="947"/>
      <c r="BQ17" s="91">
        <v>35</v>
      </c>
      <c r="BR17" s="942">
        <v>81</v>
      </c>
      <c r="BS17" s="944"/>
      <c r="BT17" s="942">
        <v>8</v>
      </c>
      <c r="BU17" s="944"/>
      <c r="BV17" s="942">
        <v>190</v>
      </c>
      <c r="BW17" s="943"/>
      <c r="BX17" s="944"/>
      <c r="BY17" s="945">
        <v>159</v>
      </c>
      <c r="BZ17" s="947"/>
      <c r="CA17" s="942">
        <v>349</v>
      </c>
      <c r="CB17" s="943"/>
      <c r="CC17" s="944"/>
      <c r="CD17" s="942">
        <v>17</v>
      </c>
      <c r="CE17" s="943"/>
      <c r="CF17" s="944"/>
      <c r="CG17" s="945">
        <v>493</v>
      </c>
      <c r="CH17" s="946"/>
      <c r="CI17" s="947"/>
      <c r="CJ17" s="950">
        <v>398</v>
      </c>
      <c r="CK17" s="1059"/>
      <c r="CL17" s="951"/>
      <c r="CM17" s="942">
        <v>891</v>
      </c>
      <c r="CN17" s="943"/>
      <c r="CO17" s="944"/>
      <c r="CP17" s="246">
        <f t="shared" si="0"/>
        <v>90000</v>
      </c>
      <c r="CQ17" s="245"/>
      <c r="CR17" s="4"/>
      <c r="CS17" s="4"/>
      <c r="CT17" s="4"/>
      <c r="CU17" s="4"/>
    </row>
    <row r="18" spans="1:99" ht="60" customHeight="1">
      <c r="A18" s="238">
        <v>12</v>
      </c>
      <c r="B18" s="1497" t="s">
        <v>78</v>
      </c>
      <c r="C18" s="1498"/>
      <c r="D18" s="1498"/>
      <c r="E18" s="1498"/>
      <c r="F18" s="1499"/>
      <c r="G18" s="1494" t="s">
        <v>66</v>
      </c>
      <c r="H18" s="1495"/>
      <c r="I18" s="1496"/>
      <c r="J18" s="942">
        <v>7</v>
      </c>
      <c r="K18" s="944"/>
      <c r="L18" s="950">
        <v>3</v>
      </c>
      <c r="M18" s="951"/>
      <c r="N18" s="942">
        <v>113</v>
      </c>
      <c r="O18" s="944"/>
      <c r="P18" s="945">
        <v>93</v>
      </c>
      <c r="Q18" s="947"/>
      <c r="R18" s="950">
        <v>206</v>
      </c>
      <c r="S18" s="951"/>
      <c r="T18" s="942">
        <v>3</v>
      </c>
      <c r="U18" s="944"/>
      <c r="V18" s="945">
        <v>90</v>
      </c>
      <c r="W18" s="946"/>
      <c r="X18" s="947"/>
      <c r="Y18" s="945">
        <v>114</v>
      </c>
      <c r="Z18" s="947"/>
      <c r="AA18" s="950">
        <v>204</v>
      </c>
      <c r="AB18" s="951"/>
      <c r="AC18" s="942">
        <v>3</v>
      </c>
      <c r="AD18" s="944"/>
      <c r="AE18" s="950">
        <v>75</v>
      </c>
      <c r="AF18" s="951"/>
      <c r="AG18" s="945">
        <v>59</v>
      </c>
      <c r="AH18" s="947"/>
      <c r="AI18" s="950">
        <v>134</v>
      </c>
      <c r="AJ18" s="951"/>
      <c r="AK18" s="942">
        <v>9</v>
      </c>
      <c r="AL18" s="944"/>
      <c r="AM18" s="942">
        <v>278</v>
      </c>
      <c r="AN18" s="944"/>
      <c r="AO18" s="942">
        <v>266</v>
      </c>
      <c r="AP18" s="943"/>
      <c r="AQ18" s="943"/>
      <c r="AR18" s="944"/>
      <c r="AS18" s="945">
        <v>544</v>
      </c>
      <c r="AT18" s="946"/>
      <c r="AU18" s="947"/>
      <c r="AV18" s="92">
        <v>3</v>
      </c>
      <c r="AW18" s="950">
        <v>71</v>
      </c>
      <c r="AX18" s="951"/>
      <c r="AY18" s="945">
        <v>69</v>
      </c>
      <c r="AZ18" s="947"/>
      <c r="BA18" s="91">
        <v>140</v>
      </c>
      <c r="BB18" s="942">
        <v>3</v>
      </c>
      <c r="BC18" s="944"/>
      <c r="BD18" s="942">
        <v>48</v>
      </c>
      <c r="BE18" s="944"/>
      <c r="BF18" s="942">
        <v>46</v>
      </c>
      <c r="BG18" s="943"/>
      <c r="BH18" s="944"/>
      <c r="BI18" s="945">
        <v>94</v>
      </c>
      <c r="BJ18" s="947"/>
      <c r="BK18" s="945">
        <v>3</v>
      </c>
      <c r="BL18" s="947"/>
      <c r="BM18" s="945">
        <v>68</v>
      </c>
      <c r="BN18" s="946"/>
      <c r="BO18" s="946"/>
      <c r="BP18" s="947"/>
      <c r="BQ18" s="91">
        <v>47</v>
      </c>
      <c r="BR18" s="942">
        <v>115</v>
      </c>
      <c r="BS18" s="944"/>
      <c r="BT18" s="942">
        <v>9</v>
      </c>
      <c r="BU18" s="944"/>
      <c r="BV18" s="942">
        <v>187</v>
      </c>
      <c r="BW18" s="943"/>
      <c r="BX18" s="944"/>
      <c r="BY18" s="945">
        <v>162</v>
      </c>
      <c r="BZ18" s="947"/>
      <c r="CA18" s="942">
        <v>349</v>
      </c>
      <c r="CB18" s="943"/>
      <c r="CC18" s="944"/>
      <c r="CD18" s="942">
        <v>18</v>
      </c>
      <c r="CE18" s="943"/>
      <c r="CF18" s="944"/>
      <c r="CG18" s="945">
        <v>465</v>
      </c>
      <c r="CH18" s="946"/>
      <c r="CI18" s="947"/>
      <c r="CJ18" s="950">
        <v>428</v>
      </c>
      <c r="CK18" s="1059"/>
      <c r="CL18" s="951"/>
      <c r="CM18" s="942">
        <v>893</v>
      </c>
      <c r="CN18" s="943"/>
      <c r="CO18" s="944"/>
      <c r="CP18" s="246">
        <f t="shared" si="0"/>
        <v>90000</v>
      </c>
      <c r="CQ18" s="245"/>
      <c r="CR18" s="4"/>
      <c r="CS18" s="4"/>
      <c r="CT18" s="4"/>
      <c r="CU18" s="4"/>
    </row>
    <row r="19" spans="1:99" ht="65.25" customHeight="1">
      <c r="A19" s="238">
        <v>13</v>
      </c>
      <c r="B19" s="1497" t="s">
        <v>79</v>
      </c>
      <c r="C19" s="1500"/>
      <c r="D19" s="1500"/>
      <c r="E19" s="1500"/>
      <c r="F19" s="1501"/>
      <c r="G19" s="1502" t="s">
        <v>68</v>
      </c>
      <c r="H19" s="1503"/>
      <c r="I19" s="1504"/>
      <c r="J19" s="966">
        <v>1</v>
      </c>
      <c r="K19" s="968"/>
      <c r="L19" s="1073">
        <v>2</v>
      </c>
      <c r="M19" s="1075"/>
      <c r="N19" s="966">
        <v>50</v>
      </c>
      <c r="O19" s="968"/>
      <c r="P19" s="974">
        <v>33</v>
      </c>
      <c r="Q19" s="976"/>
      <c r="R19" s="1073">
        <v>83</v>
      </c>
      <c r="S19" s="1075"/>
      <c r="T19" s="966">
        <v>2</v>
      </c>
      <c r="U19" s="968"/>
      <c r="V19" s="974">
        <v>40</v>
      </c>
      <c r="W19" s="975"/>
      <c r="X19" s="976"/>
      <c r="Y19" s="974">
        <v>37</v>
      </c>
      <c r="Z19" s="976"/>
      <c r="AA19" s="1073">
        <v>77</v>
      </c>
      <c r="AB19" s="1075"/>
      <c r="AC19" s="966">
        <v>2</v>
      </c>
      <c r="AD19" s="968"/>
      <c r="AE19" s="1073">
        <v>45</v>
      </c>
      <c r="AF19" s="1075"/>
      <c r="AG19" s="974">
        <v>28</v>
      </c>
      <c r="AH19" s="976"/>
      <c r="AI19" s="1073">
        <v>73</v>
      </c>
      <c r="AJ19" s="1075"/>
      <c r="AK19" s="966">
        <v>6</v>
      </c>
      <c r="AL19" s="968"/>
      <c r="AM19" s="966">
        <v>135</v>
      </c>
      <c r="AN19" s="968"/>
      <c r="AO19" s="966">
        <v>98</v>
      </c>
      <c r="AP19" s="967"/>
      <c r="AQ19" s="967"/>
      <c r="AR19" s="968"/>
      <c r="AS19" s="974">
        <v>233</v>
      </c>
      <c r="AT19" s="975"/>
      <c r="AU19" s="976"/>
      <c r="AV19" s="108">
        <v>0</v>
      </c>
      <c r="AW19" s="1073">
        <v>0</v>
      </c>
      <c r="AX19" s="1075"/>
      <c r="AY19" s="974">
        <v>0</v>
      </c>
      <c r="AZ19" s="976"/>
      <c r="BA19" s="109">
        <v>0</v>
      </c>
      <c r="BB19" s="966">
        <v>0</v>
      </c>
      <c r="BC19" s="968"/>
      <c r="BD19" s="966">
        <v>0</v>
      </c>
      <c r="BE19" s="968"/>
      <c r="BF19" s="966">
        <v>0</v>
      </c>
      <c r="BG19" s="967"/>
      <c r="BH19" s="968"/>
      <c r="BI19" s="1070">
        <v>0</v>
      </c>
      <c r="BJ19" s="1071"/>
      <c r="BK19" s="974">
        <v>0</v>
      </c>
      <c r="BL19" s="976"/>
      <c r="BM19" s="974">
        <v>0</v>
      </c>
      <c r="BN19" s="975"/>
      <c r="BO19" s="975"/>
      <c r="BP19" s="976"/>
      <c r="BQ19" s="109">
        <v>0</v>
      </c>
      <c r="BR19" s="966">
        <v>0</v>
      </c>
      <c r="BS19" s="968"/>
      <c r="BT19" s="966">
        <v>0</v>
      </c>
      <c r="BU19" s="968"/>
      <c r="BV19" s="966">
        <v>0</v>
      </c>
      <c r="BW19" s="967"/>
      <c r="BX19" s="968"/>
      <c r="BY19" s="1070">
        <v>0</v>
      </c>
      <c r="BZ19" s="1071"/>
      <c r="CA19" s="966">
        <v>0</v>
      </c>
      <c r="CB19" s="967"/>
      <c r="CC19" s="968"/>
      <c r="CD19" s="966">
        <v>6</v>
      </c>
      <c r="CE19" s="967"/>
      <c r="CF19" s="968"/>
      <c r="CG19" s="945">
        <v>135</v>
      </c>
      <c r="CH19" s="946"/>
      <c r="CI19" s="947"/>
      <c r="CJ19" s="950">
        <v>98</v>
      </c>
      <c r="CK19" s="1059"/>
      <c r="CL19" s="951"/>
      <c r="CM19" s="942">
        <v>233</v>
      </c>
      <c r="CN19" s="943"/>
      <c r="CO19" s="944"/>
      <c r="CP19" s="246">
        <f t="shared" si="0"/>
        <v>90000</v>
      </c>
      <c r="CQ19" s="180"/>
      <c r="CR19" s="4"/>
      <c r="CS19" s="4"/>
      <c r="CT19" s="4"/>
      <c r="CU19" s="4"/>
    </row>
    <row r="20" spans="1:99" ht="26.25">
      <c r="A20" s="241"/>
      <c r="B20" s="93"/>
      <c r="C20" s="93" t="s">
        <v>421</v>
      </c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42">
        <f>SUM(CG7:CI19)</f>
        <v>6619</v>
      </c>
      <c r="CH20" s="943"/>
      <c r="CI20" s="944"/>
      <c r="CJ20" s="942">
        <f>SUM(CJ7:CL19)</f>
        <v>6725</v>
      </c>
      <c r="CK20" s="943"/>
      <c r="CL20" s="93"/>
      <c r="CM20" s="942">
        <f>SUM(CM7:CO19)</f>
        <v>13344</v>
      </c>
      <c r="CN20" s="943"/>
      <c r="CO20" s="944"/>
      <c r="CP20" s="246">
        <f>SUM(CP7:CP19)</f>
        <v>1470000</v>
      </c>
      <c r="CQ20" s="93"/>
    </row>
    <row r="21" spans="1:99" ht="31.5">
      <c r="A21" s="247" t="s">
        <v>453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74"/>
      <c r="CP21" s="248">
        <f>CM20*20</f>
        <v>266880</v>
      </c>
      <c r="CQ21" s="54"/>
      <c r="CR21" s="54"/>
      <c r="CS21" s="54"/>
      <c r="CT21" s="54"/>
      <c r="CU21" s="20">
        <f>CK20*20</f>
        <v>0</v>
      </c>
    </row>
    <row r="22" spans="1:99" ht="61.5" thickBot="1">
      <c r="A22" s="249" t="s">
        <v>454</v>
      </c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0"/>
      <c r="BK22" s="250"/>
      <c r="BL22" s="250"/>
      <c r="BM22" s="250"/>
      <c r="BN22" s="250"/>
      <c r="BO22" s="250"/>
      <c r="BP22" s="250"/>
      <c r="BQ22" s="250"/>
      <c r="BR22" s="250"/>
      <c r="BS22" s="250"/>
      <c r="BT22" s="250"/>
      <c r="BU22" s="250"/>
      <c r="BV22" s="250"/>
      <c r="BW22" s="250"/>
      <c r="BX22" s="250"/>
      <c r="BY22" s="250"/>
      <c r="BZ22" s="250"/>
      <c r="CA22" s="250"/>
      <c r="CB22" s="250"/>
      <c r="CC22" s="250"/>
      <c r="CD22" s="250"/>
      <c r="CE22" s="250"/>
      <c r="CF22" s="250"/>
      <c r="CG22" s="250"/>
      <c r="CH22" s="250"/>
      <c r="CI22" s="250"/>
      <c r="CJ22" s="250"/>
      <c r="CK22" s="250"/>
      <c r="CL22" s="250"/>
      <c r="CM22" s="250"/>
      <c r="CN22" s="250"/>
      <c r="CO22" s="250"/>
      <c r="CP22" s="251">
        <f>CP20+CP21</f>
        <v>1736880</v>
      </c>
      <c r="CQ22" s="13"/>
      <c r="CR22" s="13"/>
      <c r="CS22" s="13"/>
      <c r="CT22" s="13"/>
      <c r="CU22" s="56">
        <f>CU21+CU20</f>
        <v>0</v>
      </c>
    </row>
    <row r="23" spans="1:99" ht="42.75" customHeight="1">
      <c r="CG23" s="201">
        <f>COUNTIF(CM7:CO19, "&lt;1000")</f>
        <v>8</v>
      </c>
      <c r="CH23" s="201">
        <f>COUNTIF(CM7:CO19, "&gt;1000")</f>
        <v>5</v>
      </c>
    </row>
  </sheetData>
  <mergeCells count="523">
    <mergeCell ref="CG15:CI15"/>
    <mergeCell ref="CJ15:CL15"/>
    <mergeCell ref="CM15:CO15"/>
    <mergeCell ref="CG14:CI14"/>
    <mergeCell ref="CJ14:CL14"/>
    <mergeCell ref="CG18:CI18"/>
    <mergeCell ref="CJ18:CL18"/>
    <mergeCell ref="CM18:CO18"/>
    <mergeCell ref="CG17:CI17"/>
    <mergeCell ref="CJ17:CL17"/>
    <mergeCell ref="CM17:CO17"/>
    <mergeCell ref="CG16:CI16"/>
    <mergeCell ref="CJ16:CL16"/>
    <mergeCell ref="CM16:CO16"/>
    <mergeCell ref="CM14:CO14"/>
    <mergeCell ref="CM20:CO20"/>
    <mergeCell ref="CG20:CI20"/>
    <mergeCell ref="CJ20:CK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BI18:BJ18"/>
    <mergeCell ref="BK18:BL18"/>
    <mergeCell ref="BM18:BP18"/>
    <mergeCell ref="BR18:BS18"/>
    <mergeCell ref="BT18:BU18"/>
    <mergeCell ref="BV18:BX18"/>
    <mergeCell ref="AS18:AU18"/>
    <mergeCell ref="AW18:AX18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AY17:AZ17"/>
    <mergeCell ref="BB17:BC17"/>
    <mergeCell ref="BD17:BE17"/>
    <mergeCell ref="BF17:BH17"/>
    <mergeCell ref="AE17:AF17"/>
    <mergeCell ref="AG17:AH17"/>
    <mergeCell ref="AI17:AJ17"/>
    <mergeCell ref="AK17:AL17"/>
    <mergeCell ref="AM17:AN17"/>
    <mergeCell ref="AO17:AR17"/>
    <mergeCell ref="R17:S17"/>
    <mergeCell ref="T17:U17"/>
    <mergeCell ref="V17:X17"/>
    <mergeCell ref="Y17:Z17"/>
    <mergeCell ref="AA17:AB17"/>
    <mergeCell ref="AC17:AD17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AO15:AR15"/>
    <mergeCell ref="R15:S15"/>
    <mergeCell ref="T15:U15"/>
    <mergeCell ref="V15:X15"/>
    <mergeCell ref="Y15:Z15"/>
    <mergeCell ref="AA15:AB15"/>
    <mergeCell ref="AC15:AD15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AE14:AF14"/>
    <mergeCell ref="AG14:AH14"/>
    <mergeCell ref="AI14:AJ14"/>
    <mergeCell ref="AK14:AL14"/>
    <mergeCell ref="AM14:AN14"/>
    <mergeCell ref="AO14:AR14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F14:BH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AY13:AZ13"/>
    <mergeCell ref="BB13:BC13"/>
    <mergeCell ref="BD13:BE13"/>
    <mergeCell ref="BF13:BH13"/>
    <mergeCell ref="AE13:AF13"/>
    <mergeCell ref="AG13:AH13"/>
    <mergeCell ref="AI13:AJ13"/>
    <mergeCell ref="AK13:AL13"/>
    <mergeCell ref="AM13:AN13"/>
    <mergeCell ref="AO13:AR13"/>
    <mergeCell ref="R13:S13"/>
    <mergeCell ref="T13:U13"/>
    <mergeCell ref="V13:X13"/>
    <mergeCell ref="Y13:Z13"/>
    <mergeCell ref="AA13:AB13"/>
    <mergeCell ref="AC13:AD13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AS12:AU12"/>
    <mergeCell ref="AW12:AX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R12:S12"/>
    <mergeCell ref="T12:U12"/>
    <mergeCell ref="V12:X12"/>
    <mergeCell ref="CG12:CI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AO11:AR11"/>
    <mergeCell ref="R11:S11"/>
    <mergeCell ref="T11:U11"/>
    <mergeCell ref="V11:X11"/>
    <mergeCell ref="Y11:Z11"/>
    <mergeCell ref="AA11:AB11"/>
    <mergeCell ref="AC11:AD11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CG10:CI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AY9:AZ9"/>
    <mergeCell ref="BB9:BC9"/>
    <mergeCell ref="BD9:BE9"/>
    <mergeCell ref="BF9:BH9"/>
    <mergeCell ref="AE9:AF9"/>
    <mergeCell ref="AG9:AH9"/>
    <mergeCell ref="AI9:AJ9"/>
    <mergeCell ref="AK9:AL9"/>
    <mergeCell ref="AM9:AN9"/>
    <mergeCell ref="AO9:AR9"/>
    <mergeCell ref="R9:S9"/>
    <mergeCell ref="T9:U9"/>
    <mergeCell ref="V9:X9"/>
    <mergeCell ref="Y9:Z9"/>
    <mergeCell ref="AA9:AB9"/>
    <mergeCell ref="AC9:AD9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CG8:CI8"/>
    <mergeCell ref="CJ8:CL8"/>
    <mergeCell ref="CM8:CO8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F8:BH8"/>
    <mergeCell ref="AE8:AF8"/>
    <mergeCell ref="AG8:AH8"/>
    <mergeCell ref="AI8:AJ8"/>
    <mergeCell ref="AK8:AL8"/>
    <mergeCell ref="AM8:AN8"/>
    <mergeCell ref="AO8:AR8"/>
    <mergeCell ref="R8:S8"/>
    <mergeCell ref="T8:U8"/>
    <mergeCell ref="V8:X8"/>
    <mergeCell ref="Y8:Z8"/>
    <mergeCell ref="AA8:AB8"/>
    <mergeCell ref="AC8:AD8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AY7:AZ7"/>
    <mergeCell ref="BB7:BC7"/>
    <mergeCell ref="BD7:BE7"/>
    <mergeCell ref="BF7:BH7"/>
    <mergeCell ref="AE7:AF7"/>
    <mergeCell ref="AG7:AH7"/>
    <mergeCell ref="AI7:AJ7"/>
    <mergeCell ref="AK7:AL7"/>
    <mergeCell ref="AM7:AN7"/>
    <mergeCell ref="AO7:AR7"/>
    <mergeCell ref="R7:S7"/>
    <mergeCell ref="T7:U7"/>
    <mergeCell ref="V7:X7"/>
    <mergeCell ref="Y7:Z7"/>
    <mergeCell ref="AA7:AB7"/>
    <mergeCell ref="AC7:AD7"/>
    <mergeCell ref="B7:F7"/>
    <mergeCell ref="G7:I7"/>
    <mergeCell ref="J7:K7"/>
    <mergeCell ref="L7:M7"/>
    <mergeCell ref="N7:O7"/>
    <mergeCell ref="P7:Q7"/>
    <mergeCell ref="CG6:CI6"/>
    <mergeCell ref="CJ6:CL6"/>
    <mergeCell ref="CM6:CO6"/>
    <mergeCell ref="BI6:BJ6"/>
    <mergeCell ref="BK6:BL6"/>
    <mergeCell ref="BM6:BP6"/>
    <mergeCell ref="BR6:BS6"/>
    <mergeCell ref="BT6:BU6"/>
    <mergeCell ref="BV6:BX6"/>
    <mergeCell ref="AE6:AF6"/>
    <mergeCell ref="AG6:AH6"/>
    <mergeCell ref="AI6:AJ6"/>
    <mergeCell ref="AK6:AL6"/>
    <mergeCell ref="AM6:AN6"/>
    <mergeCell ref="AO6:AR6"/>
    <mergeCell ref="BY6:BZ6"/>
    <mergeCell ref="CA6:CC6"/>
    <mergeCell ref="CD6:CF6"/>
    <mergeCell ref="AV5:BA5"/>
    <mergeCell ref="BB5:BJ5"/>
    <mergeCell ref="BK5:BS5"/>
    <mergeCell ref="BT5:CC5"/>
    <mergeCell ref="AS6:AU6"/>
    <mergeCell ref="AW6:AX6"/>
    <mergeCell ref="AY6:AZ6"/>
    <mergeCell ref="BB6:BC6"/>
    <mergeCell ref="BD6:BE6"/>
    <mergeCell ref="BF6:BH6"/>
    <mergeCell ref="A1:CP1"/>
    <mergeCell ref="A2:CP2"/>
    <mergeCell ref="A3:CP3"/>
    <mergeCell ref="A4:CP4"/>
    <mergeCell ref="CP5:CP6"/>
    <mergeCell ref="CQ5:CQ6"/>
    <mergeCell ref="A5:A6"/>
    <mergeCell ref="B5:F6"/>
    <mergeCell ref="G5:I6"/>
    <mergeCell ref="J5:K6"/>
    <mergeCell ref="L5:S5"/>
    <mergeCell ref="T5:AB5"/>
    <mergeCell ref="CD5:CO5"/>
    <mergeCell ref="L6:M6"/>
    <mergeCell ref="N6:O6"/>
    <mergeCell ref="P6:Q6"/>
    <mergeCell ref="R6:S6"/>
    <mergeCell ref="T6:U6"/>
    <mergeCell ref="V6:X6"/>
    <mergeCell ref="Y6:Z6"/>
    <mergeCell ref="AA6:AB6"/>
    <mergeCell ref="AC6:AD6"/>
    <mergeCell ref="AC5:AJ5"/>
    <mergeCell ref="AK5:AU5"/>
  </mergeCells>
  <pageMargins left="0.7" right="0.7" top="0.75" bottom="0.75" header="0.3" footer="0.3"/>
  <pageSetup paperSize="9" scale="42" orientation="landscape" r:id="rId1"/>
  <colBreaks count="2" manualBreakCount="2">
    <brk id="94" max="21" man="1"/>
    <brk id="9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view="pageBreakPreview" topLeftCell="A16" zoomScale="60" workbookViewId="0">
      <selection activeCell="I24" sqref="I24"/>
    </sheetView>
  </sheetViews>
  <sheetFormatPr defaultRowHeight="15"/>
  <cols>
    <col min="1" max="1" width="4.6640625" style="355" customWidth="1"/>
    <col min="2" max="2" width="9.33203125" style="355" customWidth="1"/>
    <col min="3" max="3" width="65.1640625" style="355" customWidth="1"/>
    <col min="4" max="16384" width="9.33203125" style="355"/>
  </cols>
  <sheetData>
    <row r="1" spans="1:3" s="357" customFormat="1" ht="31.5" customHeight="1">
      <c r="A1" s="357" t="s">
        <v>559</v>
      </c>
    </row>
    <row r="2" spans="1:3" s="357" customFormat="1" ht="31.5" customHeight="1"/>
    <row r="3" spans="1:3" s="357" customFormat="1" ht="31.5" customHeight="1"/>
    <row r="4" spans="1:3" s="357" customFormat="1" ht="31.5" customHeight="1" thickBot="1">
      <c r="A4" s="357" t="s">
        <v>562</v>
      </c>
    </row>
    <row r="5" spans="1:3" s="358" customFormat="1" ht="45" customHeight="1">
      <c r="B5" s="1505" t="s">
        <v>0</v>
      </c>
      <c r="C5" s="1508" t="s">
        <v>551</v>
      </c>
    </row>
    <row r="6" spans="1:3" s="358" customFormat="1" ht="45" customHeight="1">
      <c r="B6" s="1506"/>
      <c r="C6" s="1509"/>
    </row>
    <row r="7" spans="1:3" s="358" customFormat="1" ht="45" customHeight="1" thickBot="1">
      <c r="B7" s="1507"/>
      <c r="C7" s="1510"/>
    </row>
    <row r="8" spans="1:3" s="358" customFormat="1" ht="45" customHeight="1">
      <c r="B8" s="359">
        <v>1</v>
      </c>
      <c r="C8" s="360" t="s">
        <v>160</v>
      </c>
    </row>
    <row r="9" spans="1:3" s="358" customFormat="1" ht="45" customHeight="1">
      <c r="B9" s="362">
        <v>2</v>
      </c>
      <c r="C9" s="363" t="s">
        <v>162</v>
      </c>
    </row>
    <row r="10" spans="1:3" s="358" customFormat="1" ht="45" customHeight="1">
      <c r="B10" s="362">
        <v>3</v>
      </c>
      <c r="C10" s="365" t="s">
        <v>163</v>
      </c>
    </row>
    <row r="11" spans="1:3" s="358" customFormat="1" ht="45" customHeight="1">
      <c r="B11" s="362">
        <v>4</v>
      </c>
      <c r="C11" s="363" t="s">
        <v>164</v>
      </c>
    </row>
    <row r="12" spans="1:3" s="358" customFormat="1" ht="45" customHeight="1">
      <c r="B12" s="362">
        <v>5</v>
      </c>
      <c r="C12" s="365" t="s">
        <v>165</v>
      </c>
    </row>
    <row r="13" spans="1:3" s="358" customFormat="1" ht="45" customHeight="1">
      <c r="B13" s="362">
        <v>6</v>
      </c>
      <c r="C13" s="365" t="s">
        <v>166</v>
      </c>
    </row>
    <row r="14" spans="1:3" s="358" customFormat="1" ht="45" customHeight="1" thickBot="1">
      <c r="B14" s="362">
        <v>7</v>
      </c>
      <c r="C14" s="366" t="s">
        <v>167</v>
      </c>
    </row>
    <row r="15" spans="1:3" s="358" customFormat="1" ht="45" customHeight="1">
      <c r="B15" s="362">
        <v>8</v>
      </c>
      <c r="C15" s="367" t="s">
        <v>168</v>
      </c>
    </row>
    <row r="16" spans="1:3" s="358" customFormat="1" ht="45" customHeight="1">
      <c r="B16" s="362">
        <v>9</v>
      </c>
      <c r="C16" s="363" t="s">
        <v>169</v>
      </c>
    </row>
    <row r="17" spans="2:3" s="358" customFormat="1" ht="45" customHeight="1">
      <c r="B17" s="362">
        <v>10</v>
      </c>
      <c r="C17" s="365" t="s">
        <v>170</v>
      </c>
    </row>
    <row r="18" spans="2:3" s="358" customFormat="1" ht="45" customHeight="1">
      <c r="B18" s="362">
        <v>11</v>
      </c>
      <c r="C18" s="363" t="s">
        <v>171</v>
      </c>
    </row>
    <row r="19" spans="2:3" s="358" customFormat="1" ht="45" customHeight="1">
      <c r="B19" s="362">
        <v>12</v>
      </c>
      <c r="C19" s="365" t="s">
        <v>172</v>
      </c>
    </row>
    <row r="20" spans="2:3" s="358" customFormat="1" ht="45" customHeight="1">
      <c r="B20" s="362">
        <v>13</v>
      </c>
      <c r="C20" s="365" t="s">
        <v>173</v>
      </c>
    </row>
    <row r="21" spans="2:3" s="358" customFormat="1" ht="45" customHeight="1" thickBot="1">
      <c r="B21" s="362">
        <v>14</v>
      </c>
      <c r="C21" s="368" t="s">
        <v>174</v>
      </c>
    </row>
    <row r="22" spans="2:3" s="358" customFormat="1" ht="45" customHeight="1">
      <c r="B22" s="362">
        <v>15</v>
      </c>
      <c r="C22" s="369" t="s">
        <v>175</v>
      </c>
    </row>
    <row r="23" spans="2:3" s="358" customFormat="1" ht="45" customHeight="1">
      <c r="B23" s="362">
        <v>16</v>
      </c>
      <c r="C23" s="370" t="s">
        <v>176</v>
      </c>
    </row>
    <row r="24" spans="2:3" s="358" customFormat="1" ht="45" customHeight="1">
      <c r="B24" s="362">
        <v>17</v>
      </c>
      <c r="C24" s="371" t="s">
        <v>177</v>
      </c>
    </row>
    <row r="25" spans="2:3" s="358" customFormat="1" ht="45" customHeight="1" thickBot="1">
      <c r="B25" s="362">
        <v>18</v>
      </c>
      <c r="C25" s="372" t="s">
        <v>178</v>
      </c>
    </row>
    <row r="26" spans="2:3" s="357" customFormat="1" ht="45" customHeight="1">
      <c r="B26" s="356"/>
      <c r="C26" s="373" t="s">
        <v>421</v>
      </c>
    </row>
    <row r="27" spans="2:3" ht="58.5" customHeight="1">
      <c r="B27" s="355">
        <f>COUNTA(B8:B25)</f>
        <v>18</v>
      </c>
      <c r="C27" s="557"/>
    </row>
  </sheetData>
  <mergeCells count="2">
    <mergeCell ref="B5:B7"/>
    <mergeCell ref="C5:C7"/>
  </mergeCells>
  <printOptions horizontalCentered="1" verticalCentered="1"/>
  <pageMargins left="0.7" right="0.7" top="0.75" bottom="0.75" header="0.3" footer="0.3"/>
  <pageSetup paperSize="9" scale="5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7"/>
  <sheetViews>
    <sheetView view="pageBreakPreview" topLeftCell="B8" zoomScale="75" zoomScaleSheetLayoutView="75" workbookViewId="0">
      <selection activeCell="B25" sqref="A25:XFD25"/>
    </sheetView>
  </sheetViews>
  <sheetFormatPr defaultRowHeight="15.75"/>
  <cols>
    <col min="1" max="1" width="9.33203125" style="35"/>
    <col min="2" max="2" width="122.6640625" style="35" customWidth="1"/>
    <col min="3" max="3" width="9.1640625" style="35" hidden="1" customWidth="1"/>
    <col min="4" max="79" width="0" style="35" hidden="1" customWidth="1"/>
    <col min="80" max="80" width="13" style="35" hidden="1" customWidth="1"/>
    <col min="81" max="82" width="0" style="35" hidden="1" customWidth="1"/>
    <col min="83" max="83" width="21.5" style="196" customWidth="1"/>
    <col min="84" max="84" width="18" style="196" customWidth="1"/>
    <col min="85" max="85" width="14.83203125" style="196" customWidth="1"/>
    <col min="86" max="86" width="20.5" style="196" customWidth="1"/>
    <col min="87" max="87" width="12.6640625" style="35" customWidth="1"/>
    <col min="88" max="89" width="9.33203125" style="35" hidden="1" customWidth="1"/>
    <col min="90" max="90" width="16.5" style="35" hidden="1" customWidth="1"/>
    <col min="91" max="91" width="0" style="35" hidden="1" customWidth="1"/>
    <col min="92" max="92" width="39.5" style="35" customWidth="1"/>
    <col min="93" max="104" width="0" style="35" hidden="1" customWidth="1"/>
    <col min="105" max="105" width="37" style="35" customWidth="1"/>
    <col min="106" max="16384" width="9.33203125" style="35"/>
  </cols>
  <sheetData>
    <row r="1" spans="1:110" ht="27.75">
      <c r="A1" s="1511" t="s">
        <v>409</v>
      </c>
      <c r="B1" s="1512"/>
      <c r="C1" s="1512"/>
      <c r="D1" s="1512"/>
      <c r="E1" s="1512"/>
      <c r="F1" s="1512"/>
      <c r="G1" s="1512"/>
      <c r="H1" s="1512"/>
      <c r="I1" s="1512"/>
      <c r="J1" s="1512"/>
      <c r="K1" s="1512"/>
      <c r="L1" s="1512"/>
      <c r="M1" s="1512"/>
      <c r="N1" s="1512"/>
      <c r="O1" s="1512"/>
      <c r="P1" s="1512"/>
      <c r="Q1" s="1512"/>
      <c r="R1" s="1512"/>
      <c r="S1" s="1512"/>
      <c r="T1" s="1512"/>
      <c r="U1" s="1512"/>
      <c r="V1" s="1512"/>
      <c r="W1" s="1512"/>
      <c r="X1" s="1512"/>
      <c r="Y1" s="1512"/>
      <c r="Z1" s="1512"/>
      <c r="AA1" s="1512"/>
      <c r="AB1" s="1512"/>
      <c r="AC1" s="1512"/>
      <c r="AD1" s="1512"/>
      <c r="AE1" s="1512"/>
      <c r="AF1" s="1512"/>
      <c r="AG1" s="1512"/>
      <c r="AH1" s="1512"/>
      <c r="AI1" s="1512"/>
      <c r="AJ1" s="1512"/>
      <c r="AK1" s="1512"/>
      <c r="AL1" s="1512"/>
      <c r="AM1" s="1512"/>
      <c r="AN1" s="1512"/>
      <c r="AO1" s="1512"/>
      <c r="AP1" s="1512"/>
      <c r="AQ1" s="1512"/>
      <c r="AR1" s="1512"/>
      <c r="AS1" s="1512"/>
      <c r="AT1" s="1512"/>
      <c r="AU1" s="1512"/>
      <c r="AV1" s="1512"/>
      <c r="AW1" s="1512"/>
      <c r="AX1" s="1512"/>
      <c r="AY1" s="1512"/>
      <c r="AZ1" s="1512"/>
      <c r="BA1" s="1512"/>
      <c r="BB1" s="1512"/>
      <c r="BC1" s="1512"/>
      <c r="BD1" s="1512"/>
      <c r="BE1" s="1512"/>
      <c r="BF1" s="1512"/>
      <c r="BG1" s="1512"/>
      <c r="BH1" s="1512"/>
      <c r="BI1" s="1512"/>
      <c r="BJ1" s="1512"/>
      <c r="BK1" s="1512"/>
      <c r="BL1" s="1512"/>
      <c r="BM1" s="1512"/>
      <c r="BN1" s="1512"/>
      <c r="BO1" s="1512"/>
      <c r="BP1" s="1512"/>
      <c r="BQ1" s="1512"/>
      <c r="BR1" s="1512"/>
      <c r="BS1" s="1512"/>
      <c r="BT1" s="1512"/>
      <c r="BU1" s="1512"/>
      <c r="BV1" s="1512"/>
      <c r="BW1" s="1512"/>
      <c r="BX1" s="1512"/>
      <c r="BY1" s="1512"/>
      <c r="BZ1" s="1512"/>
      <c r="CA1" s="1512"/>
      <c r="CB1" s="1512"/>
      <c r="CC1" s="1512"/>
      <c r="CD1" s="1512"/>
      <c r="CE1" s="1512"/>
      <c r="CF1" s="1512"/>
      <c r="CG1" s="1512"/>
      <c r="CH1" s="1512"/>
      <c r="CI1" s="1512"/>
      <c r="CJ1" s="1512"/>
      <c r="CK1" s="1512"/>
      <c r="CL1" s="1512"/>
      <c r="CM1" s="1512"/>
      <c r="CN1" s="1512"/>
      <c r="CO1" s="1512"/>
      <c r="CP1" s="1512"/>
      <c r="CQ1" s="1512"/>
      <c r="CR1" s="1512"/>
      <c r="CS1" s="1512"/>
      <c r="CT1" s="1512"/>
      <c r="CU1" s="1512"/>
      <c r="CV1" s="1512"/>
      <c r="CW1" s="1512"/>
      <c r="CX1" s="1512"/>
      <c r="CY1" s="1512"/>
      <c r="CZ1" s="1512"/>
      <c r="DA1" s="1513"/>
      <c r="DB1" s="189"/>
      <c r="DC1" s="189"/>
      <c r="DD1" s="189"/>
      <c r="DE1" s="189"/>
      <c r="DF1" s="190"/>
    </row>
    <row r="2" spans="1:110" ht="27.75" customHeight="1">
      <c r="A2" s="1514" t="s">
        <v>522</v>
      </c>
      <c r="B2" s="1515"/>
      <c r="C2" s="1515"/>
      <c r="D2" s="1515"/>
      <c r="E2" s="1515"/>
      <c r="F2" s="1515"/>
      <c r="G2" s="1515"/>
      <c r="H2" s="1515"/>
      <c r="I2" s="1515"/>
      <c r="J2" s="1515"/>
      <c r="K2" s="1515"/>
      <c r="L2" s="1515"/>
      <c r="M2" s="1515"/>
      <c r="N2" s="1515"/>
      <c r="O2" s="1515"/>
      <c r="P2" s="1515"/>
      <c r="Q2" s="1515"/>
      <c r="R2" s="1515"/>
      <c r="S2" s="1515"/>
      <c r="T2" s="1515"/>
      <c r="U2" s="1515"/>
      <c r="V2" s="1515"/>
      <c r="W2" s="1515"/>
      <c r="X2" s="1515"/>
      <c r="Y2" s="1515"/>
      <c r="Z2" s="1515"/>
      <c r="AA2" s="1515"/>
      <c r="AB2" s="1515"/>
      <c r="AC2" s="1515"/>
      <c r="AD2" s="1515"/>
      <c r="AE2" s="1515"/>
      <c r="AF2" s="1515"/>
      <c r="AG2" s="1515"/>
      <c r="AH2" s="1515"/>
      <c r="AI2" s="1515"/>
      <c r="AJ2" s="1515"/>
      <c r="AK2" s="1515"/>
      <c r="AL2" s="1515"/>
      <c r="AM2" s="1515"/>
      <c r="AN2" s="1515"/>
      <c r="AO2" s="1515"/>
      <c r="AP2" s="1515"/>
      <c r="AQ2" s="1515"/>
      <c r="AR2" s="1515"/>
      <c r="AS2" s="1515"/>
      <c r="AT2" s="1515"/>
      <c r="AU2" s="1515"/>
      <c r="AV2" s="1515"/>
      <c r="AW2" s="1515"/>
      <c r="AX2" s="1515"/>
      <c r="AY2" s="1515"/>
      <c r="AZ2" s="1515"/>
      <c r="BA2" s="1515"/>
      <c r="BB2" s="1515"/>
      <c r="BC2" s="1515"/>
      <c r="BD2" s="1515"/>
      <c r="BE2" s="1515"/>
      <c r="BF2" s="1515"/>
      <c r="BG2" s="1515"/>
      <c r="BH2" s="1515"/>
      <c r="BI2" s="1515"/>
      <c r="BJ2" s="1515"/>
      <c r="BK2" s="1515"/>
      <c r="BL2" s="1515"/>
      <c r="BM2" s="1515"/>
      <c r="BN2" s="1515"/>
      <c r="BO2" s="1515"/>
      <c r="BP2" s="1515"/>
      <c r="BQ2" s="1515"/>
      <c r="BR2" s="1515"/>
      <c r="BS2" s="1515"/>
      <c r="BT2" s="1515"/>
      <c r="BU2" s="1515"/>
      <c r="BV2" s="1515"/>
      <c r="BW2" s="1515"/>
      <c r="BX2" s="1515"/>
      <c r="BY2" s="1515"/>
      <c r="BZ2" s="1515"/>
      <c r="CA2" s="1515"/>
      <c r="CB2" s="1515"/>
      <c r="CC2" s="1515"/>
      <c r="CD2" s="1515"/>
      <c r="CE2" s="1515"/>
      <c r="CF2" s="1515"/>
      <c r="CG2" s="1515"/>
      <c r="CH2" s="1515"/>
      <c r="CI2" s="1515"/>
      <c r="CJ2" s="1515"/>
      <c r="CK2" s="1515"/>
      <c r="CL2" s="1515"/>
      <c r="CM2" s="1515"/>
      <c r="CN2" s="1515"/>
      <c r="CO2" s="1515"/>
      <c r="CP2" s="1515"/>
      <c r="CQ2" s="1515"/>
      <c r="CR2" s="1515"/>
      <c r="CS2" s="1515"/>
      <c r="CT2" s="1515"/>
      <c r="CU2" s="1515"/>
      <c r="CV2" s="1515"/>
      <c r="CW2" s="1515"/>
      <c r="CX2" s="1515"/>
      <c r="CY2" s="1515"/>
      <c r="CZ2" s="1515"/>
      <c r="DA2" s="1516"/>
      <c r="DB2" s="191"/>
      <c r="DC2" s="191"/>
      <c r="DD2" s="191"/>
      <c r="DE2" s="191"/>
      <c r="DF2" s="192"/>
    </row>
    <row r="3" spans="1:110" ht="27.75" customHeight="1">
      <c r="A3" s="1514" t="s">
        <v>523</v>
      </c>
      <c r="B3" s="1515"/>
      <c r="C3" s="1515"/>
      <c r="D3" s="1515"/>
      <c r="E3" s="1515"/>
      <c r="F3" s="1515"/>
      <c r="G3" s="1515"/>
      <c r="H3" s="1515"/>
      <c r="I3" s="1515"/>
      <c r="J3" s="1515"/>
      <c r="K3" s="1515"/>
      <c r="L3" s="1515"/>
      <c r="M3" s="1515"/>
      <c r="N3" s="1515"/>
      <c r="O3" s="1515"/>
      <c r="P3" s="1515"/>
      <c r="Q3" s="1515"/>
      <c r="R3" s="1515"/>
      <c r="S3" s="1515"/>
      <c r="T3" s="1515"/>
      <c r="U3" s="1515"/>
      <c r="V3" s="1515"/>
      <c r="W3" s="1515"/>
      <c r="X3" s="1515"/>
      <c r="Y3" s="1515"/>
      <c r="Z3" s="1515"/>
      <c r="AA3" s="1515"/>
      <c r="AB3" s="1515"/>
      <c r="AC3" s="1515"/>
      <c r="AD3" s="1515"/>
      <c r="AE3" s="1515"/>
      <c r="AF3" s="1515"/>
      <c r="AG3" s="1515"/>
      <c r="AH3" s="1515"/>
      <c r="AI3" s="1515"/>
      <c r="AJ3" s="1515"/>
      <c r="AK3" s="1515"/>
      <c r="AL3" s="1515"/>
      <c r="AM3" s="1515"/>
      <c r="AN3" s="1515"/>
      <c r="AO3" s="1515"/>
      <c r="AP3" s="1515"/>
      <c r="AQ3" s="1515"/>
      <c r="AR3" s="1515"/>
      <c r="AS3" s="1515"/>
      <c r="AT3" s="1515"/>
      <c r="AU3" s="1515"/>
      <c r="AV3" s="1515"/>
      <c r="AW3" s="1515"/>
      <c r="AX3" s="1515"/>
      <c r="AY3" s="1515"/>
      <c r="AZ3" s="1515"/>
      <c r="BA3" s="1515"/>
      <c r="BB3" s="1515"/>
      <c r="BC3" s="1515"/>
      <c r="BD3" s="1515"/>
      <c r="BE3" s="1515"/>
      <c r="BF3" s="1515"/>
      <c r="BG3" s="1515"/>
      <c r="BH3" s="1515"/>
      <c r="BI3" s="1515"/>
      <c r="BJ3" s="1515"/>
      <c r="BK3" s="1515"/>
      <c r="BL3" s="1515"/>
      <c r="BM3" s="1515"/>
      <c r="BN3" s="1515"/>
      <c r="BO3" s="1515"/>
      <c r="BP3" s="1515"/>
      <c r="BQ3" s="1515"/>
      <c r="BR3" s="1515"/>
      <c r="BS3" s="1515"/>
      <c r="BT3" s="1515"/>
      <c r="BU3" s="1515"/>
      <c r="BV3" s="1515"/>
      <c r="BW3" s="1515"/>
      <c r="BX3" s="1515"/>
      <c r="BY3" s="1515"/>
      <c r="BZ3" s="1515"/>
      <c r="CA3" s="1515"/>
      <c r="CB3" s="1515"/>
      <c r="CC3" s="1515"/>
      <c r="CD3" s="1515"/>
      <c r="CE3" s="1515"/>
      <c r="CF3" s="1515"/>
      <c r="CG3" s="1515"/>
      <c r="CH3" s="1515"/>
      <c r="CI3" s="1515"/>
      <c r="CJ3" s="1515"/>
      <c r="CK3" s="1515"/>
      <c r="CL3" s="1515"/>
      <c r="CM3" s="1515"/>
      <c r="CN3" s="1515"/>
      <c r="CO3" s="1515"/>
      <c r="CP3" s="1515"/>
      <c r="CQ3" s="1515"/>
      <c r="CR3" s="1515"/>
      <c r="CS3" s="1515"/>
      <c r="CT3" s="1515"/>
      <c r="CU3" s="1515"/>
      <c r="CV3" s="1515"/>
      <c r="CW3" s="1515"/>
      <c r="CX3" s="1515"/>
      <c r="CY3" s="1515"/>
      <c r="CZ3" s="1515"/>
      <c r="DA3" s="1516"/>
      <c r="DB3" s="191"/>
      <c r="DC3" s="191"/>
      <c r="DD3" s="191"/>
      <c r="DE3" s="191"/>
      <c r="DF3" s="192"/>
    </row>
    <row r="4" spans="1:110" ht="27.75">
      <c r="A4" s="1517" t="s">
        <v>18</v>
      </c>
      <c r="B4" s="1518"/>
      <c r="C4" s="1518"/>
      <c r="D4" s="1518"/>
      <c r="E4" s="1518"/>
      <c r="F4" s="1518"/>
      <c r="G4" s="1518"/>
      <c r="H4" s="1518"/>
      <c r="I4" s="1518"/>
      <c r="J4" s="1518"/>
      <c r="K4" s="1518"/>
      <c r="L4" s="1518"/>
      <c r="M4" s="1518"/>
      <c r="N4" s="1518"/>
      <c r="O4" s="1518"/>
      <c r="P4" s="1518"/>
      <c r="Q4" s="1518"/>
      <c r="R4" s="1518"/>
      <c r="S4" s="1518"/>
      <c r="T4" s="1518"/>
      <c r="U4" s="1518"/>
      <c r="V4" s="1518"/>
      <c r="W4" s="1518"/>
      <c r="X4" s="1518"/>
      <c r="Y4" s="1518"/>
      <c r="Z4" s="1518"/>
      <c r="AA4" s="1518"/>
      <c r="AB4" s="1518"/>
      <c r="AC4" s="1518"/>
      <c r="AD4" s="1518"/>
      <c r="AE4" s="1518"/>
      <c r="AF4" s="1518"/>
      <c r="AG4" s="1518"/>
      <c r="AH4" s="1518"/>
      <c r="AI4" s="1518"/>
      <c r="AJ4" s="1518"/>
      <c r="AK4" s="1518"/>
      <c r="AL4" s="1518"/>
      <c r="AM4" s="1518"/>
      <c r="AN4" s="1518"/>
      <c r="AO4" s="1518"/>
      <c r="AP4" s="1518"/>
      <c r="AQ4" s="1518"/>
      <c r="AR4" s="1518"/>
      <c r="AS4" s="1518"/>
      <c r="AT4" s="1518"/>
      <c r="AU4" s="1518"/>
      <c r="AV4" s="1518"/>
      <c r="AW4" s="1518"/>
      <c r="AX4" s="1518"/>
      <c r="AY4" s="1518"/>
      <c r="AZ4" s="1518"/>
      <c r="BA4" s="1518"/>
      <c r="BB4" s="1518"/>
      <c r="BC4" s="1518"/>
      <c r="BD4" s="1518"/>
      <c r="BE4" s="1518"/>
      <c r="BF4" s="1518"/>
      <c r="BG4" s="1518"/>
      <c r="BH4" s="1518"/>
      <c r="BI4" s="1518"/>
      <c r="BJ4" s="1518"/>
      <c r="BK4" s="1518"/>
      <c r="BL4" s="1518"/>
      <c r="BM4" s="1518"/>
      <c r="BN4" s="1518"/>
      <c r="BO4" s="1518"/>
      <c r="BP4" s="1518"/>
      <c r="BQ4" s="1518"/>
      <c r="BR4" s="1518"/>
      <c r="BS4" s="1518"/>
      <c r="BT4" s="1518"/>
      <c r="BU4" s="1518"/>
      <c r="BV4" s="1518"/>
      <c r="BW4" s="1518"/>
      <c r="BX4" s="1518"/>
      <c r="BY4" s="1518"/>
      <c r="BZ4" s="1518"/>
      <c r="CA4" s="1518"/>
      <c r="CB4" s="1518"/>
      <c r="CC4" s="1518"/>
      <c r="CD4" s="1518"/>
      <c r="CE4" s="1518"/>
      <c r="CF4" s="1518"/>
      <c r="CG4" s="1518"/>
      <c r="CH4" s="1518"/>
      <c r="CI4" s="1518"/>
      <c r="CJ4" s="1518"/>
      <c r="CK4" s="1518"/>
      <c r="CL4" s="1518"/>
      <c r="CM4" s="1518"/>
      <c r="CN4" s="1518"/>
      <c r="CO4" s="1518"/>
      <c r="CP4" s="1518"/>
      <c r="CQ4" s="1518"/>
      <c r="CR4" s="1518"/>
      <c r="CS4" s="1518"/>
      <c r="CT4" s="1518"/>
      <c r="CU4" s="1518"/>
      <c r="CV4" s="1518"/>
      <c r="CW4" s="1518"/>
      <c r="CX4" s="1518"/>
      <c r="CY4" s="1518"/>
      <c r="CZ4" s="1518"/>
      <c r="DA4" s="1519"/>
      <c r="DB4" s="189"/>
      <c r="DC4" s="189"/>
      <c r="DD4" s="189"/>
      <c r="DE4" s="189"/>
      <c r="DF4" s="190"/>
    </row>
    <row r="5" spans="1:110" s="36" customFormat="1" ht="69.75" customHeight="1">
      <c r="A5" s="270"/>
      <c r="B5" s="354"/>
      <c r="C5" s="1563"/>
      <c r="D5" s="1564"/>
      <c r="E5" s="1565"/>
      <c r="F5" s="73"/>
      <c r="G5" s="1561" t="s">
        <v>8</v>
      </c>
      <c r="H5" s="1562"/>
      <c r="I5" s="1561" t="s">
        <v>9</v>
      </c>
      <c r="J5" s="1562"/>
      <c r="K5" s="1561" t="s">
        <v>10</v>
      </c>
      <c r="L5" s="1566"/>
      <c r="M5" s="1562"/>
      <c r="N5" s="1567" t="s">
        <v>11</v>
      </c>
      <c r="O5" s="1568"/>
      <c r="P5" s="1567" t="s">
        <v>8</v>
      </c>
      <c r="Q5" s="1568"/>
      <c r="R5" s="1561" t="s">
        <v>9</v>
      </c>
      <c r="S5" s="1566"/>
      <c r="T5" s="1566"/>
      <c r="U5" s="1562"/>
      <c r="V5" s="1569" t="s">
        <v>10</v>
      </c>
      <c r="W5" s="1570"/>
      <c r="X5" s="1571"/>
      <c r="Y5" s="1561" t="s">
        <v>11</v>
      </c>
      <c r="Z5" s="1562"/>
      <c r="AA5" s="1561" t="s">
        <v>8</v>
      </c>
      <c r="AB5" s="1562"/>
      <c r="AC5" s="1578" t="s">
        <v>9</v>
      </c>
      <c r="AD5" s="1579"/>
      <c r="AE5" s="1580"/>
      <c r="AF5" s="1578" t="s">
        <v>10</v>
      </c>
      <c r="AG5" s="1580"/>
      <c r="AH5" s="1559" t="s">
        <v>11</v>
      </c>
      <c r="AI5" s="1560"/>
      <c r="AJ5" s="5" t="s">
        <v>8</v>
      </c>
      <c r="AK5" s="1561" t="s">
        <v>9</v>
      </c>
      <c r="AL5" s="1566"/>
      <c r="AM5" s="1562"/>
      <c r="AN5" s="1561" t="s">
        <v>10</v>
      </c>
      <c r="AO5" s="1566"/>
      <c r="AP5" s="1562"/>
      <c r="AQ5" s="1559" t="s">
        <v>11</v>
      </c>
      <c r="AR5" s="1560"/>
      <c r="AS5" s="1561" t="s">
        <v>8</v>
      </c>
      <c r="AT5" s="1562"/>
      <c r="AU5" s="1559" t="s">
        <v>9</v>
      </c>
      <c r="AV5" s="1560"/>
      <c r="AW5" s="1561" t="s">
        <v>10</v>
      </c>
      <c r="AX5" s="1562"/>
      <c r="AY5" s="5" t="s">
        <v>11</v>
      </c>
      <c r="AZ5" s="1561" t="s">
        <v>8</v>
      </c>
      <c r="BA5" s="1562"/>
      <c r="BB5" s="1561" t="s">
        <v>9</v>
      </c>
      <c r="BC5" s="1566"/>
      <c r="BD5" s="1566"/>
      <c r="BE5" s="1562"/>
      <c r="BF5" s="1578" t="s">
        <v>10</v>
      </c>
      <c r="BG5" s="1580"/>
      <c r="BH5" s="1561" t="s">
        <v>11</v>
      </c>
      <c r="BI5" s="1562"/>
      <c r="BJ5" s="1561" t="s">
        <v>8</v>
      </c>
      <c r="BK5" s="1566"/>
      <c r="BL5" s="1566"/>
      <c r="BM5" s="1562"/>
      <c r="BN5" s="5" t="s">
        <v>9</v>
      </c>
      <c r="BO5" s="1578" t="s">
        <v>10</v>
      </c>
      <c r="BP5" s="1579"/>
      <c r="BQ5" s="1580"/>
      <c r="BR5" s="6" t="s">
        <v>11</v>
      </c>
      <c r="BS5" s="1561" t="s">
        <v>8</v>
      </c>
      <c r="BT5" s="1566"/>
      <c r="BU5" s="1562"/>
      <c r="BV5" s="1561" t="s">
        <v>9</v>
      </c>
      <c r="BW5" s="1562"/>
      <c r="BX5" s="1561" t="s">
        <v>10</v>
      </c>
      <c r="BY5" s="1566"/>
      <c r="BZ5" s="1562"/>
      <c r="CA5" s="1559" t="s">
        <v>11</v>
      </c>
      <c r="CB5" s="1560"/>
      <c r="CC5" s="1561" t="s">
        <v>8</v>
      </c>
      <c r="CD5" s="1562"/>
      <c r="CE5" s="375" t="s">
        <v>563</v>
      </c>
      <c r="CF5" s="382" t="s">
        <v>564</v>
      </c>
      <c r="CG5" s="382" t="s">
        <v>565</v>
      </c>
      <c r="CH5" s="376" t="s">
        <v>9</v>
      </c>
      <c r="CI5" s="377" t="s">
        <v>10</v>
      </c>
      <c r="CJ5" s="378"/>
      <c r="CK5" s="379"/>
      <c r="CL5" s="380"/>
      <c r="CM5" s="381" t="s">
        <v>11</v>
      </c>
      <c r="CN5" s="378" t="s">
        <v>11</v>
      </c>
      <c r="CO5" s="1561" t="s">
        <v>9</v>
      </c>
      <c r="CP5" s="1566"/>
      <c r="CQ5" s="1566"/>
      <c r="CR5" s="1562"/>
      <c r="CS5" s="1567" t="s">
        <v>10</v>
      </c>
      <c r="CT5" s="1568"/>
      <c r="CU5" s="1561" t="s">
        <v>11</v>
      </c>
      <c r="CV5" s="1562"/>
      <c r="CW5" s="1576"/>
      <c r="CX5" s="1577"/>
      <c r="CY5" s="1577"/>
      <c r="CZ5" s="1577"/>
      <c r="DA5" s="271" t="s">
        <v>545</v>
      </c>
    </row>
    <row r="6" spans="1:110" s="36" customFormat="1" ht="24.95" customHeight="1">
      <c r="A6" s="238">
        <v>1</v>
      </c>
      <c r="B6" s="360" t="s">
        <v>160</v>
      </c>
      <c r="C6" s="1532" t="s">
        <v>161</v>
      </c>
      <c r="D6" s="1533"/>
      <c r="E6" s="1534"/>
      <c r="F6" s="91">
        <v>5</v>
      </c>
      <c r="G6" s="1521">
        <v>4</v>
      </c>
      <c r="H6" s="1522"/>
      <c r="I6" s="1521">
        <v>187</v>
      </c>
      <c r="J6" s="1522"/>
      <c r="K6" s="1521">
        <v>178</v>
      </c>
      <c r="L6" s="1531"/>
      <c r="M6" s="1522"/>
      <c r="N6" s="945">
        <v>365</v>
      </c>
      <c r="O6" s="947"/>
      <c r="P6" s="1525">
        <v>4</v>
      </c>
      <c r="Q6" s="1527"/>
      <c r="R6" s="1521">
        <v>110</v>
      </c>
      <c r="S6" s="1531"/>
      <c r="T6" s="1531"/>
      <c r="U6" s="1522"/>
      <c r="V6" s="1523">
        <v>150</v>
      </c>
      <c r="W6" s="1558"/>
      <c r="X6" s="1524"/>
      <c r="Y6" s="942">
        <v>260</v>
      </c>
      <c r="Z6" s="944"/>
      <c r="AA6" s="1521">
        <v>4</v>
      </c>
      <c r="AB6" s="1522"/>
      <c r="AC6" s="1525">
        <v>132</v>
      </c>
      <c r="AD6" s="1526"/>
      <c r="AE6" s="1527"/>
      <c r="AF6" s="1525">
        <v>169</v>
      </c>
      <c r="AG6" s="1527"/>
      <c r="AH6" s="950">
        <v>301</v>
      </c>
      <c r="AI6" s="951"/>
      <c r="AJ6" s="91">
        <v>12</v>
      </c>
      <c r="AK6" s="942">
        <v>429</v>
      </c>
      <c r="AL6" s="943"/>
      <c r="AM6" s="944"/>
      <c r="AN6" s="942">
        <v>497</v>
      </c>
      <c r="AO6" s="943"/>
      <c r="AP6" s="944"/>
      <c r="AQ6" s="950">
        <v>926</v>
      </c>
      <c r="AR6" s="951"/>
      <c r="AS6" s="1521">
        <v>0</v>
      </c>
      <c r="AT6" s="1522"/>
      <c r="AU6" s="1523">
        <v>0</v>
      </c>
      <c r="AV6" s="1524"/>
      <c r="AW6" s="1521">
        <v>0</v>
      </c>
      <c r="AX6" s="1522"/>
      <c r="AY6" s="91">
        <v>0</v>
      </c>
      <c r="AZ6" s="1521">
        <v>0</v>
      </c>
      <c r="BA6" s="1522"/>
      <c r="BB6" s="1521">
        <v>0</v>
      </c>
      <c r="BC6" s="1531"/>
      <c r="BD6" s="1531"/>
      <c r="BE6" s="1522"/>
      <c r="BF6" s="1535">
        <v>0</v>
      </c>
      <c r="BG6" s="1537"/>
      <c r="BH6" s="945">
        <v>0</v>
      </c>
      <c r="BI6" s="947"/>
      <c r="BJ6" s="1521">
        <v>0</v>
      </c>
      <c r="BK6" s="1531"/>
      <c r="BL6" s="1531"/>
      <c r="BM6" s="1522"/>
      <c r="BN6" s="193">
        <v>0</v>
      </c>
      <c r="BO6" s="1525">
        <v>0</v>
      </c>
      <c r="BP6" s="1526"/>
      <c r="BQ6" s="1527"/>
      <c r="BR6" s="194">
        <v>0</v>
      </c>
      <c r="BS6" s="942">
        <v>0</v>
      </c>
      <c r="BT6" s="943"/>
      <c r="BU6" s="944"/>
      <c r="BV6" s="942">
        <v>0</v>
      </c>
      <c r="BW6" s="944"/>
      <c r="BX6" s="942">
        <v>0</v>
      </c>
      <c r="BY6" s="943"/>
      <c r="BZ6" s="944"/>
      <c r="CA6" s="950">
        <v>0</v>
      </c>
      <c r="CB6" s="951"/>
      <c r="CC6" s="942">
        <v>12</v>
      </c>
      <c r="CD6" s="943"/>
      <c r="CE6" s="361">
        <v>1</v>
      </c>
      <c r="CF6" s="361">
        <v>2</v>
      </c>
      <c r="CG6" s="361">
        <f>SUM(CE6:CF6)</f>
        <v>3</v>
      </c>
      <c r="CH6" s="361">
        <v>464</v>
      </c>
      <c r="CI6" s="361">
        <v>501</v>
      </c>
      <c r="CJ6" s="347"/>
      <c r="CK6" s="347"/>
      <c r="CL6" s="347"/>
      <c r="CM6" s="347"/>
      <c r="CN6" s="347">
        <f>SUM(CH6:CM6)</f>
        <v>965</v>
      </c>
      <c r="CO6" s="942">
        <v>13</v>
      </c>
      <c r="CP6" s="943"/>
      <c r="CQ6" s="943"/>
      <c r="CR6" s="944"/>
      <c r="CS6" s="945">
        <v>10</v>
      </c>
      <c r="CT6" s="947"/>
      <c r="CU6" s="942">
        <v>23</v>
      </c>
      <c r="CV6" s="944"/>
      <c r="CW6" s="955" t="s">
        <v>35</v>
      </c>
      <c r="CX6" s="956"/>
      <c r="CY6" s="956"/>
      <c r="CZ6" s="957"/>
      <c r="DA6" s="246">
        <f>IF(CN6=0,0,IF(CN6&lt;1001,30000 * 3,IF(CN6="","",50000*3)))</f>
        <v>90000</v>
      </c>
    </row>
    <row r="7" spans="1:110" s="36" customFormat="1" ht="24.95" customHeight="1">
      <c r="A7" s="238">
        <v>2</v>
      </c>
      <c r="B7" s="363" t="s">
        <v>162</v>
      </c>
      <c r="C7" s="1532" t="s">
        <v>18</v>
      </c>
      <c r="D7" s="1533"/>
      <c r="E7" s="1534"/>
      <c r="F7" s="91">
        <v>2</v>
      </c>
      <c r="G7" s="1521">
        <v>5</v>
      </c>
      <c r="H7" s="1522"/>
      <c r="I7" s="1521">
        <v>140</v>
      </c>
      <c r="J7" s="1522"/>
      <c r="K7" s="1521">
        <v>134</v>
      </c>
      <c r="L7" s="1531"/>
      <c r="M7" s="1522"/>
      <c r="N7" s="945">
        <v>274</v>
      </c>
      <c r="O7" s="947"/>
      <c r="P7" s="1525">
        <v>5</v>
      </c>
      <c r="Q7" s="1527"/>
      <c r="R7" s="1521">
        <v>95</v>
      </c>
      <c r="S7" s="1531"/>
      <c r="T7" s="1531"/>
      <c r="U7" s="1522"/>
      <c r="V7" s="1523">
        <v>108</v>
      </c>
      <c r="W7" s="1558"/>
      <c r="X7" s="1524"/>
      <c r="Y7" s="942">
        <v>203</v>
      </c>
      <c r="Z7" s="944"/>
      <c r="AA7" s="1521">
        <v>5</v>
      </c>
      <c r="AB7" s="1522"/>
      <c r="AC7" s="1525">
        <v>122</v>
      </c>
      <c r="AD7" s="1526"/>
      <c r="AE7" s="1527"/>
      <c r="AF7" s="1525">
        <v>144</v>
      </c>
      <c r="AG7" s="1527"/>
      <c r="AH7" s="950">
        <v>266</v>
      </c>
      <c r="AI7" s="951"/>
      <c r="AJ7" s="91">
        <v>15</v>
      </c>
      <c r="AK7" s="942">
        <v>357</v>
      </c>
      <c r="AL7" s="943"/>
      <c r="AM7" s="944"/>
      <c r="AN7" s="942">
        <v>386</v>
      </c>
      <c r="AO7" s="943"/>
      <c r="AP7" s="944"/>
      <c r="AQ7" s="950">
        <v>743</v>
      </c>
      <c r="AR7" s="951"/>
      <c r="AS7" s="1521">
        <v>0</v>
      </c>
      <c r="AT7" s="1522"/>
      <c r="AU7" s="1523">
        <v>0</v>
      </c>
      <c r="AV7" s="1524"/>
      <c r="AW7" s="1521">
        <v>0</v>
      </c>
      <c r="AX7" s="1522"/>
      <c r="AY7" s="91">
        <v>0</v>
      </c>
      <c r="AZ7" s="1521">
        <v>0</v>
      </c>
      <c r="BA7" s="1522"/>
      <c r="BB7" s="1521">
        <v>0</v>
      </c>
      <c r="BC7" s="1531"/>
      <c r="BD7" s="1531"/>
      <c r="BE7" s="1522"/>
      <c r="BF7" s="1535">
        <v>0</v>
      </c>
      <c r="BG7" s="1537"/>
      <c r="BH7" s="945">
        <v>0</v>
      </c>
      <c r="BI7" s="947"/>
      <c r="BJ7" s="1521">
        <v>0</v>
      </c>
      <c r="BK7" s="1531"/>
      <c r="BL7" s="1531"/>
      <c r="BM7" s="1522"/>
      <c r="BN7" s="193">
        <v>0</v>
      </c>
      <c r="BO7" s="1525">
        <v>0</v>
      </c>
      <c r="BP7" s="1526"/>
      <c r="BQ7" s="1527"/>
      <c r="BR7" s="194">
        <v>0</v>
      </c>
      <c r="BS7" s="942">
        <v>0</v>
      </c>
      <c r="BT7" s="943"/>
      <c r="BU7" s="944"/>
      <c r="BV7" s="942">
        <v>0</v>
      </c>
      <c r="BW7" s="944"/>
      <c r="BX7" s="942">
        <v>0</v>
      </c>
      <c r="BY7" s="943"/>
      <c r="BZ7" s="944"/>
      <c r="CA7" s="950">
        <v>0</v>
      </c>
      <c r="CB7" s="951"/>
      <c r="CC7" s="942">
        <v>15</v>
      </c>
      <c r="CD7" s="943"/>
      <c r="CE7" s="364">
        <v>1</v>
      </c>
      <c r="CF7" s="364">
        <v>3</v>
      </c>
      <c r="CG7" s="361">
        <f t="shared" ref="CG7:CG23" si="0">SUM(CE7:CF7)</f>
        <v>4</v>
      </c>
      <c r="CH7" s="364">
        <v>378</v>
      </c>
      <c r="CI7" s="364">
        <v>383</v>
      </c>
      <c r="CJ7" s="347"/>
      <c r="CK7" s="347"/>
      <c r="CL7" s="347"/>
      <c r="CM7" s="347"/>
      <c r="CN7" s="347">
        <f t="shared" ref="CN7:CN23" si="1">SUM(CH7:CM7)</f>
        <v>761</v>
      </c>
      <c r="CO7" s="942">
        <v>5</v>
      </c>
      <c r="CP7" s="943"/>
      <c r="CQ7" s="943"/>
      <c r="CR7" s="944"/>
      <c r="CS7" s="945">
        <v>17</v>
      </c>
      <c r="CT7" s="947"/>
      <c r="CU7" s="942">
        <v>22</v>
      </c>
      <c r="CV7" s="944"/>
      <c r="CW7" s="955" t="s">
        <v>35</v>
      </c>
      <c r="CX7" s="956"/>
      <c r="CY7" s="956"/>
      <c r="CZ7" s="957"/>
      <c r="DA7" s="246">
        <f t="shared" ref="DA7:DA23" si="2">IF(CN7=0,0,IF(CN7&lt;1001,30000 * 3,IF(CN7="","",50000*3)))</f>
        <v>90000</v>
      </c>
    </row>
    <row r="8" spans="1:110" s="36" customFormat="1" ht="24.95" customHeight="1">
      <c r="A8" s="238">
        <v>3</v>
      </c>
      <c r="B8" s="365" t="s">
        <v>163</v>
      </c>
      <c r="C8" s="1532" t="s">
        <v>18</v>
      </c>
      <c r="D8" s="1533"/>
      <c r="E8" s="1534"/>
      <c r="F8" s="91">
        <v>7</v>
      </c>
      <c r="G8" s="1521">
        <v>3</v>
      </c>
      <c r="H8" s="1522"/>
      <c r="I8" s="1521">
        <v>115</v>
      </c>
      <c r="J8" s="1522"/>
      <c r="K8" s="1521">
        <v>120</v>
      </c>
      <c r="L8" s="1531"/>
      <c r="M8" s="1522"/>
      <c r="N8" s="945">
        <v>235</v>
      </c>
      <c r="O8" s="947"/>
      <c r="P8" s="1525">
        <v>3</v>
      </c>
      <c r="Q8" s="1527"/>
      <c r="R8" s="1521">
        <v>97</v>
      </c>
      <c r="S8" s="1531"/>
      <c r="T8" s="1531"/>
      <c r="U8" s="1522"/>
      <c r="V8" s="1528">
        <v>87</v>
      </c>
      <c r="W8" s="1529"/>
      <c r="X8" s="1530"/>
      <c r="Y8" s="942">
        <v>184</v>
      </c>
      <c r="Z8" s="944"/>
      <c r="AA8" s="1521">
        <v>2</v>
      </c>
      <c r="AB8" s="1522"/>
      <c r="AC8" s="1525">
        <v>71</v>
      </c>
      <c r="AD8" s="1526"/>
      <c r="AE8" s="1527"/>
      <c r="AF8" s="1525">
        <v>85</v>
      </c>
      <c r="AG8" s="1527"/>
      <c r="AH8" s="950">
        <v>156</v>
      </c>
      <c r="AI8" s="951"/>
      <c r="AJ8" s="91">
        <v>8</v>
      </c>
      <c r="AK8" s="942">
        <v>283</v>
      </c>
      <c r="AL8" s="943"/>
      <c r="AM8" s="944"/>
      <c r="AN8" s="942">
        <v>292</v>
      </c>
      <c r="AO8" s="943"/>
      <c r="AP8" s="944"/>
      <c r="AQ8" s="950">
        <v>575</v>
      </c>
      <c r="AR8" s="951"/>
      <c r="AS8" s="1521">
        <v>0</v>
      </c>
      <c r="AT8" s="1522"/>
      <c r="AU8" s="1523">
        <v>0</v>
      </c>
      <c r="AV8" s="1524"/>
      <c r="AW8" s="1521">
        <v>0</v>
      </c>
      <c r="AX8" s="1522"/>
      <c r="AY8" s="91">
        <v>0</v>
      </c>
      <c r="AZ8" s="1521">
        <v>0</v>
      </c>
      <c r="BA8" s="1522"/>
      <c r="BB8" s="1521">
        <v>0</v>
      </c>
      <c r="BC8" s="1531"/>
      <c r="BD8" s="1531"/>
      <c r="BE8" s="1522"/>
      <c r="BF8" s="1535">
        <v>0</v>
      </c>
      <c r="BG8" s="1537"/>
      <c r="BH8" s="945">
        <v>0</v>
      </c>
      <c r="BI8" s="947"/>
      <c r="BJ8" s="1521">
        <v>0</v>
      </c>
      <c r="BK8" s="1531"/>
      <c r="BL8" s="1531"/>
      <c r="BM8" s="1522"/>
      <c r="BN8" s="193">
        <v>0</v>
      </c>
      <c r="BO8" s="1525">
        <v>0</v>
      </c>
      <c r="BP8" s="1526"/>
      <c r="BQ8" s="1527"/>
      <c r="BR8" s="194">
        <v>0</v>
      </c>
      <c r="BS8" s="942">
        <v>0</v>
      </c>
      <c r="BT8" s="943"/>
      <c r="BU8" s="944"/>
      <c r="BV8" s="942">
        <v>0</v>
      </c>
      <c r="BW8" s="944"/>
      <c r="BX8" s="942">
        <v>0</v>
      </c>
      <c r="BY8" s="943"/>
      <c r="BZ8" s="944"/>
      <c r="CA8" s="950">
        <v>0</v>
      </c>
      <c r="CB8" s="951"/>
      <c r="CC8" s="942">
        <v>8</v>
      </c>
      <c r="CD8" s="943"/>
      <c r="CE8" s="364">
        <v>0</v>
      </c>
      <c r="CF8" s="364">
        <v>2</v>
      </c>
      <c r="CG8" s="361">
        <f t="shared" si="0"/>
        <v>2</v>
      </c>
      <c r="CH8" s="364">
        <v>325</v>
      </c>
      <c r="CI8" s="364">
        <v>309</v>
      </c>
      <c r="CJ8" s="347"/>
      <c r="CK8" s="347"/>
      <c r="CL8" s="347"/>
      <c r="CM8" s="347"/>
      <c r="CN8" s="347">
        <f t="shared" si="1"/>
        <v>634</v>
      </c>
      <c r="CO8" s="942">
        <v>6</v>
      </c>
      <c r="CP8" s="943"/>
      <c r="CQ8" s="943"/>
      <c r="CR8" s="944"/>
      <c r="CS8" s="945">
        <v>8</v>
      </c>
      <c r="CT8" s="947"/>
      <c r="CU8" s="942">
        <v>14</v>
      </c>
      <c r="CV8" s="944"/>
      <c r="CW8" s="955" t="s">
        <v>35</v>
      </c>
      <c r="CX8" s="956"/>
      <c r="CY8" s="956"/>
      <c r="CZ8" s="957"/>
      <c r="DA8" s="246">
        <f t="shared" si="2"/>
        <v>90000</v>
      </c>
    </row>
    <row r="9" spans="1:110" s="36" customFormat="1" ht="24.95" customHeight="1">
      <c r="A9" s="238">
        <v>4</v>
      </c>
      <c r="B9" s="363" t="s">
        <v>164</v>
      </c>
      <c r="C9" s="1532" t="s">
        <v>18</v>
      </c>
      <c r="D9" s="1533"/>
      <c r="E9" s="1534"/>
      <c r="F9" s="91">
        <v>7</v>
      </c>
      <c r="G9" s="1521">
        <v>2</v>
      </c>
      <c r="H9" s="1522"/>
      <c r="I9" s="1521">
        <v>68</v>
      </c>
      <c r="J9" s="1522"/>
      <c r="K9" s="1521">
        <v>54</v>
      </c>
      <c r="L9" s="1531"/>
      <c r="M9" s="1522"/>
      <c r="N9" s="945">
        <v>122</v>
      </c>
      <c r="O9" s="947"/>
      <c r="P9" s="1525">
        <v>3</v>
      </c>
      <c r="Q9" s="1527"/>
      <c r="R9" s="1521">
        <v>78</v>
      </c>
      <c r="S9" s="1531"/>
      <c r="T9" s="1531"/>
      <c r="U9" s="1522"/>
      <c r="V9" s="1528">
        <v>91</v>
      </c>
      <c r="W9" s="1529"/>
      <c r="X9" s="1530"/>
      <c r="Y9" s="942">
        <v>169</v>
      </c>
      <c r="Z9" s="944"/>
      <c r="AA9" s="1521">
        <v>3</v>
      </c>
      <c r="AB9" s="1522"/>
      <c r="AC9" s="1525">
        <v>65</v>
      </c>
      <c r="AD9" s="1526"/>
      <c r="AE9" s="1527"/>
      <c r="AF9" s="1525">
        <v>94</v>
      </c>
      <c r="AG9" s="1527"/>
      <c r="AH9" s="950">
        <v>159</v>
      </c>
      <c r="AI9" s="951"/>
      <c r="AJ9" s="91">
        <v>8</v>
      </c>
      <c r="AK9" s="942">
        <v>211</v>
      </c>
      <c r="AL9" s="943"/>
      <c r="AM9" s="944"/>
      <c r="AN9" s="942">
        <v>239</v>
      </c>
      <c r="AO9" s="943"/>
      <c r="AP9" s="944"/>
      <c r="AQ9" s="950">
        <v>450</v>
      </c>
      <c r="AR9" s="951"/>
      <c r="AS9" s="1521">
        <v>0</v>
      </c>
      <c r="AT9" s="1522"/>
      <c r="AU9" s="1523">
        <v>0</v>
      </c>
      <c r="AV9" s="1524"/>
      <c r="AW9" s="1521">
        <v>0</v>
      </c>
      <c r="AX9" s="1522"/>
      <c r="AY9" s="91">
        <v>0</v>
      </c>
      <c r="AZ9" s="1521">
        <v>0</v>
      </c>
      <c r="BA9" s="1522"/>
      <c r="BB9" s="1521">
        <v>0</v>
      </c>
      <c r="BC9" s="1531"/>
      <c r="BD9" s="1531"/>
      <c r="BE9" s="1522"/>
      <c r="BF9" s="1535">
        <v>0</v>
      </c>
      <c r="BG9" s="1537"/>
      <c r="BH9" s="945">
        <v>0</v>
      </c>
      <c r="BI9" s="947"/>
      <c r="BJ9" s="1521">
        <v>0</v>
      </c>
      <c r="BK9" s="1531"/>
      <c r="BL9" s="1531"/>
      <c r="BM9" s="1522"/>
      <c r="BN9" s="193">
        <v>0</v>
      </c>
      <c r="BO9" s="1525">
        <v>0</v>
      </c>
      <c r="BP9" s="1526"/>
      <c r="BQ9" s="1527"/>
      <c r="BR9" s="194">
        <v>0</v>
      </c>
      <c r="BS9" s="942">
        <v>0</v>
      </c>
      <c r="BT9" s="943"/>
      <c r="BU9" s="944"/>
      <c r="BV9" s="942">
        <v>0</v>
      </c>
      <c r="BW9" s="944"/>
      <c r="BX9" s="942">
        <v>0</v>
      </c>
      <c r="BY9" s="943"/>
      <c r="BZ9" s="944"/>
      <c r="CA9" s="950">
        <v>0</v>
      </c>
      <c r="CB9" s="951"/>
      <c r="CC9" s="942">
        <v>8</v>
      </c>
      <c r="CD9" s="943"/>
      <c r="CE9" s="364">
        <v>1</v>
      </c>
      <c r="CF9" s="364">
        <v>2</v>
      </c>
      <c r="CG9" s="361">
        <f t="shared" si="0"/>
        <v>3</v>
      </c>
      <c r="CH9" s="364">
        <v>229</v>
      </c>
      <c r="CI9" s="364">
        <v>229</v>
      </c>
      <c r="CJ9" s="347"/>
      <c r="CK9" s="347"/>
      <c r="CL9" s="347"/>
      <c r="CM9" s="347"/>
      <c r="CN9" s="347">
        <f t="shared" si="1"/>
        <v>458</v>
      </c>
      <c r="CO9" s="942">
        <v>8</v>
      </c>
      <c r="CP9" s="943"/>
      <c r="CQ9" s="943"/>
      <c r="CR9" s="944"/>
      <c r="CS9" s="945">
        <v>13</v>
      </c>
      <c r="CT9" s="947"/>
      <c r="CU9" s="942">
        <v>21</v>
      </c>
      <c r="CV9" s="944"/>
      <c r="CW9" s="955" t="s">
        <v>35</v>
      </c>
      <c r="CX9" s="956"/>
      <c r="CY9" s="956"/>
      <c r="CZ9" s="957"/>
      <c r="DA9" s="246">
        <f t="shared" si="2"/>
        <v>90000</v>
      </c>
    </row>
    <row r="10" spans="1:110" s="36" customFormat="1" ht="24.95" customHeight="1">
      <c r="A10" s="238">
        <v>5</v>
      </c>
      <c r="B10" s="365" t="s">
        <v>165</v>
      </c>
      <c r="C10" s="1532" t="s">
        <v>18</v>
      </c>
      <c r="D10" s="1533"/>
      <c r="E10" s="1534"/>
      <c r="F10" s="91">
        <v>1</v>
      </c>
      <c r="G10" s="1521">
        <v>7</v>
      </c>
      <c r="H10" s="1522"/>
      <c r="I10" s="1521">
        <v>447</v>
      </c>
      <c r="J10" s="1522"/>
      <c r="K10" s="1521">
        <v>439</v>
      </c>
      <c r="L10" s="1531"/>
      <c r="M10" s="1522"/>
      <c r="N10" s="945">
        <v>886</v>
      </c>
      <c r="O10" s="947"/>
      <c r="P10" s="1525">
        <v>7</v>
      </c>
      <c r="Q10" s="1527"/>
      <c r="R10" s="1521">
        <v>450</v>
      </c>
      <c r="S10" s="1531"/>
      <c r="T10" s="1531"/>
      <c r="U10" s="1522"/>
      <c r="V10" s="1523">
        <v>422</v>
      </c>
      <c r="W10" s="1558"/>
      <c r="X10" s="1524"/>
      <c r="Y10" s="942">
        <v>872</v>
      </c>
      <c r="Z10" s="944"/>
      <c r="AA10" s="1521">
        <v>6</v>
      </c>
      <c r="AB10" s="1522"/>
      <c r="AC10" s="1525">
        <v>366</v>
      </c>
      <c r="AD10" s="1526"/>
      <c r="AE10" s="1527"/>
      <c r="AF10" s="1525">
        <v>353</v>
      </c>
      <c r="AG10" s="1527"/>
      <c r="AH10" s="950">
        <v>719</v>
      </c>
      <c r="AI10" s="951"/>
      <c r="AJ10" s="91">
        <v>20</v>
      </c>
      <c r="AK10" s="942">
        <v>1263</v>
      </c>
      <c r="AL10" s="943"/>
      <c r="AM10" s="944"/>
      <c r="AN10" s="942">
        <v>1214</v>
      </c>
      <c r="AO10" s="943"/>
      <c r="AP10" s="944"/>
      <c r="AQ10" s="950">
        <v>2477</v>
      </c>
      <c r="AR10" s="951"/>
      <c r="AS10" s="1521">
        <v>0</v>
      </c>
      <c r="AT10" s="1522"/>
      <c r="AU10" s="1523">
        <v>0</v>
      </c>
      <c r="AV10" s="1524"/>
      <c r="AW10" s="1521">
        <v>0</v>
      </c>
      <c r="AX10" s="1522"/>
      <c r="AY10" s="91">
        <v>0</v>
      </c>
      <c r="AZ10" s="1521">
        <v>0</v>
      </c>
      <c r="BA10" s="1522"/>
      <c r="BB10" s="1521">
        <v>0</v>
      </c>
      <c r="BC10" s="1531"/>
      <c r="BD10" s="1531"/>
      <c r="BE10" s="1522"/>
      <c r="BF10" s="1535">
        <v>0</v>
      </c>
      <c r="BG10" s="1537"/>
      <c r="BH10" s="945">
        <v>0</v>
      </c>
      <c r="BI10" s="947"/>
      <c r="BJ10" s="1521">
        <v>0</v>
      </c>
      <c r="BK10" s="1531"/>
      <c r="BL10" s="1531"/>
      <c r="BM10" s="1522"/>
      <c r="BN10" s="193">
        <v>0</v>
      </c>
      <c r="BO10" s="1525">
        <v>0</v>
      </c>
      <c r="BP10" s="1526"/>
      <c r="BQ10" s="1527"/>
      <c r="BR10" s="194">
        <v>0</v>
      </c>
      <c r="BS10" s="942">
        <v>0</v>
      </c>
      <c r="BT10" s="943"/>
      <c r="BU10" s="944"/>
      <c r="BV10" s="942">
        <v>0</v>
      </c>
      <c r="BW10" s="944"/>
      <c r="BX10" s="942">
        <v>0</v>
      </c>
      <c r="BY10" s="943"/>
      <c r="BZ10" s="944"/>
      <c r="CA10" s="950">
        <v>0</v>
      </c>
      <c r="CB10" s="951"/>
      <c r="CC10" s="942">
        <v>20</v>
      </c>
      <c r="CD10" s="943"/>
      <c r="CE10" s="364">
        <v>1</v>
      </c>
      <c r="CF10" s="364">
        <v>2</v>
      </c>
      <c r="CG10" s="361">
        <f t="shared" si="0"/>
        <v>3</v>
      </c>
      <c r="CH10" s="364">
        <v>1298</v>
      </c>
      <c r="CI10" s="364">
        <v>1320</v>
      </c>
      <c r="CJ10" s="347"/>
      <c r="CK10" s="347"/>
      <c r="CL10" s="347"/>
      <c r="CM10" s="347"/>
      <c r="CN10" s="347">
        <f t="shared" si="1"/>
        <v>2618</v>
      </c>
      <c r="CO10" s="942">
        <v>15</v>
      </c>
      <c r="CP10" s="943"/>
      <c r="CQ10" s="943"/>
      <c r="CR10" s="944"/>
      <c r="CS10" s="945">
        <v>25</v>
      </c>
      <c r="CT10" s="947"/>
      <c r="CU10" s="942">
        <v>40</v>
      </c>
      <c r="CV10" s="944"/>
      <c r="CW10" s="955" t="s">
        <v>35</v>
      </c>
      <c r="CX10" s="956"/>
      <c r="CY10" s="956"/>
      <c r="CZ10" s="957"/>
      <c r="DA10" s="246">
        <f t="shared" si="2"/>
        <v>150000</v>
      </c>
    </row>
    <row r="11" spans="1:110" s="36" customFormat="1" ht="24.95" customHeight="1">
      <c r="A11" s="238">
        <v>6</v>
      </c>
      <c r="B11" s="365" t="s">
        <v>166</v>
      </c>
      <c r="C11" s="1532" t="s">
        <v>161</v>
      </c>
      <c r="D11" s="1533"/>
      <c r="E11" s="1534"/>
      <c r="F11" s="91">
        <v>6</v>
      </c>
      <c r="G11" s="1521">
        <v>3</v>
      </c>
      <c r="H11" s="1522"/>
      <c r="I11" s="1521">
        <v>96</v>
      </c>
      <c r="J11" s="1522"/>
      <c r="K11" s="1521">
        <v>100</v>
      </c>
      <c r="L11" s="1531"/>
      <c r="M11" s="1522"/>
      <c r="N11" s="945">
        <v>196</v>
      </c>
      <c r="O11" s="947"/>
      <c r="P11" s="1525">
        <v>3</v>
      </c>
      <c r="Q11" s="1527"/>
      <c r="R11" s="1521">
        <v>57</v>
      </c>
      <c r="S11" s="1531"/>
      <c r="T11" s="1531"/>
      <c r="U11" s="1522"/>
      <c r="V11" s="1528">
        <v>69</v>
      </c>
      <c r="W11" s="1529"/>
      <c r="X11" s="1530"/>
      <c r="Y11" s="942">
        <v>126</v>
      </c>
      <c r="Z11" s="944"/>
      <c r="AA11" s="1521">
        <v>3</v>
      </c>
      <c r="AB11" s="1522"/>
      <c r="AC11" s="1525">
        <v>74</v>
      </c>
      <c r="AD11" s="1526"/>
      <c r="AE11" s="1527"/>
      <c r="AF11" s="1525">
        <v>64</v>
      </c>
      <c r="AG11" s="1527"/>
      <c r="AH11" s="950">
        <v>138</v>
      </c>
      <c r="AI11" s="951"/>
      <c r="AJ11" s="91">
        <v>9</v>
      </c>
      <c r="AK11" s="942">
        <v>227</v>
      </c>
      <c r="AL11" s="943"/>
      <c r="AM11" s="944"/>
      <c r="AN11" s="942">
        <v>233</v>
      </c>
      <c r="AO11" s="943"/>
      <c r="AP11" s="944"/>
      <c r="AQ11" s="950">
        <v>460</v>
      </c>
      <c r="AR11" s="951"/>
      <c r="AS11" s="1521">
        <v>0</v>
      </c>
      <c r="AT11" s="1522"/>
      <c r="AU11" s="1523">
        <v>0</v>
      </c>
      <c r="AV11" s="1524"/>
      <c r="AW11" s="1521">
        <v>0</v>
      </c>
      <c r="AX11" s="1522"/>
      <c r="AY11" s="91">
        <v>0</v>
      </c>
      <c r="AZ11" s="1521">
        <v>0</v>
      </c>
      <c r="BA11" s="1522"/>
      <c r="BB11" s="1521">
        <v>0</v>
      </c>
      <c r="BC11" s="1531"/>
      <c r="BD11" s="1531"/>
      <c r="BE11" s="1522"/>
      <c r="BF11" s="1535">
        <v>0</v>
      </c>
      <c r="BG11" s="1537"/>
      <c r="BH11" s="945">
        <v>0</v>
      </c>
      <c r="BI11" s="947"/>
      <c r="BJ11" s="1521">
        <v>0</v>
      </c>
      <c r="BK11" s="1531"/>
      <c r="BL11" s="1531"/>
      <c r="BM11" s="1522"/>
      <c r="BN11" s="193">
        <v>0</v>
      </c>
      <c r="BO11" s="1525">
        <v>0</v>
      </c>
      <c r="BP11" s="1526"/>
      <c r="BQ11" s="1527"/>
      <c r="BR11" s="194">
        <v>0</v>
      </c>
      <c r="BS11" s="942">
        <v>0</v>
      </c>
      <c r="BT11" s="943"/>
      <c r="BU11" s="944"/>
      <c r="BV11" s="942">
        <v>0</v>
      </c>
      <c r="BW11" s="944"/>
      <c r="BX11" s="942">
        <v>0</v>
      </c>
      <c r="BY11" s="943"/>
      <c r="BZ11" s="944"/>
      <c r="CA11" s="950">
        <v>0</v>
      </c>
      <c r="CB11" s="951"/>
      <c r="CC11" s="942">
        <v>9</v>
      </c>
      <c r="CD11" s="943"/>
      <c r="CE11" s="364">
        <v>1</v>
      </c>
      <c r="CF11" s="364">
        <v>2</v>
      </c>
      <c r="CG11" s="361">
        <f t="shared" si="0"/>
        <v>3</v>
      </c>
      <c r="CH11" s="364">
        <v>252</v>
      </c>
      <c r="CI11" s="364">
        <v>266</v>
      </c>
      <c r="CJ11" s="347"/>
      <c r="CK11" s="347"/>
      <c r="CL11" s="347"/>
      <c r="CM11" s="347"/>
      <c r="CN11" s="347">
        <f t="shared" si="1"/>
        <v>518</v>
      </c>
      <c r="CO11" s="942">
        <v>5</v>
      </c>
      <c r="CP11" s="943"/>
      <c r="CQ11" s="943"/>
      <c r="CR11" s="944"/>
      <c r="CS11" s="945">
        <v>6</v>
      </c>
      <c r="CT11" s="947"/>
      <c r="CU11" s="942">
        <v>11</v>
      </c>
      <c r="CV11" s="944"/>
      <c r="CW11" s="955" t="s">
        <v>35</v>
      </c>
      <c r="CX11" s="956"/>
      <c r="CY11" s="956"/>
      <c r="CZ11" s="957"/>
      <c r="DA11" s="246">
        <f t="shared" si="2"/>
        <v>90000</v>
      </c>
    </row>
    <row r="12" spans="1:110" s="36" customFormat="1" ht="24.95" customHeight="1" thickBot="1">
      <c r="A12" s="238">
        <v>7</v>
      </c>
      <c r="B12" s="366" t="s">
        <v>167</v>
      </c>
      <c r="C12" s="1532" t="s">
        <v>18</v>
      </c>
      <c r="D12" s="1533"/>
      <c r="E12" s="1534"/>
      <c r="F12" s="91">
        <v>2</v>
      </c>
      <c r="G12" s="1547">
        <v>3</v>
      </c>
      <c r="H12" s="1548"/>
      <c r="I12" s="1547">
        <v>96</v>
      </c>
      <c r="J12" s="1548"/>
      <c r="K12" s="1547">
        <v>65</v>
      </c>
      <c r="L12" s="1554"/>
      <c r="M12" s="1548"/>
      <c r="N12" s="945">
        <v>161</v>
      </c>
      <c r="O12" s="947"/>
      <c r="P12" s="1549">
        <v>3</v>
      </c>
      <c r="Q12" s="1551"/>
      <c r="R12" s="1547">
        <v>107</v>
      </c>
      <c r="S12" s="1554"/>
      <c r="T12" s="1554"/>
      <c r="U12" s="1548"/>
      <c r="V12" s="1555">
        <v>107</v>
      </c>
      <c r="W12" s="1556"/>
      <c r="X12" s="1557"/>
      <c r="Y12" s="942">
        <v>214</v>
      </c>
      <c r="Z12" s="944"/>
      <c r="AA12" s="1547">
        <v>3</v>
      </c>
      <c r="AB12" s="1548"/>
      <c r="AC12" s="1549">
        <v>77</v>
      </c>
      <c r="AD12" s="1550"/>
      <c r="AE12" s="1551"/>
      <c r="AF12" s="1549">
        <v>92</v>
      </c>
      <c r="AG12" s="1551"/>
      <c r="AH12" s="950">
        <v>169</v>
      </c>
      <c r="AI12" s="951"/>
      <c r="AJ12" s="91">
        <v>9</v>
      </c>
      <c r="AK12" s="942">
        <v>280</v>
      </c>
      <c r="AL12" s="943"/>
      <c r="AM12" s="944"/>
      <c r="AN12" s="942">
        <v>264</v>
      </c>
      <c r="AO12" s="943"/>
      <c r="AP12" s="944"/>
      <c r="AQ12" s="950">
        <v>544</v>
      </c>
      <c r="AR12" s="951"/>
      <c r="AS12" s="1521">
        <v>0</v>
      </c>
      <c r="AT12" s="1522"/>
      <c r="AU12" s="1523">
        <v>0</v>
      </c>
      <c r="AV12" s="1524"/>
      <c r="AW12" s="1521">
        <v>0</v>
      </c>
      <c r="AX12" s="1522"/>
      <c r="AY12" s="91">
        <v>0</v>
      </c>
      <c r="AZ12" s="1521">
        <v>0</v>
      </c>
      <c r="BA12" s="1522"/>
      <c r="BB12" s="1521">
        <v>0</v>
      </c>
      <c r="BC12" s="1531"/>
      <c r="BD12" s="1531"/>
      <c r="BE12" s="1522"/>
      <c r="BF12" s="1535">
        <v>0</v>
      </c>
      <c r="BG12" s="1537"/>
      <c r="BH12" s="945">
        <v>0</v>
      </c>
      <c r="BI12" s="947"/>
      <c r="BJ12" s="1521">
        <v>0</v>
      </c>
      <c r="BK12" s="1531"/>
      <c r="BL12" s="1531"/>
      <c r="BM12" s="1522"/>
      <c r="BN12" s="193">
        <v>0</v>
      </c>
      <c r="BO12" s="1525">
        <v>0</v>
      </c>
      <c r="BP12" s="1526"/>
      <c r="BQ12" s="1527"/>
      <c r="BR12" s="194">
        <v>0</v>
      </c>
      <c r="BS12" s="942">
        <v>0</v>
      </c>
      <c r="BT12" s="943"/>
      <c r="BU12" s="944"/>
      <c r="BV12" s="942">
        <v>0</v>
      </c>
      <c r="BW12" s="944"/>
      <c r="BX12" s="942">
        <v>0</v>
      </c>
      <c r="BY12" s="943"/>
      <c r="BZ12" s="944"/>
      <c r="CA12" s="950">
        <v>0</v>
      </c>
      <c r="CB12" s="951"/>
      <c r="CC12" s="942">
        <v>9</v>
      </c>
      <c r="CD12" s="943"/>
      <c r="CE12" s="364">
        <v>1</v>
      </c>
      <c r="CF12" s="364">
        <v>2</v>
      </c>
      <c r="CG12" s="361">
        <f t="shared" si="0"/>
        <v>3</v>
      </c>
      <c r="CH12" s="364">
        <v>288</v>
      </c>
      <c r="CI12" s="364">
        <v>235</v>
      </c>
      <c r="CJ12" s="347"/>
      <c r="CK12" s="347"/>
      <c r="CL12" s="347"/>
      <c r="CM12" s="347"/>
      <c r="CN12" s="347">
        <f t="shared" si="1"/>
        <v>523</v>
      </c>
      <c r="CO12" s="942">
        <v>9</v>
      </c>
      <c r="CP12" s="943"/>
      <c r="CQ12" s="943"/>
      <c r="CR12" s="944"/>
      <c r="CS12" s="945">
        <v>12</v>
      </c>
      <c r="CT12" s="947"/>
      <c r="CU12" s="942">
        <v>21</v>
      </c>
      <c r="CV12" s="944"/>
      <c r="CW12" s="955" t="s">
        <v>35</v>
      </c>
      <c r="CX12" s="956"/>
      <c r="CY12" s="956"/>
      <c r="CZ12" s="957"/>
      <c r="DA12" s="246">
        <f t="shared" si="2"/>
        <v>90000</v>
      </c>
    </row>
    <row r="13" spans="1:110" s="36" customFormat="1" ht="24.95" customHeight="1">
      <c r="A13" s="238">
        <v>8</v>
      </c>
      <c r="B13" s="367" t="s">
        <v>168</v>
      </c>
      <c r="C13" s="1532" t="s">
        <v>161</v>
      </c>
      <c r="D13" s="1533"/>
      <c r="E13" s="1534"/>
      <c r="F13" s="91">
        <v>5</v>
      </c>
      <c r="G13" s="1538">
        <v>0</v>
      </c>
      <c r="H13" s="1540"/>
      <c r="I13" s="1538">
        <v>0</v>
      </c>
      <c r="J13" s="1540"/>
      <c r="K13" s="1538">
        <v>0</v>
      </c>
      <c r="L13" s="1539"/>
      <c r="M13" s="1540"/>
      <c r="N13" s="945">
        <v>0</v>
      </c>
      <c r="O13" s="947"/>
      <c r="P13" s="1552">
        <v>0</v>
      </c>
      <c r="Q13" s="1553"/>
      <c r="R13" s="1538">
        <v>0</v>
      </c>
      <c r="S13" s="1539"/>
      <c r="T13" s="1539"/>
      <c r="U13" s="1540"/>
      <c r="V13" s="1541">
        <v>0</v>
      </c>
      <c r="W13" s="1542"/>
      <c r="X13" s="1543"/>
      <c r="Y13" s="942">
        <v>0</v>
      </c>
      <c r="Z13" s="944"/>
      <c r="AA13" s="1538">
        <v>0</v>
      </c>
      <c r="AB13" s="1540"/>
      <c r="AC13" s="1544">
        <v>0</v>
      </c>
      <c r="AD13" s="1545"/>
      <c r="AE13" s="1546"/>
      <c r="AF13" s="1544">
        <v>0</v>
      </c>
      <c r="AG13" s="1546"/>
      <c r="AH13" s="950">
        <v>0</v>
      </c>
      <c r="AI13" s="951"/>
      <c r="AJ13" s="91">
        <v>0</v>
      </c>
      <c r="AK13" s="942">
        <v>0</v>
      </c>
      <c r="AL13" s="943"/>
      <c r="AM13" s="944"/>
      <c r="AN13" s="942">
        <v>0</v>
      </c>
      <c r="AO13" s="943"/>
      <c r="AP13" s="944"/>
      <c r="AQ13" s="950">
        <v>0</v>
      </c>
      <c r="AR13" s="951"/>
      <c r="AS13" s="1521">
        <v>6</v>
      </c>
      <c r="AT13" s="1522"/>
      <c r="AU13" s="1523">
        <v>173</v>
      </c>
      <c r="AV13" s="1524"/>
      <c r="AW13" s="1521">
        <v>160</v>
      </c>
      <c r="AX13" s="1522"/>
      <c r="AY13" s="91">
        <v>333</v>
      </c>
      <c r="AZ13" s="1521">
        <v>5</v>
      </c>
      <c r="BA13" s="1522"/>
      <c r="BB13" s="1521">
        <v>156</v>
      </c>
      <c r="BC13" s="1531"/>
      <c r="BD13" s="1531"/>
      <c r="BE13" s="1522"/>
      <c r="BF13" s="1525">
        <v>132</v>
      </c>
      <c r="BG13" s="1527"/>
      <c r="BH13" s="945">
        <v>288</v>
      </c>
      <c r="BI13" s="947"/>
      <c r="BJ13" s="1521">
        <v>5</v>
      </c>
      <c r="BK13" s="1531"/>
      <c r="BL13" s="1531"/>
      <c r="BM13" s="1522"/>
      <c r="BN13" s="193">
        <v>98</v>
      </c>
      <c r="BO13" s="1525">
        <v>127</v>
      </c>
      <c r="BP13" s="1526"/>
      <c r="BQ13" s="1527"/>
      <c r="BR13" s="194">
        <v>225</v>
      </c>
      <c r="BS13" s="942">
        <v>16</v>
      </c>
      <c r="BT13" s="943"/>
      <c r="BU13" s="944"/>
      <c r="BV13" s="942">
        <v>427</v>
      </c>
      <c r="BW13" s="944"/>
      <c r="BX13" s="942">
        <v>419</v>
      </c>
      <c r="BY13" s="943"/>
      <c r="BZ13" s="944"/>
      <c r="CA13" s="950">
        <v>846</v>
      </c>
      <c r="CB13" s="951"/>
      <c r="CC13" s="942">
        <v>16</v>
      </c>
      <c r="CD13" s="943"/>
      <c r="CE13" s="364">
        <v>1</v>
      </c>
      <c r="CF13" s="364">
        <v>2</v>
      </c>
      <c r="CG13" s="361">
        <f t="shared" si="0"/>
        <v>3</v>
      </c>
      <c r="CH13" s="364">
        <v>386</v>
      </c>
      <c r="CI13" s="364">
        <v>431</v>
      </c>
      <c r="CJ13" s="347"/>
      <c r="CK13" s="347"/>
      <c r="CL13" s="347"/>
      <c r="CM13" s="347"/>
      <c r="CN13" s="347">
        <f t="shared" si="1"/>
        <v>817</v>
      </c>
      <c r="CO13" s="942">
        <v>20</v>
      </c>
      <c r="CP13" s="943"/>
      <c r="CQ13" s="943"/>
      <c r="CR13" s="944"/>
      <c r="CS13" s="945">
        <v>11</v>
      </c>
      <c r="CT13" s="947"/>
      <c r="CU13" s="942">
        <v>31</v>
      </c>
      <c r="CV13" s="944"/>
      <c r="CW13" s="955" t="s">
        <v>35</v>
      </c>
      <c r="CX13" s="956"/>
      <c r="CY13" s="956"/>
      <c r="CZ13" s="957"/>
      <c r="DA13" s="246">
        <f t="shared" si="2"/>
        <v>90000</v>
      </c>
    </row>
    <row r="14" spans="1:110" s="36" customFormat="1" ht="24.95" customHeight="1">
      <c r="A14" s="238">
        <v>9</v>
      </c>
      <c r="B14" s="363" t="s">
        <v>169</v>
      </c>
      <c r="C14" s="1532" t="s">
        <v>18</v>
      </c>
      <c r="D14" s="1533"/>
      <c r="E14" s="1534"/>
      <c r="F14" s="91">
        <v>2</v>
      </c>
      <c r="G14" s="1521">
        <v>0</v>
      </c>
      <c r="H14" s="1522"/>
      <c r="I14" s="1521">
        <v>0</v>
      </c>
      <c r="J14" s="1522"/>
      <c r="K14" s="1521">
        <v>0</v>
      </c>
      <c r="L14" s="1531"/>
      <c r="M14" s="1522"/>
      <c r="N14" s="945">
        <v>0</v>
      </c>
      <c r="O14" s="947"/>
      <c r="P14" s="1525">
        <v>0</v>
      </c>
      <c r="Q14" s="1527"/>
      <c r="R14" s="1521">
        <v>0</v>
      </c>
      <c r="S14" s="1531"/>
      <c r="T14" s="1531"/>
      <c r="U14" s="1522"/>
      <c r="V14" s="1528">
        <v>0</v>
      </c>
      <c r="W14" s="1529"/>
      <c r="X14" s="1530"/>
      <c r="Y14" s="942">
        <v>0</v>
      </c>
      <c r="Z14" s="944"/>
      <c r="AA14" s="1521">
        <v>0</v>
      </c>
      <c r="AB14" s="1522"/>
      <c r="AC14" s="1535">
        <v>0</v>
      </c>
      <c r="AD14" s="1536"/>
      <c r="AE14" s="1537"/>
      <c r="AF14" s="1535">
        <v>0</v>
      </c>
      <c r="AG14" s="1537"/>
      <c r="AH14" s="950">
        <v>0</v>
      </c>
      <c r="AI14" s="951"/>
      <c r="AJ14" s="91">
        <v>0</v>
      </c>
      <c r="AK14" s="942">
        <v>0</v>
      </c>
      <c r="AL14" s="943"/>
      <c r="AM14" s="944"/>
      <c r="AN14" s="942">
        <v>0</v>
      </c>
      <c r="AO14" s="943"/>
      <c r="AP14" s="944"/>
      <c r="AQ14" s="950">
        <v>0</v>
      </c>
      <c r="AR14" s="951"/>
      <c r="AS14" s="1521">
        <v>7</v>
      </c>
      <c r="AT14" s="1522"/>
      <c r="AU14" s="1523">
        <v>102</v>
      </c>
      <c r="AV14" s="1524"/>
      <c r="AW14" s="1521">
        <v>129</v>
      </c>
      <c r="AX14" s="1522"/>
      <c r="AY14" s="91">
        <v>231</v>
      </c>
      <c r="AZ14" s="1521">
        <v>7</v>
      </c>
      <c r="BA14" s="1522"/>
      <c r="BB14" s="1521">
        <v>133</v>
      </c>
      <c r="BC14" s="1531"/>
      <c r="BD14" s="1531"/>
      <c r="BE14" s="1522"/>
      <c r="BF14" s="1525">
        <v>131</v>
      </c>
      <c r="BG14" s="1527"/>
      <c r="BH14" s="945">
        <v>264</v>
      </c>
      <c r="BI14" s="947"/>
      <c r="BJ14" s="1521">
        <v>7</v>
      </c>
      <c r="BK14" s="1531"/>
      <c r="BL14" s="1531"/>
      <c r="BM14" s="1522"/>
      <c r="BN14" s="193">
        <v>143</v>
      </c>
      <c r="BO14" s="1525">
        <v>139</v>
      </c>
      <c r="BP14" s="1526"/>
      <c r="BQ14" s="1527"/>
      <c r="BR14" s="194">
        <v>282</v>
      </c>
      <c r="BS14" s="942">
        <v>21</v>
      </c>
      <c r="BT14" s="943"/>
      <c r="BU14" s="944"/>
      <c r="BV14" s="942">
        <v>378</v>
      </c>
      <c r="BW14" s="944"/>
      <c r="BX14" s="942">
        <v>399</v>
      </c>
      <c r="BY14" s="943"/>
      <c r="BZ14" s="944"/>
      <c r="CA14" s="950">
        <v>777</v>
      </c>
      <c r="CB14" s="951"/>
      <c r="CC14" s="942">
        <v>21</v>
      </c>
      <c r="CD14" s="943"/>
      <c r="CE14" s="364">
        <v>1</v>
      </c>
      <c r="CF14" s="364">
        <v>2</v>
      </c>
      <c r="CG14" s="361">
        <f t="shared" si="0"/>
        <v>3</v>
      </c>
      <c r="CH14" s="364">
        <v>366</v>
      </c>
      <c r="CI14" s="364">
        <v>409</v>
      </c>
      <c r="CJ14" s="347"/>
      <c r="CK14" s="347"/>
      <c r="CL14" s="347"/>
      <c r="CM14" s="347"/>
      <c r="CN14" s="347">
        <f t="shared" si="1"/>
        <v>775</v>
      </c>
      <c r="CO14" s="942">
        <v>13</v>
      </c>
      <c r="CP14" s="943"/>
      <c r="CQ14" s="943"/>
      <c r="CR14" s="944"/>
      <c r="CS14" s="945">
        <v>16</v>
      </c>
      <c r="CT14" s="947"/>
      <c r="CU14" s="942">
        <v>29</v>
      </c>
      <c r="CV14" s="944"/>
      <c r="CW14" s="955" t="s">
        <v>35</v>
      </c>
      <c r="CX14" s="956"/>
      <c r="CY14" s="956"/>
      <c r="CZ14" s="957"/>
      <c r="DA14" s="246">
        <f t="shared" si="2"/>
        <v>90000</v>
      </c>
    </row>
    <row r="15" spans="1:110" s="36" customFormat="1" ht="24.95" customHeight="1">
      <c r="A15" s="238">
        <v>10</v>
      </c>
      <c r="B15" s="365" t="s">
        <v>170</v>
      </c>
      <c r="C15" s="1532" t="s">
        <v>18</v>
      </c>
      <c r="D15" s="1533"/>
      <c r="E15" s="1534"/>
      <c r="F15" s="91">
        <v>7</v>
      </c>
      <c r="G15" s="1521">
        <v>0</v>
      </c>
      <c r="H15" s="1522"/>
      <c r="I15" s="1521">
        <v>0</v>
      </c>
      <c r="J15" s="1522"/>
      <c r="K15" s="1521">
        <v>0</v>
      </c>
      <c r="L15" s="1531"/>
      <c r="M15" s="1522"/>
      <c r="N15" s="945">
        <v>0</v>
      </c>
      <c r="O15" s="947"/>
      <c r="P15" s="1525">
        <v>0</v>
      </c>
      <c r="Q15" s="1527"/>
      <c r="R15" s="1521">
        <v>0</v>
      </c>
      <c r="S15" s="1531"/>
      <c r="T15" s="1531"/>
      <c r="U15" s="1522"/>
      <c r="V15" s="1528">
        <v>0</v>
      </c>
      <c r="W15" s="1529"/>
      <c r="X15" s="1530"/>
      <c r="Y15" s="942">
        <v>0</v>
      </c>
      <c r="Z15" s="944"/>
      <c r="AA15" s="1521">
        <v>0</v>
      </c>
      <c r="AB15" s="1522"/>
      <c r="AC15" s="1535">
        <v>0</v>
      </c>
      <c r="AD15" s="1536"/>
      <c r="AE15" s="1537"/>
      <c r="AF15" s="1535">
        <v>0</v>
      </c>
      <c r="AG15" s="1537"/>
      <c r="AH15" s="950">
        <v>0</v>
      </c>
      <c r="AI15" s="951"/>
      <c r="AJ15" s="91">
        <v>0</v>
      </c>
      <c r="AK15" s="942">
        <v>0</v>
      </c>
      <c r="AL15" s="943"/>
      <c r="AM15" s="944"/>
      <c r="AN15" s="942">
        <v>0</v>
      </c>
      <c r="AO15" s="943"/>
      <c r="AP15" s="944"/>
      <c r="AQ15" s="950">
        <v>0</v>
      </c>
      <c r="AR15" s="951"/>
      <c r="AS15" s="1521">
        <v>3</v>
      </c>
      <c r="AT15" s="1522"/>
      <c r="AU15" s="1523">
        <v>114</v>
      </c>
      <c r="AV15" s="1524"/>
      <c r="AW15" s="1521">
        <v>124</v>
      </c>
      <c r="AX15" s="1522"/>
      <c r="AY15" s="91">
        <v>238</v>
      </c>
      <c r="AZ15" s="1521">
        <v>3</v>
      </c>
      <c r="BA15" s="1522"/>
      <c r="BB15" s="1521">
        <v>85</v>
      </c>
      <c r="BC15" s="1531"/>
      <c r="BD15" s="1531"/>
      <c r="BE15" s="1522"/>
      <c r="BF15" s="1525">
        <v>88</v>
      </c>
      <c r="BG15" s="1527"/>
      <c r="BH15" s="945">
        <v>173</v>
      </c>
      <c r="BI15" s="947"/>
      <c r="BJ15" s="1521">
        <v>3</v>
      </c>
      <c r="BK15" s="1531"/>
      <c r="BL15" s="1531"/>
      <c r="BM15" s="1522"/>
      <c r="BN15" s="193">
        <v>40</v>
      </c>
      <c r="BO15" s="1525">
        <v>46</v>
      </c>
      <c r="BP15" s="1526"/>
      <c r="BQ15" s="1527"/>
      <c r="BR15" s="194">
        <v>86</v>
      </c>
      <c r="BS15" s="942">
        <v>9</v>
      </c>
      <c r="BT15" s="943"/>
      <c r="BU15" s="944"/>
      <c r="BV15" s="942">
        <v>239</v>
      </c>
      <c r="BW15" s="944"/>
      <c r="BX15" s="942">
        <v>258</v>
      </c>
      <c r="BY15" s="943"/>
      <c r="BZ15" s="944"/>
      <c r="CA15" s="950">
        <v>497</v>
      </c>
      <c r="CB15" s="951"/>
      <c r="CC15" s="942">
        <v>9</v>
      </c>
      <c r="CD15" s="943"/>
      <c r="CE15" s="364">
        <v>1</v>
      </c>
      <c r="CF15" s="364">
        <v>2</v>
      </c>
      <c r="CG15" s="361">
        <f t="shared" si="0"/>
        <v>3</v>
      </c>
      <c r="CH15" s="364">
        <v>222</v>
      </c>
      <c r="CI15" s="364">
        <v>264</v>
      </c>
      <c r="CJ15" s="347"/>
      <c r="CK15" s="347"/>
      <c r="CL15" s="347"/>
      <c r="CM15" s="347"/>
      <c r="CN15" s="347">
        <f t="shared" si="1"/>
        <v>486</v>
      </c>
      <c r="CO15" s="942">
        <v>6</v>
      </c>
      <c r="CP15" s="943"/>
      <c r="CQ15" s="943"/>
      <c r="CR15" s="944"/>
      <c r="CS15" s="945">
        <v>11</v>
      </c>
      <c r="CT15" s="947"/>
      <c r="CU15" s="942">
        <v>17</v>
      </c>
      <c r="CV15" s="944"/>
      <c r="CW15" s="955" t="s">
        <v>35</v>
      </c>
      <c r="CX15" s="956"/>
      <c r="CY15" s="956"/>
      <c r="CZ15" s="957"/>
      <c r="DA15" s="246">
        <f t="shared" si="2"/>
        <v>90000</v>
      </c>
    </row>
    <row r="16" spans="1:110" s="36" customFormat="1" ht="24.95" customHeight="1">
      <c r="A16" s="238">
        <v>11</v>
      </c>
      <c r="B16" s="363" t="s">
        <v>171</v>
      </c>
      <c r="C16" s="1532" t="s">
        <v>18</v>
      </c>
      <c r="D16" s="1533"/>
      <c r="E16" s="1534"/>
      <c r="F16" s="91">
        <v>7</v>
      </c>
      <c r="G16" s="1521">
        <v>0</v>
      </c>
      <c r="H16" s="1522"/>
      <c r="I16" s="1521">
        <v>0</v>
      </c>
      <c r="J16" s="1522"/>
      <c r="K16" s="1521">
        <v>0</v>
      </c>
      <c r="L16" s="1531"/>
      <c r="M16" s="1522"/>
      <c r="N16" s="945">
        <v>0</v>
      </c>
      <c r="O16" s="947"/>
      <c r="P16" s="1525">
        <v>0</v>
      </c>
      <c r="Q16" s="1527"/>
      <c r="R16" s="1521">
        <v>0</v>
      </c>
      <c r="S16" s="1531"/>
      <c r="T16" s="1531"/>
      <c r="U16" s="1522"/>
      <c r="V16" s="1528">
        <v>0</v>
      </c>
      <c r="W16" s="1529"/>
      <c r="X16" s="1530"/>
      <c r="Y16" s="942">
        <v>0</v>
      </c>
      <c r="Z16" s="944"/>
      <c r="AA16" s="1521">
        <v>0</v>
      </c>
      <c r="AB16" s="1522"/>
      <c r="AC16" s="1535">
        <v>0</v>
      </c>
      <c r="AD16" s="1536"/>
      <c r="AE16" s="1537"/>
      <c r="AF16" s="1535">
        <v>0</v>
      </c>
      <c r="AG16" s="1537"/>
      <c r="AH16" s="950">
        <v>0</v>
      </c>
      <c r="AI16" s="951"/>
      <c r="AJ16" s="91">
        <v>0</v>
      </c>
      <c r="AK16" s="942">
        <v>0</v>
      </c>
      <c r="AL16" s="943"/>
      <c r="AM16" s="944"/>
      <c r="AN16" s="942">
        <v>0</v>
      </c>
      <c r="AO16" s="943"/>
      <c r="AP16" s="944"/>
      <c r="AQ16" s="950">
        <v>0</v>
      </c>
      <c r="AR16" s="951"/>
      <c r="AS16" s="1521">
        <v>3</v>
      </c>
      <c r="AT16" s="1522"/>
      <c r="AU16" s="1523">
        <v>43</v>
      </c>
      <c r="AV16" s="1524"/>
      <c r="AW16" s="1521">
        <v>66</v>
      </c>
      <c r="AX16" s="1522"/>
      <c r="AY16" s="91">
        <v>109</v>
      </c>
      <c r="AZ16" s="1521">
        <v>3</v>
      </c>
      <c r="BA16" s="1522"/>
      <c r="BB16" s="1521">
        <v>43</v>
      </c>
      <c r="BC16" s="1531"/>
      <c r="BD16" s="1531"/>
      <c r="BE16" s="1522"/>
      <c r="BF16" s="1525">
        <v>69</v>
      </c>
      <c r="BG16" s="1527"/>
      <c r="BH16" s="945">
        <v>112</v>
      </c>
      <c r="BI16" s="947"/>
      <c r="BJ16" s="1521">
        <v>3</v>
      </c>
      <c r="BK16" s="1531"/>
      <c r="BL16" s="1531"/>
      <c r="BM16" s="1522"/>
      <c r="BN16" s="193">
        <v>34</v>
      </c>
      <c r="BO16" s="1525">
        <v>53</v>
      </c>
      <c r="BP16" s="1526"/>
      <c r="BQ16" s="1527"/>
      <c r="BR16" s="194">
        <v>87</v>
      </c>
      <c r="BS16" s="942">
        <v>9</v>
      </c>
      <c r="BT16" s="943"/>
      <c r="BU16" s="944"/>
      <c r="BV16" s="942">
        <v>120</v>
      </c>
      <c r="BW16" s="944"/>
      <c r="BX16" s="942">
        <v>188</v>
      </c>
      <c r="BY16" s="943"/>
      <c r="BZ16" s="944"/>
      <c r="CA16" s="950">
        <v>308</v>
      </c>
      <c r="CB16" s="951"/>
      <c r="CC16" s="942">
        <v>9</v>
      </c>
      <c r="CD16" s="943"/>
      <c r="CE16" s="364">
        <v>1</v>
      </c>
      <c r="CF16" s="364">
        <v>2</v>
      </c>
      <c r="CG16" s="361">
        <f t="shared" si="0"/>
        <v>3</v>
      </c>
      <c r="CH16" s="364">
        <v>129</v>
      </c>
      <c r="CI16" s="364">
        <v>214</v>
      </c>
      <c r="CJ16" s="347"/>
      <c r="CK16" s="347"/>
      <c r="CL16" s="347"/>
      <c r="CM16" s="347"/>
      <c r="CN16" s="347">
        <f t="shared" si="1"/>
        <v>343</v>
      </c>
      <c r="CO16" s="942">
        <v>13</v>
      </c>
      <c r="CP16" s="943"/>
      <c r="CQ16" s="943"/>
      <c r="CR16" s="944"/>
      <c r="CS16" s="945">
        <v>7</v>
      </c>
      <c r="CT16" s="947"/>
      <c r="CU16" s="942">
        <v>20</v>
      </c>
      <c r="CV16" s="944"/>
      <c r="CW16" s="955" t="s">
        <v>35</v>
      </c>
      <c r="CX16" s="956"/>
      <c r="CY16" s="956"/>
      <c r="CZ16" s="957"/>
      <c r="DA16" s="246">
        <f t="shared" si="2"/>
        <v>90000</v>
      </c>
    </row>
    <row r="17" spans="1:105" s="36" customFormat="1" ht="24.95" customHeight="1">
      <c r="A17" s="238">
        <v>12</v>
      </c>
      <c r="B17" s="365" t="s">
        <v>172</v>
      </c>
      <c r="C17" s="1532" t="s">
        <v>18</v>
      </c>
      <c r="D17" s="1533"/>
      <c r="E17" s="1534"/>
      <c r="F17" s="91">
        <v>1</v>
      </c>
      <c r="G17" s="1521">
        <v>0</v>
      </c>
      <c r="H17" s="1522"/>
      <c r="I17" s="1521">
        <v>0</v>
      </c>
      <c r="J17" s="1522"/>
      <c r="K17" s="1521">
        <v>0</v>
      </c>
      <c r="L17" s="1531"/>
      <c r="M17" s="1522"/>
      <c r="N17" s="945">
        <v>0</v>
      </c>
      <c r="O17" s="947"/>
      <c r="P17" s="1525">
        <v>0</v>
      </c>
      <c r="Q17" s="1527"/>
      <c r="R17" s="1521">
        <v>0</v>
      </c>
      <c r="S17" s="1531"/>
      <c r="T17" s="1531"/>
      <c r="U17" s="1522"/>
      <c r="V17" s="1528">
        <v>0</v>
      </c>
      <c r="W17" s="1529"/>
      <c r="X17" s="1530"/>
      <c r="Y17" s="942">
        <v>0</v>
      </c>
      <c r="Z17" s="944"/>
      <c r="AA17" s="1521">
        <v>0</v>
      </c>
      <c r="AB17" s="1522"/>
      <c r="AC17" s="1535">
        <v>0</v>
      </c>
      <c r="AD17" s="1536"/>
      <c r="AE17" s="1537"/>
      <c r="AF17" s="1535">
        <v>0</v>
      </c>
      <c r="AG17" s="1537"/>
      <c r="AH17" s="950">
        <v>0</v>
      </c>
      <c r="AI17" s="951"/>
      <c r="AJ17" s="91">
        <v>0</v>
      </c>
      <c r="AK17" s="942">
        <v>0</v>
      </c>
      <c r="AL17" s="943"/>
      <c r="AM17" s="944"/>
      <c r="AN17" s="942">
        <v>0</v>
      </c>
      <c r="AO17" s="943"/>
      <c r="AP17" s="944"/>
      <c r="AQ17" s="950">
        <v>0</v>
      </c>
      <c r="AR17" s="951"/>
      <c r="AS17" s="1521">
        <v>10</v>
      </c>
      <c r="AT17" s="1522"/>
      <c r="AU17" s="1523">
        <v>454</v>
      </c>
      <c r="AV17" s="1524"/>
      <c r="AW17" s="1521">
        <v>463</v>
      </c>
      <c r="AX17" s="1522"/>
      <c r="AY17" s="91">
        <v>917</v>
      </c>
      <c r="AZ17" s="1521">
        <v>9</v>
      </c>
      <c r="BA17" s="1522"/>
      <c r="BB17" s="1521">
        <v>393</v>
      </c>
      <c r="BC17" s="1531"/>
      <c r="BD17" s="1531"/>
      <c r="BE17" s="1522"/>
      <c r="BF17" s="1525">
        <v>394</v>
      </c>
      <c r="BG17" s="1527"/>
      <c r="BH17" s="945">
        <v>787</v>
      </c>
      <c r="BI17" s="947"/>
      <c r="BJ17" s="1521">
        <v>8</v>
      </c>
      <c r="BK17" s="1531"/>
      <c r="BL17" s="1531"/>
      <c r="BM17" s="1522"/>
      <c r="BN17" s="193">
        <v>291</v>
      </c>
      <c r="BO17" s="1525">
        <v>293</v>
      </c>
      <c r="BP17" s="1526"/>
      <c r="BQ17" s="1527"/>
      <c r="BR17" s="194">
        <v>584</v>
      </c>
      <c r="BS17" s="942">
        <v>27</v>
      </c>
      <c r="BT17" s="943"/>
      <c r="BU17" s="944"/>
      <c r="BV17" s="942">
        <v>1138</v>
      </c>
      <c r="BW17" s="944"/>
      <c r="BX17" s="942">
        <v>1150</v>
      </c>
      <c r="BY17" s="943"/>
      <c r="BZ17" s="944"/>
      <c r="CA17" s="950">
        <v>2288</v>
      </c>
      <c r="CB17" s="951"/>
      <c r="CC17" s="942">
        <v>27</v>
      </c>
      <c r="CD17" s="943"/>
      <c r="CE17" s="364">
        <v>0</v>
      </c>
      <c r="CF17" s="364">
        <v>2</v>
      </c>
      <c r="CG17" s="361">
        <f t="shared" si="0"/>
        <v>2</v>
      </c>
      <c r="CH17" s="364">
        <v>1165</v>
      </c>
      <c r="CI17" s="364">
        <v>1191</v>
      </c>
      <c r="CJ17" s="347"/>
      <c r="CK17" s="347"/>
      <c r="CL17" s="347"/>
      <c r="CM17" s="347"/>
      <c r="CN17" s="347">
        <f t="shared" si="1"/>
        <v>2356</v>
      </c>
      <c r="CO17" s="942">
        <v>19</v>
      </c>
      <c r="CP17" s="943"/>
      <c r="CQ17" s="943"/>
      <c r="CR17" s="944"/>
      <c r="CS17" s="945">
        <v>21</v>
      </c>
      <c r="CT17" s="947"/>
      <c r="CU17" s="942">
        <v>40</v>
      </c>
      <c r="CV17" s="944"/>
      <c r="CW17" s="955" t="s">
        <v>35</v>
      </c>
      <c r="CX17" s="956"/>
      <c r="CY17" s="956"/>
      <c r="CZ17" s="957"/>
      <c r="DA17" s="246">
        <f t="shared" si="2"/>
        <v>150000</v>
      </c>
    </row>
    <row r="18" spans="1:105" s="36" customFormat="1" ht="24.95" customHeight="1">
      <c r="A18" s="238">
        <v>13</v>
      </c>
      <c r="B18" s="365" t="s">
        <v>173</v>
      </c>
      <c r="C18" s="1532" t="s">
        <v>161</v>
      </c>
      <c r="D18" s="1533"/>
      <c r="E18" s="1534"/>
      <c r="F18" s="91">
        <v>6</v>
      </c>
      <c r="G18" s="1521">
        <v>0</v>
      </c>
      <c r="H18" s="1522"/>
      <c r="I18" s="1521">
        <v>0</v>
      </c>
      <c r="J18" s="1522"/>
      <c r="K18" s="1521">
        <v>0</v>
      </c>
      <c r="L18" s="1531"/>
      <c r="M18" s="1522"/>
      <c r="N18" s="945">
        <v>0</v>
      </c>
      <c r="O18" s="947"/>
      <c r="P18" s="1525">
        <v>0</v>
      </c>
      <c r="Q18" s="1527"/>
      <c r="R18" s="1521">
        <v>0</v>
      </c>
      <c r="S18" s="1531"/>
      <c r="T18" s="1531"/>
      <c r="U18" s="1522"/>
      <c r="V18" s="1528">
        <v>0</v>
      </c>
      <c r="W18" s="1529"/>
      <c r="X18" s="1530"/>
      <c r="Y18" s="942">
        <v>0</v>
      </c>
      <c r="Z18" s="944"/>
      <c r="AA18" s="1521">
        <v>0</v>
      </c>
      <c r="AB18" s="1522"/>
      <c r="AC18" s="1535">
        <v>0</v>
      </c>
      <c r="AD18" s="1536"/>
      <c r="AE18" s="1537"/>
      <c r="AF18" s="1535">
        <v>0</v>
      </c>
      <c r="AG18" s="1537"/>
      <c r="AH18" s="950">
        <v>0</v>
      </c>
      <c r="AI18" s="951"/>
      <c r="AJ18" s="91">
        <v>0</v>
      </c>
      <c r="AK18" s="942">
        <v>0</v>
      </c>
      <c r="AL18" s="943"/>
      <c r="AM18" s="944"/>
      <c r="AN18" s="942">
        <v>0</v>
      </c>
      <c r="AO18" s="943"/>
      <c r="AP18" s="944"/>
      <c r="AQ18" s="950">
        <v>0</v>
      </c>
      <c r="AR18" s="951"/>
      <c r="AS18" s="1521">
        <v>3</v>
      </c>
      <c r="AT18" s="1522"/>
      <c r="AU18" s="1523">
        <v>67</v>
      </c>
      <c r="AV18" s="1524"/>
      <c r="AW18" s="1521">
        <v>98</v>
      </c>
      <c r="AX18" s="1522"/>
      <c r="AY18" s="91">
        <v>165</v>
      </c>
      <c r="AZ18" s="1521">
        <v>3</v>
      </c>
      <c r="BA18" s="1522"/>
      <c r="BB18" s="1521">
        <v>91</v>
      </c>
      <c r="BC18" s="1531"/>
      <c r="BD18" s="1531"/>
      <c r="BE18" s="1522"/>
      <c r="BF18" s="1525">
        <v>66</v>
      </c>
      <c r="BG18" s="1527"/>
      <c r="BH18" s="945">
        <v>157</v>
      </c>
      <c r="BI18" s="947"/>
      <c r="BJ18" s="1521">
        <v>3</v>
      </c>
      <c r="BK18" s="1531"/>
      <c r="BL18" s="1531"/>
      <c r="BM18" s="1522"/>
      <c r="BN18" s="193">
        <v>70</v>
      </c>
      <c r="BO18" s="1525">
        <v>63</v>
      </c>
      <c r="BP18" s="1526"/>
      <c r="BQ18" s="1527"/>
      <c r="BR18" s="194">
        <v>133</v>
      </c>
      <c r="BS18" s="942">
        <v>9</v>
      </c>
      <c r="BT18" s="943"/>
      <c r="BU18" s="944"/>
      <c r="BV18" s="942">
        <v>228</v>
      </c>
      <c r="BW18" s="944"/>
      <c r="BX18" s="942">
        <v>227</v>
      </c>
      <c r="BY18" s="943"/>
      <c r="BZ18" s="944"/>
      <c r="CA18" s="950">
        <v>455</v>
      </c>
      <c r="CB18" s="951"/>
      <c r="CC18" s="942">
        <v>9</v>
      </c>
      <c r="CD18" s="943"/>
      <c r="CE18" s="364">
        <v>1</v>
      </c>
      <c r="CF18" s="364">
        <v>2</v>
      </c>
      <c r="CG18" s="361">
        <f t="shared" si="0"/>
        <v>3</v>
      </c>
      <c r="CH18" s="364">
        <v>211</v>
      </c>
      <c r="CI18" s="364">
        <v>224</v>
      </c>
      <c r="CJ18" s="347"/>
      <c r="CK18" s="347"/>
      <c r="CL18" s="347"/>
      <c r="CM18" s="347"/>
      <c r="CN18" s="347">
        <f t="shared" si="1"/>
        <v>435</v>
      </c>
      <c r="CO18" s="942">
        <v>10</v>
      </c>
      <c r="CP18" s="943"/>
      <c r="CQ18" s="943"/>
      <c r="CR18" s="944"/>
      <c r="CS18" s="945">
        <v>7</v>
      </c>
      <c r="CT18" s="947"/>
      <c r="CU18" s="942">
        <v>17</v>
      </c>
      <c r="CV18" s="944"/>
      <c r="CW18" s="955" t="s">
        <v>35</v>
      </c>
      <c r="CX18" s="956"/>
      <c r="CY18" s="956"/>
      <c r="CZ18" s="957"/>
      <c r="DA18" s="246">
        <f t="shared" si="2"/>
        <v>90000</v>
      </c>
    </row>
    <row r="19" spans="1:105" s="36" customFormat="1" ht="24.95" customHeight="1" thickBot="1">
      <c r="A19" s="238">
        <v>14</v>
      </c>
      <c r="B19" s="368" t="s">
        <v>174</v>
      </c>
      <c r="C19" s="1532" t="s">
        <v>18</v>
      </c>
      <c r="D19" s="1533"/>
      <c r="E19" s="1534"/>
      <c r="F19" s="91">
        <v>2</v>
      </c>
      <c r="G19" s="1521">
        <v>0</v>
      </c>
      <c r="H19" s="1522"/>
      <c r="I19" s="1521">
        <v>0</v>
      </c>
      <c r="J19" s="1522"/>
      <c r="K19" s="1521">
        <v>0</v>
      </c>
      <c r="L19" s="1531"/>
      <c r="M19" s="1522"/>
      <c r="N19" s="945">
        <v>0</v>
      </c>
      <c r="O19" s="947"/>
      <c r="P19" s="1525">
        <v>0</v>
      </c>
      <c r="Q19" s="1527"/>
      <c r="R19" s="1521">
        <v>0</v>
      </c>
      <c r="S19" s="1531"/>
      <c r="T19" s="1531"/>
      <c r="U19" s="1522"/>
      <c r="V19" s="1528">
        <v>0</v>
      </c>
      <c r="W19" s="1529"/>
      <c r="X19" s="1530"/>
      <c r="Y19" s="942">
        <v>0</v>
      </c>
      <c r="Z19" s="944"/>
      <c r="AA19" s="1521">
        <v>0</v>
      </c>
      <c r="AB19" s="1522"/>
      <c r="AC19" s="1535">
        <v>0</v>
      </c>
      <c r="AD19" s="1536"/>
      <c r="AE19" s="1537"/>
      <c r="AF19" s="1535">
        <v>0</v>
      </c>
      <c r="AG19" s="1537"/>
      <c r="AH19" s="950">
        <v>0</v>
      </c>
      <c r="AI19" s="951"/>
      <c r="AJ19" s="91">
        <v>0</v>
      </c>
      <c r="AK19" s="942">
        <v>0</v>
      </c>
      <c r="AL19" s="943"/>
      <c r="AM19" s="944"/>
      <c r="AN19" s="942">
        <v>0</v>
      </c>
      <c r="AO19" s="943"/>
      <c r="AP19" s="944"/>
      <c r="AQ19" s="950">
        <v>0</v>
      </c>
      <c r="AR19" s="951"/>
      <c r="AS19" s="1521">
        <v>3</v>
      </c>
      <c r="AT19" s="1522"/>
      <c r="AU19" s="1523">
        <v>42</v>
      </c>
      <c r="AV19" s="1524"/>
      <c r="AW19" s="1521">
        <v>63</v>
      </c>
      <c r="AX19" s="1522"/>
      <c r="AY19" s="91">
        <v>105</v>
      </c>
      <c r="AZ19" s="1521">
        <v>3</v>
      </c>
      <c r="BA19" s="1522"/>
      <c r="BB19" s="1521">
        <v>39</v>
      </c>
      <c r="BC19" s="1531"/>
      <c r="BD19" s="1531"/>
      <c r="BE19" s="1522"/>
      <c r="BF19" s="1525">
        <v>45</v>
      </c>
      <c r="BG19" s="1527"/>
      <c r="BH19" s="945">
        <v>84</v>
      </c>
      <c r="BI19" s="947"/>
      <c r="BJ19" s="1521">
        <v>3</v>
      </c>
      <c r="BK19" s="1531"/>
      <c r="BL19" s="1531"/>
      <c r="BM19" s="1522"/>
      <c r="BN19" s="193">
        <v>30</v>
      </c>
      <c r="BO19" s="1525">
        <v>28</v>
      </c>
      <c r="BP19" s="1526"/>
      <c r="BQ19" s="1527"/>
      <c r="BR19" s="194">
        <v>58</v>
      </c>
      <c r="BS19" s="942">
        <v>9</v>
      </c>
      <c r="BT19" s="943"/>
      <c r="BU19" s="944"/>
      <c r="BV19" s="942">
        <v>111</v>
      </c>
      <c r="BW19" s="944"/>
      <c r="BX19" s="942">
        <v>136</v>
      </c>
      <c r="BY19" s="943"/>
      <c r="BZ19" s="944"/>
      <c r="CA19" s="950">
        <v>247</v>
      </c>
      <c r="CB19" s="951"/>
      <c r="CC19" s="942">
        <v>9</v>
      </c>
      <c r="CD19" s="943"/>
      <c r="CE19" s="364">
        <v>1</v>
      </c>
      <c r="CF19" s="364">
        <v>2</v>
      </c>
      <c r="CG19" s="361">
        <f t="shared" si="0"/>
        <v>3</v>
      </c>
      <c r="CH19" s="364">
        <v>133</v>
      </c>
      <c r="CI19" s="364">
        <v>166</v>
      </c>
      <c r="CJ19" s="347"/>
      <c r="CK19" s="347"/>
      <c r="CL19" s="347"/>
      <c r="CM19" s="347"/>
      <c r="CN19" s="347">
        <f t="shared" si="1"/>
        <v>299</v>
      </c>
      <c r="CO19" s="942">
        <v>7</v>
      </c>
      <c r="CP19" s="943"/>
      <c r="CQ19" s="943"/>
      <c r="CR19" s="944"/>
      <c r="CS19" s="945">
        <v>11</v>
      </c>
      <c r="CT19" s="947"/>
      <c r="CU19" s="942">
        <v>18</v>
      </c>
      <c r="CV19" s="944"/>
      <c r="CW19" s="955" t="s">
        <v>35</v>
      </c>
      <c r="CX19" s="956"/>
      <c r="CY19" s="956"/>
      <c r="CZ19" s="957"/>
      <c r="DA19" s="246">
        <f t="shared" si="2"/>
        <v>90000</v>
      </c>
    </row>
    <row r="20" spans="1:105" s="36" customFormat="1" ht="24.95" customHeight="1">
      <c r="A20" s="238">
        <v>15</v>
      </c>
      <c r="B20" s="369" t="s">
        <v>175</v>
      </c>
      <c r="C20" s="1532" t="s">
        <v>161</v>
      </c>
      <c r="D20" s="1533"/>
      <c r="E20" s="1534"/>
      <c r="F20" s="91">
        <v>5</v>
      </c>
      <c r="G20" s="1521">
        <v>3</v>
      </c>
      <c r="H20" s="1522"/>
      <c r="I20" s="1521">
        <v>111</v>
      </c>
      <c r="J20" s="1522"/>
      <c r="K20" s="1521">
        <v>90</v>
      </c>
      <c r="L20" s="1531"/>
      <c r="M20" s="1522"/>
      <c r="N20" s="945">
        <v>201</v>
      </c>
      <c r="O20" s="947"/>
      <c r="P20" s="1525">
        <v>3</v>
      </c>
      <c r="Q20" s="1527"/>
      <c r="R20" s="1521">
        <v>93</v>
      </c>
      <c r="S20" s="1531"/>
      <c r="T20" s="1531"/>
      <c r="U20" s="1522"/>
      <c r="V20" s="1528">
        <v>94</v>
      </c>
      <c r="W20" s="1529"/>
      <c r="X20" s="1530"/>
      <c r="Y20" s="942">
        <v>187</v>
      </c>
      <c r="Z20" s="944"/>
      <c r="AA20" s="1521">
        <v>3</v>
      </c>
      <c r="AB20" s="1522"/>
      <c r="AC20" s="1525">
        <v>96</v>
      </c>
      <c r="AD20" s="1526"/>
      <c r="AE20" s="1527"/>
      <c r="AF20" s="1525">
        <v>78</v>
      </c>
      <c r="AG20" s="1527"/>
      <c r="AH20" s="950">
        <v>174</v>
      </c>
      <c r="AI20" s="951"/>
      <c r="AJ20" s="91">
        <v>9</v>
      </c>
      <c r="AK20" s="942">
        <v>300</v>
      </c>
      <c r="AL20" s="943"/>
      <c r="AM20" s="944"/>
      <c r="AN20" s="942">
        <v>262</v>
      </c>
      <c r="AO20" s="943"/>
      <c r="AP20" s="944"/>
      <c r="AQ20" s="950">
        <v>562</v>
      </c>
      <c r="AR20" s="951"/>
      <c r="AS20" s="1521">
        <v>3</v>
      </c>
      <c r="AT20" s="1522"/>
      <c r="AU20" s="1523">
        <v>96</v>
      </c>
      <c r="AV20" s="1524"/>
      <c r="AW20" s="1521">
        <v>92</v>
      </c>
      <c r="AX20" s="1522"/>
      <c r="AY20" s="91">
        <v>188</v>
      </c>
      <c r="AZ20" s="1521">
        <v>3</v>
      </c>
      <c r="BA20" s="1522"/>
      <c r="BB20" s="1521">
        <v>100</v>
      </c>
      <c r="BC20" s="1531"/>
      <c r="BD20" s="1531"/>
      <c r="BE20" s="1522"/>
      <c r="BF20" s="1525">
        <v>93</v>
      </c>
      <c r="BG20" s="1527"/>
      <c r="BH20" s="945">
        <v>193</v>
      </c>
      <c r="BI20" s="947"/>
      <c r="BJ20" s="1521">
        <v>3</v>
      </c>
      <c r="BK20" s="1531"/>
      <c r="BL20" s="1531"/>
      <c r="BM20" s="1522"/>
      <c r="BN20" s="193">
        <v>54</v>
      </c>
      <c r="BO20" s="1525">
        <v>61</v>
      </c>
      <c r="BP20" s="1526"/>
      <c r="BQ20" s="1527"/>
      <c r="BR20" s="194">
        <v>115</v>
      </c>
      <c r="BS20" s="942">
        <v>9</v>
      </c>
      <c r="BT20" s="943"/>
      <c r="BU20" s="944"/>
      <c r="BV20" s="942">
        <v>250</v>
      </c>
      <c r="BW20" s="944"/>
      <c r="BX20" s="942">
        <v>246</v>
      </c>
      <c r="BY20" s="943"/>
      <c r="BZ20" s="944"/>
      <c r="CA20" s="950">
        <v>496</v>
      </c>
      <c r="CB20" s="951"/>
      <c r="CC20" s="942">
        <v>18</v>
      </c>
      <c r="CD20" s="943"/>
      <c r="CE20" s="364">
        <v>1</v>
      </c>
      <c r="CF20" s="364">
        <v>2</v>
      </c>
      <c r="CG20" s="361">
        <f t="shared" si="0"/>
        <v>3</v>
      </c>
      <c r="CH20" s="364">
        <v>535</v>
      </c>
      <c r="CI20" s="364">
        <v>487</v>
      </c>
      <c r="CJ20" s="347"/>
      <c r="CK20" s="347"/>
      <c r="CL20" s="347"/>
      <c r="CM20" s="347"/>
      <c r="CN20" s="347">
        <f t="shared" si="1"/>
        <v>1022</v>
      </c>
      <c r="CO20" s="942">
        <v>11</v>
      </c>
      <c r="CP20" s="943"/>
      <c r="CQ20" s="943"/>
      <c r="CR20" s="944"/>
      <c r="CS20" s="945">
        <v>14</v>
      </c>
      <c r="CT20" s="947"/>
      <c r="CU20" s="942">
        <v>25</v>
      </c>
      <c r="CV20" s="944"/>
      <c r="CW20" s="955" t="s">
        <v>35</v>
      </c>
      <c r="CX20" s="956"/>
      <c r="CY20" s="956"/>
      <c r="CZ20" s="957"/>
      <c r="DA20" s="246">
        <f t="shared" si="2"/>
        <v>150000</v>
      </c>
    </row>
    <row r="21" spans="1:105" s="36" customFormat="1" ht="24.95" customHeight="1">
      <c r="A21" s="238">
        <v>16</v>
      </c>
      <c r="B21" s="370" t="s">
        <v>176</v>
      </c>
      <c r="C21" s="1532" t="s">
        <v>161</v>
      </c>
      <c r="D21" s="1533"/>
      <c r="E21" s="1534"/>
      <c r="F21" s="91">
        <v>5</v>
      </c>
      <c r="G21" s="1521">
        <v>2</v>
      </c>
      <c r="H21" s="1522"/>
      <c r="I21" s="1521">
        <v>66</v>
      </c>
      <c r="J21" s="1522"/>
      <c r="K21" s="1521">
        <v>59</v>
      </c>
      <c r="L21" s="1531"/>
      <c r="M21" s="1522"/>
      <c r="N21" s="945">
        <v>125</v>
      </c>
      <c r="O21" s="947"/>
      <c r="P21" s="1525">
        <v>3</v>
      </c>
      <c r="Q21" s="1527"/>
      <c r="R21" s="1521">
        <v>91</v>
      </c>
      <c r="S21" s="1531"/>
      <c r="T21" s="1531"/>
      <c r="U21" s="1522"/>
      <c r="V21" s="1528">
        <v>87</v>
      </c>
      <c r="W21" s="1529"/>
      <c r="X21" s="1530"/>
      <c r="Y21" s="942">
        <v>178</v>
      </c>
      <c r="Z21" s="944"/>
      <c r="AA21" s="1521">
        <v>3</v>
      </c>
      <c r="AB21" s="1522"/>
      <c r="AC21" s="1525">
        <v>98</v>
      </c>
      <c r="AD21" s="1526"/>
      <c r="AE21" s="1527"/>
      <c r="AF21" s="1525">
        <v>80</v>
      </c>
      <c r="AG21" s="1527"/>
      <c r="AH21" s="950">
        <v>178</v>
      </c>
      <c r="AI21" s="951"/>
      <c r="AJ21" s="91">
        <v>8</v>
      </c>
      <c r="AK21" s="942">
        <v>255</v>
      </c>
      <c r="AL21" s="943"/>
      <c r="AM21" s="944"/>
      <c r="AN21" s="942">
        <v>226</v>
      </c>
      <c r="AO21" s="943"/>
      <c r="AP21" s="944"/>
      <c r="AQ21" s="950">
        <v>481</v>
      </c>
      <c r="AR21" s="951"/>
      <c r="AS21" s="1521">
        <v>3</v>
      </c>
      <c r="AT21" s="1522"/>
      <c r="AU21" s="1523">
        <v>58</v>
      </c>
      <c r="AV21" s="1524"/>
      <c r="AW21" s="1521">
        <v>57</v>
      </c>
      <c r="AX21" s="1522"/>
      <c r="AY21" s="91">
        <v>115</v>
      </c>
      <c r="AZ21" s="1521">
        <v>3</v>
      </c>
      <c r="BA21" s="1522"/>
      <c r="BB21" s="1521">
        <v>69</v>
      </c>
      <c r="BC21" s="1531"/>
      <c r="BD21" s="1531"/>
      <c r="BE21" s="1522"/>
      <c r="BF21" s="1525">
        <v>57</v>
      </c>
      <c r="BG21" s="1527"/>
      <c r="BH21" s="945">
        <v>126</v>
      </c>
      <c r="BI21" s="947"/>
      <c r="BJ21" s="1521">
        <v>3</v>
      </c>
      <c r="BK21" s="1531"/>
      <c r="BL21" s="1531"/>
      <c r="BM21" s="1522"/>
      <c r="BN21" s="193">
        <v>39</v>
      </c>
      <c r="BO21" s="1525">
        <v>38</v>
      </c>
      <c r="BP21" s="1526"/>
      <c r="BQ21" s="1527"/>
      <c r="BR21" s="194">
        <v>77</v>
      </c>
      <c r="BS21" s="942">
        <v>9</v>
      </c>
      <c r="BT21" s="943"/>
      <c r="BU21" s="944"/>
      <c r="BV21" s="942">
        <v>166</v>
      </c>
      <c r="BW21" s="944"/>
      <c r="BX21" s="942">
        <v>152</v>
      </c>
      <c r="BY21" s="943"/>
      <c r="BZ21" s="944"/>
      <c r="CA21" s="950">
        <v>318</v>
      </c>
      <c r="CB21" s="951"/>
      <c r="CC21" s="942">
        <v>17</v>
      </c>
      <c r="CD21" s="943"/>
      <c r="CE21" s="364">
        <v>1</v>
      </c>
      <c r="CF21" s="364">
        <v>2</v>
      </c>
      <c r="CG21" s="361">
        <f t="shared" si="0"/>
        <v>3</v>
      </c>
      <c r="CH21" s="364">
        <v>423</v>
      </c>
      <c r="CI21" s="364">
        <v>395</v>
      </c>
      <c r="CJ21" s="347"/>
      <c r="CK21" s="347"/>
      <c r="CL21" s="347"/>
      <c r="CM21" s="347"/>
      <c r="CN21" s="347">
        <f t="shared" si="1"/>
        <v>818</v>
      </c>
      <c r="CO21" s="942">
        <v>13</v>
      </c>
      <c r="CP21" s="943"/>
      <c r="CQ21" s="943"/>
      <c r="CR21" s="944"/>
      <c r="CS21" s="945">
        <v>25</v>
      </c>
      <c r="CT21" s="947"/>
      <c r="CU21" s="942">
        <v>38</v>
      </c>
      <c r="CV21" s="944"/>
      <c r="CW21" s="955" t="s">
        <v>35</v>
      </c>
      <c r="CX21" s="956"/>
      <c r="CY21" s="956"/>
      <c r="CZ21" s="957"/>
      <c r="DA21" s="246">
        <f t="shared" si="2"/>
        <v>90000</v>
      </c>
    </row>
    <row r="22" spans="1:105" s="36" customFormat="1" ht="24.95" customHeight="1">
      <c r="A22" s="238">
        <v>17</v>
      </c>
      <c r="B22" s="371" t="s">
        <v>177</v>
      </c>
      <c r="C22" s="1532" t="s">
        <v>18</v>
      </c>
      <c r="D22" s="1533"/>
      <c r="E22" s="1534"/>
      <c r="F22" s="91">
        <v>10</v>
      </c>
      <c r="G22" s="1521">
        <v>2</v>
      </c>
      <c r="H22" s="1522"/>
      <c r="I22" s="1521">
        <v>37</v>
      </c>
      <c r="J22" s="1522"/>
      <c r="K22" s="1521">
        <v>40</v>
      </c>
      <c r="L22" s="1531"/>
      <c r="M22" s="1522"/>
      <c r="N22" s="945">
        <v>77</v>
      </c>
      <c r="O22" s="947"/>
      <c r="P22" s="1525">
        <v>2</v>
      </c>
      <c r="Q22" s="1527"/>
      <c r="R22" s="1521">
        <v>21</v>
      </c>
      <c r="S22" s="1531"/>
      <c r="T22" s="1531"/>
      <c r="U22" s="1522"/>
      <c r="V22" s="1528">
        <v>19</v>
      </c>
      <c r="W22" s="1529"/>
      <c r="X22" s="1530"/>
      <c r="Y22" s="942">
        <v>40</v>
      </c>
      <c r="Z22" s="944"/>
      <c r="AA22" s="1521">
        <v>2</v>
      </c>
      <c r="AB22" s="1522"/>
      <c r="AC22" s="1525">
        <v>26</v>
      </c>
      <c r="AD22" s="1526"/>
      <c r="AE22" s="1527"/>
      <c r="AF22" s="1525">
        <v>28</v>
      </c>
      <c r="AG22" s="1527"/>
      <c r="AH22" s="950">
        <v>54</v>
      </c>
      <c r="AI22" s="951"/>
      <c r="AJ22" s="91">
        <v>6</v>
      </c>
      <c r="AK22" s="942">
        <v>84</v>
      </c>
      <c r="AL22" s="943"/>
      <c r="AM22" s="944"/>
      <c r="AN22" s="942">
        <v>87</v>
      </c>
      <c r="AO22" s="943"/>
      <c r="AP22" s="944"/>
      <c r="AQ22" s="950">
        <v>171</v>
      </c>
      <c r="AR22" s="951"/>
      <c r="AS22" s="1521">
        <v>2</v>
      </c>
      <c r="AT22" s="1522"/>
      <c r="AU22" s="1523">
        <v>27</v>
      </c>
      <c r="AV22" s="1524"/>
      <c r="AW22" s="1521">
        <v>24</v>
      </c>
      <c r="AX22" s="1522"/>
      <c r="AY22" s="91">
        <v>51</v>
      </c>
      <c r="AZ22" s="1521">
        <v>2</v>
      </c>
      <c r="BA22" s="1522"/>
      <c r="BB22" s="1521">
        <v>30</v>
      </c>
      <c r="BC22" s="1531"/>
      <c r="BD22" s="1531"/>
      <c r="BE22" s="1522"/>
      <c r="BF22" s="1525">
        <v>29</v>
      </c>
      <c r="BG22" s="1527"/>
      <c r="BH22" s="945">
        <v>59</v>
      </c>
      <c r="BI22" s="947"/>
      <c r="BJ22" s="1521">
        <v>2</v>
      </c>
      <c r="BK22" s="1531"/>
      <c r="BL22" s="1531"/>
      <c r="BM22" s="1522"/>
      <c r="BN22" s="193">
        <v>15</v>
      </c>
      <c r="BO22" s="1525">
        <v>16</v>
      </c>
      <c r="BP22" s="1526"/>
      <c r="BQ22" s="1527"/>
      <c r="BR22" s="194">
        <v>31</v>
      </c>
      <c r="BS22" s="942">
        <v>6</v>
      </c>
      <c r="BT22" s="943"/>
      <c r="BU22" s="944"/>
      <c r="BV22" s="942">
        <v>72</v>
      </c>
      <c r="BW22" s="944"/>
      <c r="BX22" s="942">
        <v>69</v>
      </c>
      <c r="BY22" s="943"/>
      <c r="BZ22" s="944"/>
      <c r="CA22" s="950">
        <v>141</v>
      </c>
      <c r="CB22" s="951"/>
      <c r="CC22" s="942">
        <v>12</v>
      </c>
      <c r="CD22" s="943"/>
      <c r="CE22" s="364">
        <v>1</v>
      </c>
      <c r="CF22" s="364">
        <v>2</v>
      </c>
      <c r="CG22" s="361">
        <f t="shared" si="0"/>
        <v>3</v>
      </c>
      <c r="CH22" s="364">
        <v>178</v>
      </c>
      <c r="CI22" s="364">
        <v>166</v>
      </c>
      <c r="CJ22" s="347"/>
      <c r="CK22" s="347"/>
      <c r="CL22" s="347"/>
      <c r="CM22" s="347"/>
      <c r="CN22" s="347">
        <f t="shared" si="1"/>
        <v>344</v>
      </c>
      <c r="CO22" s="942">
        <v>12</v>
      </c>
      <c r="CP22" s="943"/>
      <c r="CQ22" s="943"/>
      <c r="CR22" s="944"/>
      <c r="CS22" s="945">
        <v>11</v>
      </c>
      <c r="CT22" s="947"/>
      <c r="CU22" s="942">
        <v>23</v>
      </c>
      <c r="CV22" s="944"/>
      <c r="CW22" s="955" t="s">
        <v>35</v>
      </c>
      <c r="CX22" s="956"/>
      <c r="CY22" s="956"/>
      <c r="CZ22" s="957"/>
      <c r="DA22" s="246">
        <f t="shared" si="2"/>
        <v>90000</v>
      </c>
    </row>
    <row r="23" spans="1:105" s="36" customFormat="1" ht="24.95" customHeight="1" thickBot="1">
      <c r="A23" s="238">
        <v>18</v>
      </c>
      <c r="B23" s="372" t="s">
        <v>178</v>
      </c>
      <c r="C23" s="1532" t="s">
        <v>161</v>
      </c>
      <c r="D23" s="1533"/>
      <c r="E23" s="1534"/>
      <c r="F23" s="91">
        <v>6</v>
      </c>
      <c r="G23" s="1521">
        <v>1</v>
      </c>
      <c r="H23" s="1522"/>
      <c r="I23" s="1521">
        <v>53</v>
      </c>
      <c r="J23" s="1522"/>
      <c r="K23" s="1521">
        <v>21</v>
      </c>
      <c r="L23" s="1531"/>
      <c r="M23" s="1522"/>
      <c r="N23" s="945">
        <v>74</v>
      </c>
      <c r="O23" s="947"/>
      <c r="P23" s="1525">
        <v>2</v>
      </c>
      <c r="Q23" s="1527"/>
      <c r="R23" s="1521">
        <v>58</v>
      </c>
      <c r="S23" s="1531"/>
      <c r="T23" s="1531"/>
      <c r="U23" s="1522"/>
      <c r="V23" s="1528">
        <v>52</v>
      </c>
      <c r="W23" s="1529"/>
      <c r="X23" s="1530"/>
      <c r="Y23" s="942">
        <v>110</v>
      </c>
      <c r="Z23" s="944"/>
      <c r="AA23" s="1521">
        <v>1</v>
      </c>
      <c r="AB23" s="1522"/>
      <c r="AC23" s="1525">
        <v>27</v>
      </c>
      <c r="AD23" s="1526"/>
      <c r="AE23" s="1527"/>
      <c r="AF23" s="1525">
        <v>43</v>
      </c>
      <c r="AG23" s="1527"/>
      <c r="AH23" s="950">
        <v>70</v>
      </c>
      <c r="AI23" s="951"/>
      <c r="AJ23" s="91">
        <v>4</v>
      </c>
      <c r="AK23" s="942">
        <v>138</v>
      </c>
      <c r="AL23" s="943"/>
      <c r="AM23" s="944"/>
      <c r="AN23" s="942">
        <v>116</v>
      </c>
      <c r="AO23" s="943"/>
      <c r="AP23" s="944"/>
      <c r="AQ23" s="950">
        <v>254</v>
      </c>
      <c r="AR23" s="951"/>
      <c r="AS23" s="1521">
        <v>1</v>
      </c>
      <c r="AT23" s="1522"/>
      <c r="AU23" s="1523">
        <v>31</v>
      </c>
      <c r="AV23" s="1524"/>
      <c r="AW23" s="1521">
        <v>25</v>
      </c>
      <c r="AX23" s="1522"/>
      <c r="AY23" s="91">
        <v>56</v>
      </c>
      <c r="AZ23" s="1521">
        <v>1</v>
      </c>
      <c r="BA23" s="1522"/>
      <c r="BB23" s="1521">
        <v>36</v>
      </c>
      <c r="BC23" s="1531"/>
      <c r="BD23" s="1531"/>
      <c r="BE23" s="1522"/>
      <c r="BF23" s="1525">
        <v>29</v>
      </c>
      <c r="BG23" s="1527"/>
      <c r="BH23" s="945">
        <v>65</v>
      </c>
      <c r="BI23" s="947"/>
      <c r="BJ23" s="1521">
        <v>1</v>
      </c>
      <c r="BK23" s="1531"/>
      <c r="BL23" s="1531"/>
      <c r="BM23" s="1522"/>
      <c r="BN23" s="193">
        <v>17</v>
      </c>
      <c r="BO23" s="1525">
        <v>14</v>
      </c>
      <c r="BP23" s="1526"/>
      <c r="BQ23" s="1527"/>
      <c r="BR23" s="194">
        <v>31</v>
      </c>
      <c r="BS23" s="942">
        <v>3</v>
      </c>
      <c r="BT23" s="943"/>
      <c r="BU23" s="944"/>
      <c r="BV23" s="942">
        <v>84</v>
      </c>
      <c r="BW23" s="944"/>
      <c r="BX23" s="942">
        <v>68</v>
      </c>
      <c r="BY23" s="943"/>
      <c r="BZ23" s="944"/>
      <c r="CA23" s="950">
        <v>152</v>
      </c>
      <c r="CB23" s="951"/>
      <c r="CC23" s="942">
        <v>7</v>
      </c>
      <c r="CD23" s="943"/>
      <c r="CE23" s="364">
        <v>1</v>
      </c>
      <c r="CF23" s="364">
        <v>2</v>
      </c>
      <c r="CG23" s="361">
        <f t="shared" si="0"/>
        <v>3</v>
      </c>
      <c r="CH23" s="364">
        <v>209</v>
      </c>
      <c r="CI23" s="364">
        <v>188</v>
      </c>
      <c r="CJ23" s="347"/>
      <c r="CK23" s="347"/>
      <c r="CL23" s="347"/>
      <c r="CM23" s="347"/>
      <c r="CN23" s="347">
        <f t="shared" si="1"/>
        <v>397</v>
      </c>
      <c r="CO23" s="942">
        <v>8</v>
      </c>
      <c r="CP23" s="943"/>
      <c r="CQ23" s="943"/>
      <c r="CR23" s="944"/>
      <c r="CS23" s="945">
        <v>8</v>
      </c>
      <c r="CT23" s="947"/>
      <c r="CU23" s="942">
        <v>16</v>
      </c>
      <c r="CV23" s="944"/>
      <c r="CW23" s="955" t="s">
        <v>35</v>
      </c>
      <c r="CX23" s="956"/>
      <c r="CY23" s="956"/>
      <c r="CZ23" s="957"/>
      <c r="DA23" s="246">
        <f t="shared" si="2"/>
        <v>90000</v>
      </c>
    </row>
    <row r="24" spans="1:105" ht="24.95" customHeight="1">
      <c r="A24" s="240"/>
      <c r="B24" s="346"/>
      <c r="C24" s="1451"/>
      <c r="D24" s="1452"/>
      <c r="E24" s="1453"/>
      <c r="F24" s="195"/>
      <c r="G24" s="942">
        <v>35</v>
      </c>
      <c r="H24" s="944"/>
      <c r="I24" s="942">
        <v>1416</v>
      </c>
      <c r="J24" s="944"/>
      <c r="K24" s="942">
        <v>1300</v>
      </c>
      <c r="L24" s="943"/>
      <c r="M24" s="944"/>
      <c r="N24" s="945">
        <v>2716</v>
      </c>
      <c r="O24" s="947"/>
      <c r="P24" s="945">
        <v>38</v>
      </c>
      <c r="Q24" s="947"/>
      <c r="R24" s="942">
        <v>1257</v>
      </c>
      <c r="S24" s="943"/>
      <c r="T24" s="943"/>
      <c r="U24" s="944"/>
      <c r="V24" s="972">
        <v>1286</v>
      </c>
      <c r="W24" s="1520"/>
      <c r="X24" s="973"/>
      <c r="Y24" s="942">
        <v>2543</v>
      </c>
      <c r="Z24" s="944"/>
      <c r="AA24" s="942">
        <v>35</v>
      </c>
      <c r="AB24" s="944"/>
      <c r="AC24" s="945">
        <v>1154</v>
      </c>
      <c r="AD24" s="946"/>
      <c r="AE24" s="947"/>
      <c r="AF24" s="945">
        <v>1230</v>
      </c>
      <c r="AG24" s="947"/>
      <c r="AH24" s="950">
        <v>2384</v>
      </c>
      <c r="AI24" s="951"/>
      <c r="AJ24" s="91">
        <v>108</v>
      </c>
      <c r="AK24" s="942">
        <v>3827</v>
      </c>
      <c r="AL24" s="943"/>
      <c r="AM24" s="944"/>
      <c r="AN24" s="942">
        <v>3816</v>
      </c>
      <c r="AO24" s="943"/>
      <c r="AP24" s="944"/>
      <c r="AQ24" s="950">
        <v>7643</v>
      </c>
      <c r="AR24" s="951"/>
      <c r="AS24" s="942">
        <v>44</v>
      </c>
      <c r="AT24" s="944"/>
      <c r="AU24" s="950">
        <v>1207</v>
      </c>
      <c r="AV24" s="951"/>
      <c r="AW24" s="942">
        <v>1301</v>
      </c>
      <c r="AX24" s="944"/>
      <c r="AY24" s="91">
        <v>2508</v>
      </c>
      <c r="AZ24" s="942">
        <v>42</v>
      </c>
      <c r="BA24" s="944"/>
      <c r="BB24" s="942">
        <v>1175</v>
      </c>
      <c r="BC24" s="943"/>
      <c r="BD24" s="943"/>
      <c r="BE24" s="944"/>
      <c r="BF24" s="945">
        <v>1133</v>
      </c>
      <c r="BG24" s="947"/>
      <c r="BH24" s="945">
        <v>2308</v>
      </c>
      <c r="BI24" s="947"/>
      <c r="BJ24" s="942">
        <v>41</v>
      </c>
      <c r="BK24" s="943"/>
      <c r="BL24" s="943"/>
      <c r="BM24" s="944"/>
      <c r="BN24" s="91">
        <v>831</v>
      </c>
      <c r="BO24" s="945">
        <v>878</v>
      </c>
      <c r="BP24" s="946"/>
      <c r="BQ24" s="947"/>
      <c r="BR24" s="194">
        <v>1709</v>
      </c>
      <c r="BS24" s="942">
        <v>127</v>
      </c>
      <c r="BT24" s="943"/>
      <c r="BU24" s="944"/>
      <c r="BV24" s="942">
        <v>3213</v>
      </c>
      <c r="BW24" s="944"/>
      <c r="BX24" s="942">
        <v>3312</v>
      </c>
      <c r="BY24" s="943"/>
      <c r="BZ24" s="944"/>
      <c r="CA24" s="950">
        <v>6525</v>
      </c>
      <c r="CB24" s="951"/>
      <c r="CC24" s="942">
        <v>235</v>
      </c>
      <c r="CD24" s="943"/>
      <c r="CE24" s="347">
        <f>SUM(CE6:CE23)</f>
        <v>16</v>
      </c>
      <c r="CF24" s="347">
        <f>SUM(CF6:CF23)</f>
        <v>37</v>
      </c>
      <c r="CG24" s="374">
        <f>SUM(CG6:CG23)</f>
        <v>53</v>
      </c>
      <c r="CH24" s="347">
        <f>SUM(CH6:CH23)</f>
        <v>7191</v>
      </c>
      <c r="CI24" s="347">
        <f>SUM(CI6:CI23)</f>
        <v>7378</v>
      </c>
      <c r="CJ24" s="347"/>
      <c r="CK24" s="347"/>
      <c r="CL24" s="347"/>
      <c r="CM24" s="347"/>
      <c r="CN24" s="347">
        <f>SUM(CN6:CN23)</f>
        <v>14569</v>
      </c>
      <c r="CO24" s="942">
        <v>193</v>
      </c>
      <c r="CP24" s="943"/>
      <c r="CQ24" s="943"/>
      <c r="CR24" s="944"/>
      <c r="CS24" s="945">
        <v>233</v>
      </c>
      <c r="CT24" s="947"/>
      <c r="CU24" s="942">
        <v>426</v>
      </c>
      <c r="CV24" s="944"/>
      <c r="CW24" s="948">
        <v>18</v>
      </c>
      <c r="CX24" s="949"/>
      <c r="CY24" s="949"/>
      <c r="CZ24" s="949"/>
      <c r="DA24" s="246">
        <f>SUM(DA6:DA23)</f>
        <v>1800000</v>
      </c>
    </row>
    <row r="25" spans="1:105" ht="31.5" hidden="1">
      <c r="A25" s="265" t="s">
        <v>535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6"/>
      <c r="CF25" s="76"/>
      <c r="CG25" s="76"/>
      <c r="CH25" s="76"/>
      <c r="CI25" s="76"/>
      <c r="CJ25" s="76"/>
      <c r="CK25" s="76"/>
      <c r="CL25" s="76"/>
      <c r="CM25" s="77"/>
      <c r="CN25" s="78"/>
      <c r="CO25" s="807">
        <v>10</v>
      </c>
      <c r="CP25" s="814"/>
      <c r="CQ25" s="808"/>
      <c r="CR25" s="807">
        <v>21</v>
      </c>
      <c r="CS25" s="814"/>
      <c r="CT25" s="808"/>
      <c r="CU25" s="805">
        <v>31</v>
      </c>
      <c r="CV25" s="806"/>
      <c r="CW25" s="1572"/>
      <c r="CX25" s="997"/>
      <c r="CY25" s="997"/>
      <c r="CZ25" s="997"/>
      <c r="DA25" s="272">
        <f>CM24*20</f>
        <v>0</v>
      </c>
    </row>
    <row r="26" spans="1:105" ht="31.5" thickBot="1">
      <c r="A26" s="249" t="s">
        <v>534</v>
      </c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P26" s="273"/>
      <c r="Q26" s="273"/>
      <c r="R26" s="273"/>
      <c r="S26" s="273"/>
      <c r="T26" s="273"/>
      <c r="U26" s="273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3"/>
      <c r="BS26" s="273"/>
      <c r="BT26" s="273"/>
      <c r="BU26" s="273"/>
      <c r="BV26" s="273"/>
      <c r="BW26" s="273"/>
      <c r="BX26" s="273"/>
      <c r="BY26" s="273"/>
      <c r="BZ26" s="273"/>
      <c r="CA26" s="273"/>
      <c r="CB26" s="273"/>
      <c r="CC26" s="273"/>
      <c r="CD26" s="273"/>
      <c r="CE26" s="273"/>
      <c r="CF26" s="273"/>
      <c r="CG26" s="273"/>
      <c r="CH26" s="273"/>
      <c r="CI26" s="273"/>
      <c r="CJ26" s="273"/>
      <c r="CK26" s="273"/>
      <c r="CL26" s="273"/>
      <c r="CM26" s="274"/>
      <c r="CN26" s="275"/>
      <c r="CO26" s="926">
        <v>286</v>
      </c>
      <c r="CP26" s="927"/>
      <c r="CQ26" s="928"/>
      <c r="CR26" s="926">
        <v>629</v>
      </c>
      <c r="CS26" s="927"/>
      <c r="CT26" s="928"/>
      <c r="CU26" s="929">
        <v>915</v>
      </c>
      <c r="CV26" s="931"/>
      <c r="CW26" s="1573" t="s">
        <v>64</v>
      </c>
      <c r="CX26" s="1574"/>
      <c r="CY26" s="1574"/>
      <c r="CZ26" s="1575"/>
      <c r="DA26" s="276">
        <f>DA24+DA25</f>
        <v>1800000</v>
      </c>
    </row>
    <row r="27" spans="1:105">
      <c r="CI27" s="196">
        <f>COUNTIF(CM6:CN23, "&lt;1000")</f>
        <v>15</v>
      </c>
      <c r="CJ27" s="196">
        <f>COUNTIF(CM6:CN23, "&gt;1000")</f>
        <v>3</v>
      </c>
    </row>
  </sheetData>
  <mergeCells count="692">
    <mergeCell ref="CO6:CR6"/>
    <mergeCell ref="CS6:CT6"/>
    <mergeCell ref="CS8:CT8"/>
    <mergeCell ref="CU8:CV8"/>
    <mergeCell ref="CS7:CT7"/>
    <mergeCell ref="Y5:Z5"/>
    <mergeCell ref="AA5:AB5"/>
    <mergeCell ref="AC5:AE5"/>
    <mergeCell ref="AF5:AG5"/>
    <mergeCell ref="AH5:AI5"/>
    <mergeCell ref="BJ5:BM5"/>
    <mergeCell ref="BO5:BQ5"/>
    <mergeCell ref="BS5:BU5"/>
    <mergeCell ref="BV5:BW5"/>
    <mergeCell ref="BX5:BZ5"/>
    <mergeCell ref="CA5:CB5"/>
    <mergeCell ref="AK5:AM5"/>
    <mergeCell ref="AN5:AP5"/>
    <mergeCell ref="AZ5:BA5"/>
    <mergeCell ref="BB5:BE5"/>
    <mergeCell ref="BF5:BG5"/>
    <mergeCell ref="BH5:BI5"/>
    <mergeCell ref="AQ5:AR5"/>
    <mergeCell ref="AS5:AT5"/>
    <mergeCell ref="CU25:CV25"/>
    <mergeCell ref="CW25:CZ25"/>
    <mergeCell ref="CO26:CQ26"/>
    <mergeCell ref="CR26:CT26"/>
    <mergeCell ref="CU26:CV26"/>
    <mergeCell ref="CW26:CZ26"/>
    <mergeCell ref="CW5:CZ5"/>
    <mergeCell ref="CU5:CV5"/>
    <mergeCell ref="CC5:CD5"/>
    <mergeCell ref="CO5:CR5"/>
    <mergeCell ref="CS5:CT5"/>
    <mergeCell ref="CU6:CV6"/>
    <mergeCell ref="CW6:CZ6"/>
    <mergeCell ref="CU7:CV7"/>
    <mergeCell ref="CW7:CZ7"/>
    <mergeCell ref="CW8:CZ8"/>
    <mergeCell ref="CO25:CQ25"/>
    <mergeCell ref="CR25:CT25"/>
    <mergeCell ref="CC7:CD7"/>
    <mergeCell ref="CO7:CR7"/>
    <mergeCell ref="CU9:CV9"/>
    <mergeCell ref="CO8:CR8"/>
    <mergeCell ref="CO9:CR9"/>
    <mergeCell ref="CS9:CT9"/>
    <mergeCell ref="AU5:AV5"/>
    <mergeCell ref="AW5:AX5"/>
    <mergeCell ref="C5:E5"/>
    <mergeCell ref="G5:H5"/>
    <mergeCell ref="I5:J5"/>
    <mergeCell ref="K5:M5"/>
    <mergeCell ref="N5:O5"/>
    <mergeCell ref="P5:Q5"/>
    <mergeCell ref="R5:U5"/>
    <mergeCell ref="V5:X5"/>
    <mergeCell ref="C7:E7"/>
    <mergeCell ref="G7:H7"/>
    <mergeCell ref="I7:J7"/>
    <mergeCell ref="K7:M7"/>
    <mergeCell ref="C6:E6"/>
    <mergeCell ref="G6:H6"/>
    <mergeCell ref="I6:J6"/>
    <mergeCell ref="K6:M6"/>
    <mergeCell ref="N6:O6"/>
    <mergeCell ref="N7:O7"/>
    <mergeCell ref="BX6:BZ6"/>
    <mergeCell ref="CA6:CB6"/>
    <mergeCell ref="CC6:CD6"/>
    <mergeCell ref="BB6:BE6"/>
    <mergeCell ref="BF6:BG6"/>
    <mergeCell ref="BH6:BI6"/>
    <mergeCell ref="BJ6:BM6"/>
    <mergeCell ref="BO6:BQ6"/>
    <mergeCell ref="BS6:BU6"/>
    <mergeCell ref="P7:Q7"/>
    <mergeCell ref="R7:U7"/>
    <mergeCell ref="V7:X7"/>
    <mergeCell ref="BV6:BW6"/>
    <mergeCell ref="Y6:Z6"/>
    <mergeCell ref="AA6:AB6"/>
    <mergeCell ref="AC6:AE6"/>
    <mergeCell ref="AF6:AG6"/>
    <mergeCell ref="AH6:AI6"/>
    <mergeCell ref="AK6:AM6"/>
    <mergeCell ref="Y7:Z7"/>
    <mergeCell ref="AA7:AB7"/>
    <mergeCell ref="AZ6:BA6"/>
    <mergeCell ref="AN6:AP6"/>
    <mergeCell ref="AQ7:AR7"/>
    <mergeCell ref="P6:Q6"/>
    <mergeCell ref="R6:U6"/>
    <mergeCell ref="V6:X6"/>
    <mergeCell ref="AQ6:AR6"/>
    <mergeCell ref="AS6:AT6"/>
    <mergeCell ref="AU6:AV6"/>
    <mergeCell ref="AW6:AX6"/>
    <mergeCell ref="BO8:BQ8"/>
    <mergeCell ref="BS8:BU8"/>
    <mergeCell ref="BV8:BW8"/>
    <mergeCell ref="BX8:BZ8"/>
    <mergeCell ref="CA8:CB8"/>
    <mergeCell ref="CC8:CD8"/>
    <mergeCell ref="AC7:AE7"/>
    <mergeCell ref="AF7:AG7"/>
    <mergeCell ref="AH7:AI7"/>
    <mergeCell ref="BF8:BG8"/>
    <mergeCell ref="BH8:BI8"/>
    <mergeCell ref="BJ8:BM8"/>
    <mergeCell ref="AH8:AI8"/>
    <mergeCell ref="AK8:AM8"/>
    <mergeCell ref="AN8:AP8"/>
    <mergeCell ref="AQ8:AR8"/>
    <mergeCell ref="BB8:BE8"/>
    <mergeCell ref="BH7:BI7"/>
    <mergeCell ref="BJ7:BM7"/>
    <mergeCell ref="BO7:BQ7"/>
    <mergeCell ref="BS7:BU7"/>
    <mergeCell ref="BV7:BW7"/>
    <mergeCell ref="AK7:AM7"/>
    <mergeCell ref="AN7:AP7"/>
    <mergeCell ref="CA7:CB7"/>
    <mergeCell ref="BX7:BZ7"/>
    <mergeCell ref="AS7:AT7"/>
    <mergeCell ref="AU7:AV7"/>
    <mergeCell ref="AW7:AX7"/>
    <mergeCell ref="AZ7:BA7"/>
    <mergeCell ref="BB7:BE7"/>
    <mergeCell ref="BF7:BG7"/>
    <mergeCell ref="C8:E8"/>
    <mergeCell ref="G8:H8"/>
    <mergeCell ref="I8:J8"/>
    <mergeCell ref="K8:M8"/>
    <mergeCell ref="N8:O8"/>
    <mergeCell ref="P8:Q8"/>
    <mergeCell ref="V8:X8"/>
    <mergeCell ref="R8:U8"/>
    <mergeCell ref="AW8:AX8"/>
    <mergeCell ref="AZ8:BA8"/>
    <mergeCell ref="AS8:AT8"/>
    <mergeCell ref="AU8:AV8"/>
    <mergeCell ref="Y8:Z8"/>
    <mergeCell ref="AA8:AB8"/>
    <mergeCell ref="AC8:AE8"/>
    <mergeCell ref="AF8:AG8"/>
    <mergeCell ref="AF9:AG9"/>
    <mergeCell ref="AH9:AI9"/>
    <mergeCell ref="AK9:AM9"/>
    <mergeCell ref="AU9:AV9"/>
    <mergeCell ref="AW9:AX9"/>
    <mergeCell ref="C9:E9"/>
    <mergeCell ref="G9:H9"/>
    <mergeCell ref="I9:J9"/>
    <mergeCell ref="K9:M9"/>
    <mergeCell ref="N9:O9"/>
    <mergeCell ref="P9:Q9"/>
    <mergeCell ref="R9:U9"/>
    <mergeCell ref="AA9:AB9"/>
    <mergeCell ref="AC9:AE9"/>
    <mergeCell ref="CW9:CZ9"/>
    <mergeCell ref="C10:E10"/>
    <mergeCell ref="G10:H10"/>
    <mergeCell ref="I10:J10"/>
    <mergeCell ref="K10:M10"/>
    <mergeCell ref="BV9:BW9"/>
    <mergeCell ref="BX9:BZ9"/>
    <mergeCell ref="CA9:CB9"/>
    <mergeCell ref="CC9:CD9"/>
    <mergeCell ref="BB9:BE9"/>
    <mergeCell ref="BF9:BG9"/>
    <mergeCell ref="BH9:BI9"/>
    <mergeCell ref="BJ9:BM9"/>
    <mergeCell ref="BO9:BQ9"/>
    <mergeCell ref="BS9:BU9"/>
    <mergeCell ref="AN9:AP9"/>
    <mergeCell ref="AQ9:AR9"/>
    <mergeCell ref="AS9:AT9"/>
    <mergeCell ref="N10:O10"/>
    <mergeCell ref="P10:Q10"/>
    <mergeCell ref="R10:U10"/>
    <mergeCell ref="V9:X9"/>
    <mergeCell ref="AZ9:BA9"/>
    <mergeCell ref="Y9:Z9"/>
    <mergeCell ref="AZ10:BA10"/>
    <mergeCell ref="BB10:BE10"/>
    <mergeCell ref="BF10:BG10"/>
    <mergeCell ref="AC10:AE10"/>
    <mergeCell ref="AF10:AG10"/>
    <mergeCell ref="AH10:AI10"/>
    <mergeCell ref="V10:X10"/>
    <mergeCell ref="Y10:Z10"/>
    <mergeCell ref="AA10:AB10"/>
    <mergeCell ref="CS10:CT10"/>
    <mergeCell ref="CU10:CV10"/>
    <mergeCell ref="CW10:CZ10"/>
    <mergeCell ref="CO10:CR10"/>
    <mergeCell ref="AK10:AM10"/>
    <mergeCell ref="AN10:AP10"/>
    <mergeCell ref="AQ10:AR10"/>
    <mergeCell ref="C11:E11"/>
    <mergeCell ref="G11:H11"/>
    <mergeCell ref="I11:J11"/>
    <mergeCell ref="K11:M11"/>
    <mergeCell ref="N11:O11"/>
    <mergeCell ref="P11:Q11"/>
    <mergeCell ref="CA10:CB10"/>
    <mergeCell ref="CC10:CD10"/>
    <mergeCell ref="BH10:BI10"/>
    <mergeCell ref="BJ10:BM10"/>
    <mergeCell ref="BO10:BQ10"/>
    <mergeCell ref="BS10:BU10"/>
    <mergeCell ref="BV10:BW10"/>
    <mergeCell ref="BX10:BZ10"/>
    <mergeCell ref="AS10:AT10"/>
    <mergeCell ref="AU10:AV10"/>
    <mergeCell ref="AW10:AX10"/>
    <mergeCell ref="P12:Q12"/>
    <mergeCell ref="R12:U12"/>
    <mergeCell ref="V12:X12"/>
    <mergeCell ref="CO11:CR11"/>
    <mergeCell ref="CS11:CT11"/>
    <mergeCell ref="CU11:CV11"/>
    <mergeCell ref="BO11:BQ11"/>
    <mergeCell ref="BS11:BU11"/>
    <mergeCell ref="BV11:BW11"/>
    <mergeCell ref="BX11:BZ11"/>
    <mergeCell ref="CA11:CB11"/>
    <mergeCell ref="CC11:CD11"/>
    <mergeCell ref="R11:U11"/>
    <mergeCell ref="V11:X11"/>
    <mergeCell ref="BF11:BG11"/>
    <mergeCell ref="BH11:BI11"/>
    <mergeCell ref="BJ11:BM11"/>
    <mergeCell ref="AH11:AI11"/>
    <mergeCell ref="AK11:AM11"/>
    <mergeCell ref="AN11:AP11"/>
    <mergeCell ref="AQ11:AR11"/>
    <mergeCell ref="CU12:CV12"/>
    <mergeCell ref="C13:E13"/>
    <mergeCell ref="G13:H13"/>
    <mergeCell ref="I13:J13"/>
    <mergeCell ref="K13:M13"/>
    <mergeCell ref="BV12:BW12"/>
    <mergeCell ref="BX12:BZ12"/>
    <mergeCell ref="CA12:CB12"/>
    <mergeCell ref="CC12:CD12"/>
    <mergeCell ref="BB12:BE12"/>
    <mergeCell ref="BF12:BG12"/>
    <mergeCell ref="BH12:BI12"/>
    <mergeCell ref="BJ12:BM12"/>
    <mergeCell ref="BO12:BQ12"/>
    <mergeCell ref="BS12:BU12"/>
    <mergeCell ref="AN12:AP12"/>
    <mergeCell ref="AQ12:AR12"/>
    <mergeCell ref="AS12:AT12"/>
    <mergeCell ref="N13:O13"/>
    <mergeCell ref="P13:Q13"/>
    <mergeCell ref="C12:E12"/>
    <mergeCell ref="G12:H12"/>
    <mergeCell ref="I12:J12"/>
    <mergeCell ref="K12:M12"/>
    <mergeCell ref="N12:O12"/>
    <mergeCell ref="CW12:CZ12"/>
    <mergeCell ref="CW11:CZ11"/>
    <mergeCell ref="AW11:AX11"/>
    <mergeCell ref="AZ11:BA11"/>
    <mergeCell ref="AS11:AT11"/>
    <mergeCell ref="AU11:AV11"/>
    <mergeCell ref="Y11:Z11"/>
    <mergeCell ref="AA11:AB11"/>
    <mergeCell ref="AC11:AE11"/>
    <mergeCell ref="AF11:AG11"/>
    <mergeCell ref="BB11:BE11"/>
    <mergeCell ref="Y12:Z12"/>
    <mergeCell ref="AA12:AB12"/>
    <mergeCell ref="AC12:AE12"/>
    <mergeCell ref="AF12:AG12"/>
    <mergeCell ref="AH12:AI12"/>
    <mergeCell ref="AK12:AM12"/>
    <mergeCell ref="AU12:AV12"/>
    <mergeCell ref="AW12:AX12"/>
    <mergeCell ref="CO12:CR12"/>
    <mergeCell ref="CS12:CT12"/>
    <mergeCell ref="AZ12:BA12"/>
    <mergeCell ref="R13:U13"/>
    <mergeCell ref="V13:X13"/>
    <mergeCell ref="Y13:Z13"/>
    <mergeCell ref="AA13:AB13"/>
    <mergeCell ref="AZ13:BA13"/>
    <mergeCell ref="BB13:BE13"/>
    <mergeCell ref="BF13:BG13"/>
    <mergeCell ref="AC13:AE13"/>
    <mergeCell ref="AF13:AG13"/>
    <mergeCell ref="AH13:AI13"/>
    <mergeCell ref="CS13:CT13"/>
    <mergeCell ref="CU13:CV13"/>
    <mergeCell ref="CW13:CZ13"/>
    <mergeCell ref="CO13:CR13"/>
    <mergeCell ref="AK13:AM13"/>
    <mergeCell ref="AN13:AP13"/>
    <mergeCell ref="AQ13:AR13"/>
    <mergeCell ref="C14:E14"/>
    <mergeCell ref="G14:H14"/>
    <mergeCell ref="I14:J14"/>
    <mergeCell ref="K14:M14"/>
    <mergeCell ref="N14:O14"/>
    <mergeCell ref="P14:Q14"/>
    <mergeCell ref="CA13:CB13"/>
    <mergeCell ref="CC13:CD13"/>
    <mergeCell ref="BH13:BI13"/>
    <mergeCell ref="BJ13:BM13"/>
    <mergeCell ref="BO13:BQ13"/>
    <mergeCell ref="BS13:BU13"/>
    <mergeCell ref="BV13:BW13"/>
    <mergeCell ref="BX13:BZ13"/>
    <mergeCell ref="AS13:AT13"/>
    <mergeCell ref="AU13:AV13"/>
    <mergeCell ref="AW13:AX13"/>
    <mergeCell ref="P15:Q15"/>
    <mergeCell ref="R15:U15"/>
    <mergeCell ref="V15:X15"/>
    <mergeCell ref="CO14:CR14"/>
    <mergeCell ref="CS14:CT14"/>
    <mergeCell ref="CU14:CV14"/>
    <mergeCell ref="BO14:BQ14"/>
    <mergeCell ref="BS14:BU14"/>
    <mergeCell ref="BV14:BW14"/>
    <mergeCell ref="BX14:BZ14"/>
    <mergeCell ref="CA14:CB14"/>
    <mergeCell ref="CC14:CD14"/>
    <mergeCell ref="R14:U14"/>
    <mergeCell ref="V14:X14"/>
    <mergeCell ref="BF14:BG14"/>
    <mergeCell ref="BH14:BI14"/>
    <mergeCell ref="BJ14:BM14"/>
    <mergeCell ref="AH14:AI14"/>
    <mergeCell ref="AK14:AM14"/>
    <mergeCell ref="AN14:AP14"/>
    <mergeCell ref="AQ14:AR14"/>
    <mergeCell ref="CU15:CV15"/>
    <mergeCell ref="C16:E16"/>
    <mergeCell ref="G16:H16"/>
    <mergeCell ref="I16:J16"/>
    <mergeCell ref="K16:M16"/>
    <mergeCell ref="BV15:BW15"/>
    <mergeCell ref="BX15:BZ15"/>
    <mergeCell ref="CA15:CB15"/>
    <mergeCell ref="CC15:CD15"/>
    <mergeCell ref="BB15:BE15"/>
    <mergeCell ref="BF15:BG15"/>
    <mergeCell ref="BH15:BI15"/>
    <mergeCell ref="BJ15:BM15"/>
    <mergeCell ref="BO15:BQ15"/>
    <mergeCell ref="BS15:BU15"/>
    <mergeCell ref="AN15:AP15"/>
    <mergeCell ref="AQ15:AR15"/>
    <mergeCell ref="AS15:AT15"/>
    <mergeCell ref="N16:O16"/>
    <mergeCell ref="P16:Q16"/>
    <mergeCell ref="C15:E15"/>
    <mergeCell ref="G15:H15"/>
    <mergeCell ref="I15:J15"/>
    <mergeCell ref="K15:M15"/>
    <mergeCell ref="N15:O15"/>
    <mergeCell ref="CW15:CZ15"/>
    <mergeCell ref="CW14:CZ14"/>
    <mergeCell ref="AW14:AX14"/>
    <mergeCell ref="AZ14:BA14"/>
    <mergeCell ref="AS14:AT14"/>
    <mergeCell ref="AU14:AV14"/>
    <mergeCell ref="Y14:Z14"/>
    <mergeCell ref="AA14:AB14"/>
    <mergeCell ref="AC14:AE14"/>
    <mergeCell ref="AF14:AG14"/>
    <mergeCell ref="BB14:BE14"/>
    <mergeCell ref="Y15:Z15"/>
    <mergeCell ref="AA15:AB15"/>
    <mergeCell ref="AC15:AE15"/>
    <mergeCell ref="AF15:AG15"/>
    <mergeCell ref="AH15:AI15"/>
    <mergeCell ref="AK15:AM15"/>
    <mergeCell ref="AU15:AV15"/>
    <mergeCell ref="AW15:AX15"/>
    <mergeCell ref="CO15:CR15"/>
    <mergeCell ref="CS15:CT15"/>
    <mergeCell ref="AZ15:BA15"/>
    <mergeCell ref="R16:U16"/>
    <mergeCell ref="V16:X16"/>
    <mergeCell ref="Y16:Z16"/>
    <mergeCell ref="AA16:AB16"/>
    <mergeCell ref="AZ16:BA16"/>
    <mergeCell ref="BB16:BE16"/>
    <mergeCell ref="BF16:BG16"/>
    <mergeCell ref="AC16:AE16"/>
    <mergeCell ref="AF16:AG16"/>
    <mergeCell ref="AH16:AI16"/>
    <mergeCell ref="CS16:CT16"/>
    <mergeCell ref="CU16:CV16"/>
    <mergeCell ref="CW16:CZ16"/>
    <mergeCell ref="CO16:CR16"/>
    <mergeCell ref="AK16:AM16"/>
    <mergeCell ref="AN16:AP16"/>
    <mergeCell ref="AQ16:AR16"/>
    <mergeCell ref="C17:E17"/>
    <mergeCell ref="G17:H17"/>
    <mergeCell ref="I17:J17"/>
    <mergeCell ref="K17:M17"/>
    <mergeCell ref="N17:O17"/>
    <mergeCell ref="P17:Q17"/>
    <mergeCell ref="CA16:CB16"/>
    <mergeCell ref="CC16:CD16"/>
    <mergeCell ref="BH16:BI16"/>
    <mergeCell ref="BJ16:BM16"/>
    <mergeCell ref="BO16:BQ16"/>
    <mergeCell ref="BS16:BU16"/>
    <mergeCell ref="BV16:BW16"/>
    <mergeCell ref="BX16:BZ16"/>
    <mergeCell ref="AS16:AT16"/>
    <mergeCell ref="AU16:AV16"/>
    <mergeCell ref="AW16:AX16"/>
    <mergeCell ref="P18:Q18"/>
    <mergeCell ref="R18:U18"/>
    <mergeCell ref="V18:X18"/>
    <mergeCell ref="CO17:CR17"/>
    <mergeCell ref="CS17:CT17"/>
    <mergeCell ref="CU17:CV17"/>
    <mergeCell ref="BO17:BQ17"/>
    <mergeCell ref="BS17:BU17"/>
    <mergeCell ref="BV17:BW17"/>
    <mergeCell ref="BX17:BZ17"/>
    <mergeCell ref="CA17:CB17"/>
    <mergeCell ref="CC17:CD17"/>
    <mergeCell ref="R17:U17"/>
    <mergeCell ref="V17:X17"/>
    <mergeCell ref="BF17:BG17"/>
    <mergeCell ref="BH17:BI17"/>
    <mergeCell ref="BJ17:BM17"/>
    <mergeCell ref="AH17:AI17"/>
    <mergeCell ref="AK17:AM17"/>
    <mergeCell ref="AN17:AP17"/>
    <mergeCell ref="AQ17:AR17"/>
    <mergeCell ref="CU18:CV18"/>
    <mergeCell ref="C19:E19"/>
    <mergeCell ref="G19:H19"/>
    <mergeCell ref="I19:J19"/>
    <mergeCell ref="K19:M19"/>
    <mergeCell ref="BV18:BW18"/>
    <mergeCell ref="BX18:BZ18"/>
    <mergeCell ref="CA18:CB18"/>
    <mergeCell ref="CC18:CD18"/>
    <mergeCell ref="BB18:BE18"/>
    <mergeCell ref="BF18:BG18"/>
    <mergeCell ref="BH18:BI18"/>
    <mergeCell ref="BJ18:BM18"/>
    <mergeCell ref="BO18:BQ18"/>
    <mergeCell ref="BS18:BU18"/>
    <mergeCell ref="AN18:AP18"/>
    <mergeCell ref="AQ18:AR18"/>
    <mergeCell ref="AS18:AT18"/>
    <mergeCell ref="N19:O19"/>
    <mergeCell ref="P19:Q19"/>
    <mergeCell ref="C18:E18"/>
    <mergeCell ref="G18:H18"/>
    <mergeCell ref="I18:J18"/>
    <mergeCell ref="K18:M18"/>
    <mergeCell ref="N18:O18"/>
    <mergeCell ref="CW18:CZ18"/>
    <mergeCell ref="CW17:CZ17"/>
    <mergeCell ref="AW17:AX17"/>
    <mergeCell ref="AZ17:BA17"/>
    <mergeCell ref="AS17:AT17"/>
    <mergeCell ref="AU17:AV17"/>
    <mergeCell ref="Y17:Z17"/>
    <mergeCell ref="AA17:AB17"/>
    <mergeCell ref="AC17:AE17"/>
    <mergeCell ref="AF17:AG17"/>
    <mergeCell ref="BB17:BE17"/>
    <mergeCell ref="Y18:Z18"/>
    <mergeCell ref="AA18:AB18"/>
    <mergeCell ref="AC18:AE18"/>
    <mergeCell ref="AF18:AG18"/>
    <mergeCell ref="AH18:AI18"/>
    <mergeCell ref="AK18:AM18"/>
    <mergeCell ref="AU18:AV18"/>
    <mergeCell ref="AW18:AX18"/>
    <mergeCell ref="CO18:CR18"/>
    <mergeCell ref="CS18:CT18"/>
    <mergeCell ref="AZ18:BA18"/>
    <mergeCell ref="R19:U19"/>
    <mergeCell ref="V19:X19"/>
    <mergeCell ref="Y19:Z19"/>
    <mergeCell ref="AA19:AB19"/>
    <mergeCell ref="AW19:AX19"/>
    <mergeCell ref="AZ19:BA19"/>
    <mergeCell ref="BB19:BE19"/>
    <mergeCell ref="BF19:BG19"/>
    <mergeCell ref="AC19:AE19"/>
    <mergeCell ref="AF19:AG19"/>
    <mergeCell ref="AH19:AI19"/>
    <mergeCell ref="CS19:CT19"/>
    <mergeCell ref="CU19:CV19"/>
    <mergeCell ref="CW19:CZ19"/>
    <mergeCell ref="CO19:CR19"/>
    <mergeCell ref="AK19:AM19"/>
    <mergeCell ref="AN19:AP19"/>
    <mergeCell ref="AQ19:AR19"/>
    <mergeCell ref="BB20:BE20"/>
    <mergeCell ref="BF20:BG20"/>
    <mergeCell ref="BH20:BI20"/>
    <mergeCell ref="BJ20:BM20"/>
    <mergeCell ref="AK20:AM20"/>
    <mergeCell ref="AN20:AP20"/>
    <mergeCell ref="AQ20:AR20"/>
    <mergeCell ref="CA19:CB19"/>
    <mergeCell ref="CC19:CD19"/>
    <mergeCell ref="BH19:BI19"/>
    <mergeCell ref="BJ19:BM19"/>
    <mergeCell ref="BO19:BQ19"/>
    <mergeCell ref="BS19:BU19"/>
    <mergeCell ref="BV19:BW19"/>
    <mergeCell ref="BX19:BZ19"/>
    <mergeCell ref="AS19:AT19"/>
    <mergeCell ref="AU19:AV19"/>
    <mergeCell ref="V21:X21"/>
    <mergeCell ref="CO20:CR20"/>
    <mergeCell ref="C20:E20"/>
    <mergeCell ref="G20:H20"/>
    <mergeCell ref="I20:J20"/>
    <mergeCell ref="K20:M20"/>
    <mergeCell ref="N20:O20"/>
    <mergeCell ref="P20:Q20"/>
    <mergeCell ref="AW20:AX20"/>
    <mergeCell ref="AZ20:BA20"/>
    <mergeCell ref="AS20:AT20"/>
    <mergeCell ref="AU20:AV20"/>
    <mergeCell ref="BO20:BQ20"/>
    <mergeCell ref="BS20:BU20"/>
    <mergeCell ref="BV20:BW20"/>
    <mergeCell ref="BX20:BZ20"/>
    <mergeCell ref="CA20:CB20"/>
    <mergeCell ref="CC20:CD20"/>
    <mergeCell ref="R20:U20"/>
    <mergeCell ref="V20:X20"/>
    <mergeCell ref="Y20:Z20"/>
    <mergeCell ref="AA20:AB20"/>
    <mergeCell ref="AC20:AE20"/>
    <mergeCell ref="AF20:AG20"/>
    <mergeCell ref="C22:E22"/>
    <mergeCell ref="G22:H22"/>
    <mergeCell ref="I22:J22"/>
    <mergeCell ref="K22:M22"/>
    <mergeCell ref="BV21:BW21"/>
    <mergeCell ref="BX21:BZ21"/>
    <mergeCell ref="CA21:CB21"/>
    <mergeCell ref="CC21:CD21"/>
    <mergeCell ref="BB21:BE21"/>
    <mergeCell ref="BF21:BG21"/>
    <mergeCell ref="BH21:BI21"/>
    <mergeCell ref="BJ21:BM21"/>
    <mergeCell ref="BO21:BQ21"/>
    <mergeCell ref="BS21:BU21"/>
    <mergeCell ref="AN21:AP21"/>
    <mergeCell ref="AQ21:AR21"/>
    <mergeCell ref="AS21:AT21"/>
    <mergeCell ref="C21:E21"/>
    <mergeCell ref="G21:H21"/>
    <mergeCell ref="I21:J21"/>
    <mergeCell ref="K21:M21"/>
    <mergeCell ref="N21:O21"/>
    <mergeCell ref="P21:Q21"/>
    <mergeCell ref="R21:U21"/>
    <mergeCell ref="CW20:CZ20"/>
    <mergeCell ref="CO21:CR21"/>
    <mergeCell ref="CS21:CT21"/>
    <mergeCell ref="AZ21:BA21"/>
    <mergeCell ref="Y21:Z21"/>
    <mergeCell ref="AA21:AB21"/>
    <mergeCell ref="AC21:AE21"/>
    <mergeCell ref="AF21:AG21"/>
    <mergeCell ref="AH21:AI21"/>
    <mergeCell ref="AK21:AM21"/>
    <mergeCell ref="AU21:AV21"/>
    <mergeCell ref="AW21:AX21"/>
    <mergeCell ref="CU21:CV21"/>
    <mergeCell ref="CW21:CZ21"/>
    <mergeCell ref="CS20:CT20"/>
    <mergeCell ref="CU20:CV20"/>
    <mergeCell ref="AH20:AI20"/>
    <mergeCell ref="C23:E23"/>
    <mergeCell ref="G23:H23"/>
    <mergeCell ref="I23:J23"/>
    <mergeCell ref="K23:M23"/>
    <mergeCell ref="N23:O23"/>
    <mergeCell ref="P23:Q23"/>
    <mergeCell ref="CA22:CB22"/>
    <mergeCell ref="CC22:CD22"/>
    <mergeCell ref="BH22:BI22"/>
    <mergeCell ref="BJ22:BM22"/>
    <mergeCell ref="BO22:BQ22"/>
    <mergeCell ref="BS22:BU22"/>
    <mergeCell ref="BV22:BW22"/>
    <mergeCell ref="BX22:BZ22"/>
    <mergeCell ref="AS22:AT22"/>
    <mergeCell ref="AU22:AV22"/>
    <mergeCell ref="N22:O22"/>
    <mergeCell ref="P22:Q22"/>
    <mergeCell ref="R22:U22"/>
    <mergeCell ref="V22:X22"/>
    <mergeCell ref="Y22:Z22"/>
    <mergeCell ref="AA22:AB22"/>
    <mergeCell ref="AW22:AX22"/>
    <mergeCell ref="R23:U23"/>
    <mergeCell ref="V23:X23"/>
    <mergeCell ref="Y23:Z23"/>
    <mergeCell ref="AA23:AB23"/>
    <mergeCell ref="AC23:AE23"/>
    <mergeCell ref="AF23:AG23"/>
    <mergeCell ref="CS22:CT22"/>
    <mergeCell ref="CU22:CV22"/>
    <mergeCell ref="CW22:CZ22"/>
    <mergeCell ref="CO22:CR22"/>
    <mergeCell ref="AZ22:BA22"/>
    <mergeCell ref="BB22:BE22"/>
    <mergeCell ref="BF22:BG22"/>
    <mergeCell ref="AC22:AE22"/>
    <mergeCell ref="AF22:AG22"/>
    <mergeCell ref="AH22:AI22"/>
    <mergeCell ref="AK22:AM22"/>
    <mergeCell ref="AN22:AP22"/>
    <mergeCell ref="AQ22:AR22"/>
    <mergeCell ref="BB23:BE23"/>
    <mergeCell ref="BF23:BG23"/>
    <mergeCell ref="BH23:BI23"/>
    <mergeCell ref="BJ23:BM23"/>
    <mergeCell ref="AH23:AI23"/>
    <mergeCell ref="AK23:AM23"/>
    <mergeCell ref="AN23:AP23"/>
    <mergeCell ref="AQ23:AR23"/>
    <mergeCell ref="AS23:AT23"/>
    <mergeCell ref="AU23:AV23"/>
    <mergeCell ref="CW23:CZ23"/>
    <mergeCell ref="CO23:CR23"/>
    <mergeCell ref="CS23:CT23"/>
    <mergeCell ref="CU23:CV23"/>
    <mergeCell ref="BO23:BQ23"/>
    <mergeCell ref="BS23:BU23"/>
    <mergeCell ref="BV23:BW23"/>
    <mergeCell ref="BX23:BZ23"/>
    <mergeCell ref="CA23:CB23"/>
    <mergeCell ref="CC23:CD23"/>
    <mergeCell ref="AW23:AX23"/>
    <mergeCell ref="AZ23:BA23"/>
    <mergeCell ref="Y24:Z24"/>
    <mergeCell ref="AA24:AB24"/>
    <mergeCell ref="AC24:AE24"/>
    <mergeCell ref="AF24:AG24"/>
    <mergeCell ref="AH24:AI24"/>
    <mergeCell ref="AK24:AM24"/>
    <mergeCell ref="C24:E24"/>
    <mergeCell ref="G24:H24"/>
    <mergeCell ref="I24:J24"/>
    <mergeCell ref="K24:M24"/>
    <mergeCell ref="N24:O24"/>
    <mergeCell ref="P24:Q24"/>
    <mergeCell ref="R24:U24"/>
    <mergeCell ref="V24:X24"/>
    <mergeCell ref="A1:DA1"/>
    <mergeCell ref="A2:DA2"/>
    <mergeCell ref="A3:DA3"/>
    <mergeCell ref="A4:DA4"/>
    <mergeCell ref="CO24:CR24"/>
    <mergeCell ref="CS24:CT24"/>
    <mergeCell ref="CU24:CV24"/>
    <mergeCell ref="CW24:CZ24"/>
    <mergeCell ref="BV24:BW24"/>
    <mergeCell ref="BX24:BZ24"/>
    <mergeCell ref="CA24:CB24"/>
    <mergeCell ref="CC24:CD24"/>
    <mergeCell ref="BB24:BE24"/>
    <mergeCell ref="BF24:BG24"/>
    <mergeCell ref="BH24:BI24"/>
    <mergeCell ref="BJ24:BM24"/>
    <mergeCell ref="BO24:BQ24"/>
    <mergeCell ref="BS24:BU24"/>
    <mergeCell ref="AN24:AP24"/>
    <mergeCell ref="AQ24:AR24"/>
    <mergeCell ref="AS24:AT24"/>
    <mergeCell ref="AU24:AV24"/>
    <mergeCell ref="AW24:AX24"/>
    <mergeCell ref="AZ24:BA24"/>
  </mergeCells>
  <pageMargins left="0.7" right="0.7" top="0.75" bottom="0.75" header="0.3" footer="0.3"/>
  <pageSetup paperSize="9" scale="4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opLeftCell="A41" workbookViewId="0">
      <selection activeCell="B49" sqref="B1:B49"/>
    </sheetView>
  </sheetViews>
  <sheetFormatPr defaultRowHeight="15"/>
  <cols>
    <col min="1" max="1" width="9.83203125" style="492" bestFit="1" customWidth="1"/>
    <col min="2" max="2" width="49.83203125" style="492" customWidth="1"/>
    <col min="3" max="16384" width="9.33203125" style="492"/>
  </cols>
  <sheetData>
    <row r="1" spans="1:2">
      <c r="B1" s="669"/>
    </row>
    <row r="2" spans="1:2" s="505" customFormat="1" ht="21">
      <c r="B2" s="670" t="s">
        <v>561</v>
      </c>
    </row>
    <row r="3" spans="1:2" s="505" customFormat="1" ht="21">
      <c r="B3" s="670" t="s">
        <v>867</v>
      </c>
    </row>
    <row r="4" spans="1:2" ht="21">
      <c r="B4" s="670" t="s">
        <v>868</v>
      </c>
    </row>
    <row r="5" spans="1:2">
      <c r="B5" s="669"/>
    </row>
    <row r="6" spans="1:2" s="507" customFormat="1">
      <c r="A6" s="506" t="s">
        <v>0</v>
      </c>
      <c r="B6" s="657" t="s">
        <v>551</v>
      </c>
    </row>
    <row r="7" spans="1:2" s="508" customFormat="1">
      <c r="A7" s="506"/>
      <c r="B7" s="657"/>
    </row>
    <row r="8" spans="1:2">
      <c r="A8" s="509"/>
      <c r="B8" s="540" t="s">
        <v>599</v>
      </c>
    </row>
    <row r="9" spans="1:2" ht="33">
      <c r="A9" s="509">
        <v>1</v>
      </c>
      <c r="B9" s="671" t="s">
        <v>869</v>
      </c>
    </row>
    <row r="10" spans="1:2" ht="16.5">
      <c r="A10" s="509">
        <v>2</v>
      </c>
      <c r="B10" s="671" t="s">
        <v>82</v>
      </c>
    </row>
    <row r="11" spans="1:2" ht="33">
      <c r="A11" s="509">
        <v>3</v>
      </c>
      <c r="B11" s="671" t="s">
        <v>83</v>
      </c>
    </row>
    <row r="12" spans="1:2" ht="16.5">
      <c r="A12" s="509">
        <v>4</v>
      </c>
      <c r="B12" s="671" t="s">
        <v>84</v>
      </c>
    </row>
    <row r="13" spans="1:2" ht="16.5">
      <c r="A13" s="509">
        <v>5</v>
      </c>
      <c r="B13" s="671" t="s">
        <v>85</v>
      </c>
    </row>
    <row r="14" spans="1:2" ht="33">
      <c r="A14" s="509">
        <v>6</v>
      </c>
      <c r="B14" s="671" t="s">
        <v>86</v>
      </c>
    </row>
    <row r="15" spans="1:2" ht="33">
      <c r="A15" s="509">
        <v>7</v>
      </c>
      <c r="B15" s="671" t="s">
        <v>87</v>
      </c>
    </row>
    <row r="16" spans="1:2" ht="16.5">
      <c r="A16" s="509">
        <v>8</v>
      </c>
      <c r="B16" s="671" t="s">
        <v>89</v>
      </c>
    </row>
    <row r="17" spans="1:2" ht="33">
      <c r="A17" s="509">
        <v>9</v>
      </c>
      <c r="B17" s="671" t="s">
        <v>91</v>
      </c>
    </row>
    <row r="18" spans="1:2" ht="33">
      <c r="A18" s="509">
        <v>10</v>
      </c>
      <c r="B18" s="671" t="s">
        <v>95</v>
      </c>
    </row>
    <row r="19" spans="1:2" ht="16.5">
      <c r="A19" s="509">
        <v>11</v>
      </c>
      <c r="B19" s="671" t="s">
        <v>870</v>
      </c>
    </row>
    <row r="20" spans="1:2" ht="33">
      <c r="A20" s="509">
        <v>12</v>
      </c>
      <c r="B20" s="671" t="s">
        <v>871</v>
      </c>
    </row>
    <row r="21" spans="1:2" ht="33">
      <c r="A21" s="509">
        <v>13</v>
      </c>
      <c r="B21" s="671" t="s">
        <v>99</v>
      </c>
    </row>
    <row r="22" spans="1:2" ht="33">
      <c r="A22" s="509">
        <v>14</v>
      </c>
      <c r="B22" s="671" t="s">
        <v>100</v>
      </c>
    </row>
    <row r="23" spans="1:2" ht="16.5">
      <c r="A23" s="509">
        <v>15</v>
      </c>
      <c r="B23" s="671" t="s">
        <v>101</v>
      </c>
    </row>
    <row r="24" spans="1:2" ht="33">
      <c r="A24" s="509">
        <v>16</v>
      </c>
      <c r="B24" s="671" t="s">
        <v>102</v>
      </c>
    </row>
    <row r="25" spans="1:2" ht="33">
      <c r="A25" s="509">
        <v>17</v>
      </c>
      <c r="B25" s="671" t="s">
        <v>872</v>
      </c>
    </row>
    <row r="26" spans="1:2" ht="16.5">
      <c r="A26" s="509"/>
      <c r="B26" s="672" t="s">
        <v>684</v>
      </c>
    </row>
    <row r="27" spans="1:2" ht="33">
      <c r="A27" s="509">
        <v>1</v>
      </c>
      <c r="B27" s="671" t="s">
        <v>103</v>
      </c>
    </row>
    <row r="28" spans="1:2" ht="16.5">
      <c r="A28" s="509">
        <v>2</v>
      </c>
      <c r="B28" s="671" t="s">
        <v>105</v>
      </c>
    </row>
    <row r="29" spans="1:2" ht="33">
      <c r="A29" s="509">
        <v>3</v>
      </c>
      <c r="B29" s="671" t="s">
        <v>106</v>
      </c>
    </row>
    <row r="30" spans="1:2" ht="16.5">
      <c r="A30" s="509">
        <v>4</v>
      </c>
      <c r="B30" s="671" t="s">
        <v>107</v>
      </c>
    </row>
    <row r="31" spans="1:2" ht="16.5">
      <c r="A31" s="509">
        <v>5</v>
      </c>
      <c r="B31" s="671" t="s">
        <v>108</v>
      </c>
    </row>
    <row r="32" spans="1:2" ht="33">
      <c r="A32" s="509">
        <v>6</v>
      </c>
      <c r="B32" s="671" t="s">
        <v>109</v>
      </c>
    </row>
    <row r="33" spans="1:2" ht="33">
      <c r="A33" s="509">
        <v>7</v>
      </c>
      <c r="B33" s="671" t="s">
        <v>110</v>
      </c>
    </row>
    <row r="34" spans="1:2" ht="16.5">
      <c r="A34" s="509">
        <v>8</v>
      </c>
      <c r="B34" s="671" t="s">
        <v>111</v>
      </c>
    </row>
    <row r="35" spans="1:2" ht="33">
      <c r="A35" s="509">
        <v>9</v>
      </c>
      <c r="B35" s="671" t="s">
        <v>112</v>
      </c>
    </row>
    <row r="36" spans="1:2" ht="33">
      <c r="A36" s="509">
        <v>10</v>
      </c>
      <c r="B36" s="671" t="s">
        <v>873</v>
      </c>
    </row>
    <row r="37" spans="1:2" ht="16.5">
      <c r="A37" s="509">
        <v>11</v>
      </c>
      <c r="B37" s="671" t="s">
        <v>113</v>
      </c>
    </row>
    <row r="38" spans="1:2" ht="33">
      <c r="A38" s="509">
        <v>12</v>
      </c>
      <c r="B38" s="671" t="s">
        <v>874</v>
      </c>
    </row>
    <row r="39" spans="1:2" ht="33">
      <c r="A39" s="509">
        <v>13</v>
      </c>
      <c r="B39" s="671" t="s">
        <v>115</v>
      </c>
    </row>
    <row r="40" spans="1:2" ht="33">
      <c r="A40" s="509">
        <v>14</v>
      </c>
      <c r="B40" s="671" t="s">
        <v>117</v>
      </c>
    </row>
    <row r="41" spans="1:2" ht="16.5">
      <c r="A41" s="509">
        <v>15</v>
      </c>
      <c r="B41" s="671" t="s">
        <v>118</v>
      </c>
    </row>
    <row r="42" spans="1:2" ht="33">
      <c r="A42" s="509">
        <v>16</v>
      </c>
      <c r="B42" s="671" t="s">
        <v>119</v>
      </c>
    </row>
    <row r="43" spans="1:2" ht="16.5">
      <c r="A43" s="509"/>
      <c r="B43" s="672" t="s">
        <v>650</v>
      </c>
    </row>
    <row r="44" spans="1:2" ht="33">
      <c r="A44" s="509">
        <v>1</v>
      </c>
      <c r="B44" s="671" t="s">
        <v>93</v>
      </c>
    </row>
    <row r="45" spans="1:2" ht="33">
      <c r="A45" s="509">
        <v>2</v>
      </c>
      <c r="B45" s="671" t="s">
        <v>94</v>
      </c>
    </row>
    <row r="46" spans="1:2" ht="16.5">
      <c r="A46" s="509">
        <v>3</v>
      </c>
      <c r="B46" s="671" t="s">
        <v>875</v>
      </c>
    </row>
    <row r="47" spans="1:2" ht="16.5" hidden="1">
      <c r="A47" s="509"/>
      <c r="B47" s="510"/>
    </row>
    <row r="48" spans="1:2" s="514" customFormat="1" ht="18.75">
      <c r="A48" s="511"/>
      <c r="B48" s="512"/>
    </row>
    <row r="49" spans="1:2" s="516" customFormat="1" ht="21">
      <c r="A49" s="516">
        <f>COUNTA(A9:A46)</f>
        <v>36</v>
      </c>
      <c r="B49" s="673"/>
    </row>
    <row r="50" spans="1:2" s="516" customFormat="1" ht="16.5">
      <c r="B50" s="515"/>
    </row>
    <row r="51" spans="1:2" s="516" customFormat="1" ht="16.5">
      <c r="B51" s="515"/>
    </row>
    <row r="52" spans="1:2" s="516" customFormat="1" ht="16.5">
      <c r="B52" s="515"/>
    </row>
  </sheetData>
  <pageMargins left="0.7" right="0.7" top="0.75" bottom="0.75" header="0.3" footer="0.3"/>
  <pageSetup paperSize="9" scale="6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54"/>
  <sheetViews>
    <sheetView view="pageBreakPreview" topLeftCell="A20" zoomScale="60" workbookViewId="0">
      <selection activeCell="I43" sqref="I43:J43"/>
    </sheetView>
  </sheetViews>
  <sheetFormatPr defaultRowHeight="12.75"/>
  <cols>
    <col min="1" max="2" width="9.33203125" style="51"/>
    <col min="3" max="3" width="121.5" style="51" customWidth="1"/>
    <col min="4" max="76" width="0" style="51" hidden="1" customWidth="1"/>
    <col min="77" max="77" width="9.33203125" style="51"/>
    <col min="78" max="78" width="26.33203125" style="51" customWidth="1"/>
    <col min="79" max="83" width="9.33203125" style="51"/>
    <col min="84" max="84" width="9" style="51" customWidth="1"/>
    <col min="85" max="85" width="17.1640625" style="38" customWidth="1"/>
    <col min="86" max="86" width="17.1640625" style="51" hidden="1" customWidth="1"/>
    <col min="87" max="87" width="62" style="51" customWidth="1"/>
    <col min="88" max="88" width="33.5" customWidth="1"/>
    <col min="90" max="90" width="21" customWidth="1"/>
  </cols>
  <sheetData>
    <row r="1" spans="1:103" ht="36" customHeight="1">
      <c r="A1" s="1584" t="s">
        <v>409</v>
      </c>
      <c r="B1" s="1585"/>
      <c r="C1" s="1585"/>
      <c r="D1" s="1585"/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5"/>
      <c r="P1" s="1585"/>
      <c r="Q1" s="1585"/>
      <c r="R1" s="1585"/>
      <c r="S1" s="1585"/>
      <c r="T1" s="1585"/>
      <c r="U1" s="1585"/>
      <c r="V1" s="1585"/>
      <c r="W1" s="1585"/>
      <c r="X1" s="1585"/>
      <c r="Y1" s="1585"/>
      <c r="Z1" s="1585"/>
      <c r="AA1" s="1585"/>
      <c r="AB1" s="1585"/>
      <c r="AC1" s="1585"/>
      <c r="AD1" s="1585"/>
      <c r="AE1" s="1585"/>
      <c r="AF1" s="1585"/>
      <c r="AG1" s="1585"/>
      <c r="AH1" s="1585"/>
      <c r="AI1" s="1585"/>
      <c r="AJ1" s="1585"/>
      <c r="AK1" s="1585"/>
      <c r="AL1" s="1585"/>
      <c r="AM1" s="1585"/>
      <c r="AN1" s="1585"/>
      <c r="AO1" s="1585"/>
      <c r="AP1" s="1585"/>
      <c r="AQ1" s="1585"/>
      <c r="AR1" s="1585"/>
      <c r="AS1" s="1585"/>
      <c r="AT1" s="1585"/>
      <c r="AU1" s="1585"/>
      <c r="AV1" s="1585"/>
      <c r="AW1" s="1585"/>
      <c r="AX1" s="1585"/>
      <c r="AY1" s="1585"/>
      <c r="AZ1" s="1585"/>
      <c r="BA1" s="1585"/>
      <c r="BB1" s="1585"/>
      <c r="BC1" s="1585"/>
      <c r="BD1" s="1585"/>
      <c r="BE1" s="1585"/>
      <c r="BF1" s="1585"/>
      <c r="BG1" s="1585"/>
      <c r="BH1" s="1585"/>
      <c r="BI1" s="1585"/>
      <c r="BJ1" s="1585"/>
      <c r="BK1" s="1585"/>
      <c r="BL1" s="1585"/>
      <c r="BM1" s="1585"/>
      <c r="BN1" s="1585"/>
      <c r="BO1" s="1585"/>
      <c r="BP1" s="1585"/>
      <c r="BQ1" s="1585"/>
      <c r="BR1" s="1585"/>
      <c r="BS1" s="1585"/>
      <c r="BT1" s="1585"/>
      <c r="BU1" s="1585"/>
      <c r="BV1" s="1585"/>
      <c r="BW1" s="1585"/>
      <c r="BX1" s="1585"/>
      <c r="BY1" s="1585"/>
      <c r="BZ1" s="1585"/>
      <c r="CA1" s="1585"/>
      <c r="CB1" s="1585"/>
      <c r="CC1" s="1585"/>
      <c r="CD1" s="1585"/>
      <c r="CE1" s="1585"/>
      <c r="CF1" s="1585"/>
      <c r="CG1" s="1585"/>
      <c r="CH1" s="1585"/>
      <c r="CI1" s="1586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</row>
    <row r="2" spans="1:103" ht="32.25" customHeight="1">
      <c r="A2" s="1581" t="s">
        <v>410</v>
      </c>
      <c r="B2" s="1582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2"/>
      <c r="Q2" s="1582"/>
      <c r="R2" s="1582"/>
      <c r="S2" s="1582"/>
      <c r="T2" s="1582"/>
      <c r="U2" s="1582"/>
      <c r="V2" s="1582"/>
      <c r="W2" s="1582"/>
      <c r="X2" s="1582"/>
      <c r="Y2" s="1582"/>
      <c r="Z2" s="1582"/>
      <c r="AA2" s="1582"/>
      <c r="AB2" s="1582"/>
      <c r="AC2" s="1582"/>
      <c r="AD2" s="1582"/>
      <c r="AE2" s="1582"/>
      <c r="AF2" s="1582"/>
      <c r="AG2" s="1582"/>
      <c r="AH2" s="1582"/>
      <c r="AI2" s="1582"/>
      <c r="AJ2" s="1582"/>
      <c r="AK2" s="1582"/>
      <c r="AL2" s="1582"/>
      <c r="AM2" s="1582"/>
      <c r="AN2" s="1582"/>
      <c r="AO2" s="1582"/>
      <c r="AP2" s="1582"/>
      <c r="AQ2" s="1582"/>
      <c r="AR2" s="1582"/>
      <c r="AS2" s="1582"/>
      <c r="AT2" s="1582"/>
      <c r="AU2" s="1582"/>
      <c r="AV2" s="1582"/>
      <c r="AW2" s="1582"/>
      <c r="AX2" s="1582"/>
      <c r="AY2" s="1582"/>
      <c r="AZ2" s="1582"/>
      <c r="BA2" s="1582"/>
      <c r="BB2" s="1582"/>
      <c r="BC2" s="1582"/>
      <c r="BD2" s="1582"/>
      <c r="BE2" s="1582"/>
      <c r="BF2" s="1582"/>
      <c r="BG2" s="1582"/>
      <c r="BH2" s="1582"/>
      <c r="BI2" s="1582"/>
      <c r="BJ2" s="1582"/>
      <c r="BK2" s="1582"/>
      <c r="BL2" s="1582"/>
      <c r="BM2" s="1582"/>
      <c r="BN2" s="1582"/>
      <c r="BO2" s="1582"/>
      <c r="BP2" s="1582"/>
      <c r="BQ2" s="1582"/>
      <c r="BR2" s="1582"/>
      <c r="BS2" s="1582"/>
      <c r="BT2" s="1582"/>
      <c r="BU2" s="1582"/>
      <c r="BV2" s="1582"/>
      <c r="BW2" s="1582"/>
      <c r="BX2" s="1582"/>
      <c r="BY2" s="1582"/>
      <c r="BZ2" s="1582"/>
      <c r="CA2" s="1582"/>
      <c r="CB2" s="1582"/>
      <c r="CC2" s="1582"/>
      <c r="CD2" s="1582"/>
      <c r="CE2" s="1582"/>
      <c r="CF2" s="1582"/>
      <c r="CG2" s="1582"/>
      <c r="CH2" s="1582"/>
      <c r="CI2" s="1583"/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</row>
    <row r="3" spans="1:103" ht="32.25" customHeight="1">
      <c r="A3" s="1581" t="s">
        <v>411</v>
      </c>
      <c r="B3" s="1582"/>
      <c r="C3" s="1582"/>
      <c r="D3" s="1582"/>
      <c r="E3" s="1582"/>
      <c r="F3" s="1582"/>
      <c r="G3" s="1582"/>
      <c r="H3" s="1582"/>
      <c r="I3" s="1582"/>
      <c r="J3" s="1582"/>
      <c r="K3" s="1582"/>
      <c r="L3" s="1582"/>
      <c r="M3" s="1582"/>
      <c r="N3" s="1582"/>
      <c r="O3" s="1582"/>
      <c r="P3" s="1582"/>
      <c r="Q3" s="1582"/>
      <c r="R3" s="1582"/>
      <c r="S3" s="1582"/>
      <c r="T3" s="1582"/>
      <c r="U3" s="1582"/>
      <c r="V3" s="1582"/>
      <c r="W3" s="1582"/>
      <c r="X3" s="1582"/>
      <c r="Y3" s="1582"/>
      <c r="Z3" s="1582"/>
      <c r="AA3" s="1582"/>
      <c r="AB3" s="1582"/>
      <c r="AC3" s="1582"/>
      <c r="AD3" s="1582"/>
      <c r="AE3" s="1582"/>
      <c r="AF3" s="1582"/>
      <c r="AG3" s="1582"/>
      <c r="AH3" s="1582"/>
      <c r="AI3" s="1582"/>
      <c r="AJ3" s="1582"/>
      <c r="AK3" s="1582"/>
      <c r="AL3" s="1582"/>
      <c r="AM3" s="1582"/>
      <c r="AN3" s="1582"/>
      <c r="AO3" s="1582"/>
      <c r="AP3" s="1582"/>
      <c r="AQ3" s="1582"/>
      <c r="AR3" s="1582"/>
      <c r="AS3" s="1582"/>
      <c r="AT3" s="1582"/>
      <c r="AU3" s="1582"/>
      <c r="AV3" s="1582"/>
      <c r="AW3" s="1582"/>
      <c r="AX3" s="1582"/>
      <c r="AY3" s="1582"/>
      <c r="AZ3" s="1582"/>
      <c r="BA3" s="1582"/>
      <c r="BB3" s="1582"/>
      <c r="BC3" s="1582"/>
      <c r="BD3" s="1582"/>
      <c r="BE3" s="1582"/>
      <c r="BF3" s="1582"/>
      <c r="BG3" s="1582"/>
      <c r="BH3" s="1582"/>
      <c r="BI3" s="1582"/>
      <c r="BJ3" s="1582"/>
      <c r="BK3" s="1582"/>
      <c r="BL3" s="1582"/>
      <c r="BM3" s="1582"/>
      <c r="BN3" s="1582"/>
      <c r="BO3" s="1582"/>
      <c r="BP3" s="1582"/>
      <c r="BQ3" s="1582"/>
      <c r="BR3" s="1582"/>
      <c r="BS3" s="1582"/>
      <c r="BT3" s="1582"/>
      <c r="BU3" s="1582"/>
      <c r="BV3" s="1582"/>
      <c r="BW3" s="1582"/>
      <c r="BX3" s="1582"/>
      <c r="BY3" s="1582"/>
      <c r="BZ3" s="1582"/>
      <c r="CA3" s="1582"/>
      <c r="CB3" s="1582"/>
      <c r="CC3" s="1582"/>
      <c r="CD3" s="1582"/>
      <c r="CE3" s="1582"/>
      <c r="CF3" s="1582"/>
      <c r="CG3" s="1582"/>
      <c r="CH3" s="1582"/>
      <c r="CI3" s="1583"/>
      <c r="CJ3" s="130"/>
      <c r="CK3" s="130"/>
      <c r="CL3" s="130"/>
      <c r="CM3" s="130"/>
      <c r="CN3" s="130"/>
      <c r="CO3" s="130"/>
      <c r="CP3" s="130"/>
      <c r="CQ3" s="130"/>
      <c r="CR3" s="130"/>
      <c r="CS3" s="130"/>
      <c r="CT3" s="130"/>
      <c r="CU3" s="130"/>
      <c r="CV3" s="130"/>
      <c r="CW3" s="130"/>
      <c r="CX3" s="130"/>
      <c r="CY3" s="130"/>
    </row>
    <row r="4" spans="1:103" ht="30.75" customHeight="1">
      <c r="A4" s="1581" t="s">
        <v>15</v>
      </c>
      <c r="B4" s="1582"/>
      <c r="C4" s="1582"/>
      <c r="D4" s="1582"/>
      <c r="E4" s="1582"/>
      <c r="F4" s="1582"/>
      <c r="G4" s="1582"/>
      <c r="H4" s="1582"/>
      <c r="I4" s="1582"/>
      <c r="J4" s="1582"/>
      <c r="K4" s="1582"/>
      <c r="L4" s="1582"/>
      <c r="M4" s="1582"/>
      <c r="N4" s="1582"/>
      <c r="O4" s="1582"/>
      <c r="P4" s="1582"/>
      <c r="Q4" s="1582"/>
      <c r="R4" s="1582"/>
      <c r="S4" s="1582"/>
      <c r="T4" s="1582"/>
      <c r="U4" s="1582"/>
      <c r="V4" s="1582"/>
      <c r="W4" s="1582"/>
      <c r="X4" s="1582"/>
      <c r="Y4" s="1582"/>
      <c r="Z4" s="1582"/>
      <c r="AA4" s="1582"/>
      <c r="AB4" s="1582"/>
      <c r="AC4" s="1582"/>
      <c r="AD4" s="1582"/>
      <c r="AE4" s="1582"/>
      <c r="AF4" s="1582"/>
      <c r="AG4" s="1582"/>
      <c r="AH4" s="1582"/>
      <c r="AI4" s="1582"/>
      <c r="AJ4" s="1582"/>
      <c r="AK4" s="1582"/>
      <c r="AL4" s="1582"/>
      <c r="AM4" s="1582"/>
      <c r="AN4" s="1582"/>
      <c r="AO4" s="1582"/>
      <c r="AP4" s="1582"/>
      <c r="AQ4" s="1582"/>
      <c r="AR4" s="1582"/>
      <c r="AS4" s="1582"/>
      <c r="AT4" s="1582"/>
      <c r="AU4" s="1582"/>
      <c r="AV4" s="1582"/>
      <c r="AW4" s="1582"/>
      <c r="AX4" s="1582"/>
      <c r="AY4" s="1582"/>
      <c r="AZ4" s="1582"/>
      <c r="BA4" s="1582"/>
      <c r="BB4" s="1582"/>
      <c r="BC4" s="1582"/>
      <c r="BD4" s="1582"/>
      <c r="BE4" s="1582"/>
      <c r="BF4" s="1582"/>
      <c r="BG4" s="1582"/>
      <c r="BH4" s="1582"/>
      <c r="BI4" s="1582"/>
      <c r="BJ4" s="1582"/>
      <c r="BK4" s="1582"/>
      <c r="BL4" s="1582"/>
      <c r="BM4" s="1582"/>
      <c r="BN4" s="1582"/>
      <c r="BO4" s="1582"/>
      <c r="BP4" s="1582"/>
      <c r="BQ4" s="1582"/>
      <c r="BR4" s="1582"/>
      <c r="BS4" s="1582"/>
      <c r="BT4" s="1582"/>
      <c r="BU4" s="1582"/>
      <c r="BV4" s="1582"/>
      <c r="BW4" s="1582"/>
      <c r="BX4" s="1582"/>
      <c r="BY4" s="1582"/>
      <c r="BZ4" s="1582"/>
      <c r="CA4" s="1582"/>
      <c r="CB4" s="1582"/>
      <c r="CC4" s="1582"/>
      <c r="CD4" s="1582"/>
      <c r="CE4" s="1582"/>
      <c r="CF4" s="1582"/>
      <c r="CG4" s="1582"/>
      <c r="CH4" s="1582"/>
      <c r="CI4" s="1583"/>
      <c r="CJ4" s="130"/>
      <c r="CK4" s="130"/>
      <c r="CL4" s="130"/>
      <c r="CM4" s="130"/>
      <c r="CN4" s="130"/>
      <c r="CO4" s="130"/>
      <c r="CP4" s="130"/>
      <c r="CQ4" s="130"/>
      <c r="CR4" s="130"/>
      <c r="CS4" s="130"/>
      <c r="CT4" s="130"/>
      <c r="CU4" s="130"/>
      <c r="CV4" s="130"/>
      <c r="CW4" s="130"/>
      <c r="CX4" s="130"/>
      <c r="CY4" s="130"/>
    </row>
    <row r="5" spans="1:103" ht="1.5" customHeight="1">
      <c r="A5" s="1654"/>
      <c r="B5" s="1655"/>
      <c r="C5" s="1655"/>
      <c r="D5" s="1655"/>
      <c r="E5" s="1655"/>
      <c r="F5" s="1655"/>
      <c r="G5" s="1655"/>
      <c r="H5" s="1655"/>
      <c r="I5" s="1655"/>
      <c r="J5" s="1655"/>
      <c r="K5" s="1655"/>
      <c r="L5" s="1655"/>
      <c r="M5" s="1655"/>
      <c r="N5" s="1655"/>
      <c r="O5" s="1655"/>
      <c r="P5" s="1655"/>
      <c r="Q5" s="1655"/>
      <c r="R5" s="1655"/>
      <c r="S5" s="1655"/>
      <c r="T5" s="1655"/>
      <c r="U5" s="1655"/>
      <c r="V5" s="1655"/>
      <c r="W5" s="1655"/>
      <c r="X5" s="1655"/>
      <c r="Y5" s="1655"/>
      <c r="Z5" s="1655"/>
      <c r="AA5" s="1655"/>
      <c r="AB5" s="1655"/>
      <c r="AC5" s="1655"/>
      <c r="AD5" s="1655"/>
      <c r="AE5" s="1655"/>
      <c r="AF5" s="1655"/>
      <c r="AG5" s="1655"/>
      <c r="AH5" s="1655"/>
      <c r="AI5" s="1655"/>
      <c r="AJ5" s="1655"/>
      <c r="AK5" s="1655"/>
      <c r="AL5" s="1655"/>
      <c r="AM5" s="1655"/>
      <c r="AN5" s="1655"/>
      <c r="AO5" s="1655"/>
      <c r="AP5" s="1655"/>
      <c r="AQ5" s="1655"/>
      <c r="AR5" s="1655"/>
      <c r="AS5" s="1655"/>
      <c r="AT5" s="1655"/>
      <c r="AU5" s="1655"/>
      <c r="AV5" s="1655"/>
      <c r="AW5" s="1655"/>
      <c r="AX5" s="1655"/>
      <c r="AY5" s="1655"/>
      <c r="AZ5" s="1655"/>
      <c r="BA5" s="1655"/>
      <c r="BB5" s="1655"/>
      <c r="BC5" s="1655"/>
      <c r="BD5" s="1655"/>
      <c r="BE5" s="1655"/>
      <c r="BF5" s="1655"/>
      <c r="BG5" s="1655"/>
      <c r="BH5" s="1655"/>
      <c r="BI5" s="1655"/>
      <c r="BJ5" s="1655"/>
      <c r="BK5" s="1655"/>
      <c r="BL5" s="1655"/>
      <c r="BM5" s="1655"/>
      <c r="BN5" s="1655"/>
      <c r="BO5" s="1655"/>
      <c r="BP5" s="1655"/>
      <c r="BQ5" s="1655"/>
      <c r="BR5" s="1655"/>
      <c r="BS5" s="1655"/>
      <c r="BT5" s="1655"/>
      <c r="BU5" s="1655"/>
      <c r="BV5" s="1655"/>
      <c r="BW5" s="1655"/>
      <c r="BX5" s="1655"/>
      <c r="BY5" s="1655"/>
      <c r="BZ5" s="1655"/>
      <c r="CA5" s="1655"/>
      <c r="CB5" s="1655"/>
      <c r="CC5" s="1655"/>
      <c r="CD5" s="1655"/>
      <c r="CE5" s="1655"/>
      <c r="CF5" s="1655"/>
      <c r="CG5" s="1655"/>
      <c r="CH5" s="1655"/>
      <c r="CI5" s="1656"/>
    </row>
    <row r="6" spans="1:103" ht="20.25" customHeight="1">
      <c r="A6" s="1607" t="s">
        <v>0</v>
      </c>
      <c r="B6" s="1609" t="s">
        <v>407</v>
      </c>
      <c r="C6" s="1610"/>
      <c r="D6" s="1613" t="s">
        <v>29</v>
      </c>
      <c r="E6" s="1614"/>
      <c r="F6" s="1614"/>
      <c r="G6" s="1615"/>
      <c r="H6" s="1619" t="s">
        <v>30</v>
      </c>
      <c r="I6" s="1601" t="s">
        <v>1</v>
      </c>
      <c r="J6" s="1602"/>
      <c r="K6" s="1602"/>
      <c r="L6" s="1602"/>
      <c r="M6" s="1602"/>
      <c r="N6" s="1602"/>
      <c r="O6" s="1602"/>
      <c r="P6" s="1603"/>
      <c r="Q6" s="1601" t="s">
        <v>2</v>
      </c>
      <c r="R6" s="1602"/>
      <c r="S6" s="1602"/>
      <c r="T6" s="1602"/>
      <c r="U6" s="1602"/>
      <c r="V6" s="1602"/>
      <c r="W6" s="1602"/>
      <c r="X6" s="1603"/>
      <c r="Y6" s="1601" t="s">
        <v>3</v>
      </c>
      <c r="Z6" s="1602"/>
      <c r="AA6" s="1602"/>
      <c r="AB6" s="1602"/>
      <c r="AC6" s="1602"/>
      <c r="AD6" s="1602"/>
      <c r="AE6" s="1602"/>
      <c r="AF6" s="1603"/>
      <c r="AG6" s="1604" t="s">
        <v>31</v>
      </c>
      <c r="AH6" s="1605"/>
      <c r="AI6" s="1605"/>
      <c r="AJ6" s="1605"/>
      <c r="AK6" s="1605"/>
      <c r="AL6" s="1605"/>
      <c r="AM6" s="1605"/>
      <c r="AN6" s="1606"/>
      <c r="AO6" s="1601" t="s">
        <v>4</v>
      </c>
      <c r="AP6" s="1602"/>
      <c r="AQ6" s="1602"/>
      <c r="AR6" s="1602"/>
      <c r="AS6" s="1602"/>
      <c r="AT6" s="1602"/>
      <c r="AU6" s="1602"/>
      <c r="AV6" s="1602"/>
      <c r="AW6" s="1603"/>
      <c r="AX6" s="1601" t="s">
        <v>5</v>
      </c>
      <c r="AY6" s="1602"/>
      <c r="AZ6" s="1602"/>
      <c r="BA6" s="1602"/>
      <c r="BB6" s="1602"/>
      <c r="BC6" s="1603"/>
      <c r="BD6" s="1601" t="s">
        <v>6</v>
      </c>
      <c r="BE6" s="1602"/>
      <c r="BF6" s="1602"/>
      <c r="BG6" s="1602"/>
      <c r="BH6" s="1602"/>
      <c r="BI6" s="1602"/>
      <c r="BJ6" s="1602"/>
      <c r="BK6" s="1602"/>
      <c r="BL6" s="1603"/>
      <c r="BM6" s="1604" t="s">
        <v>32</v>
      </c>
      <c r="BN6" s="1605"/>
      <c r="BO6" s="1605"/>
      <c r="BP6" s="1605"/>
      <c r="BQ6" s="1605"/>
      <c r="BR6" s="1605"/>
      <c r="BS6" s="1605"/>
      <c r="BT6" s="1605"/>
      <c r="BU6" s="1606"/>
      <c r="BV6" s="1591"/>
      <c r="BW6" s="1592"/>
      <c r="BX6" s="1592"/>
      <c r="BY6" s="1592"/>
      <c r="BZ6" s="1592"/>
      <c r="CA6" s="1592"/>
      <c r="CB6" s="1592"/>
      <c r="CC6" s="1592"/>
      <c r="CD6" s="1592"/>
      <c r="CE6" s="1592"/>
      <c r="CF6" s="1592"/>
      <c r="CG6" s="1593"/>
      <c r="CH6" s="1587" t="s">
        <v>544</v>
      </c>
      <c r="CI6" s="1588"/>
    </row>
    <row r="7" spans="1:103" ht="90" customHeight="1">
      <c r="A7" s="1608"/>
      <c r="B7" s="1611"/>
      <c r="C7" s="1612"/>
      <c r="D7" s="1616"/>
      <c r="E7" s="1617"/>
      <c r="F7" s="1617"/>
      <c r="G7" s="1618"/>
      <c r="H7" s="1620"/>
      <c r="I7" s="1594" t="s">
        <v>8</v>
      </c>
      <c r="J7" s="1595"/>
      <c r="K7" s="1594" t="s">
        <v>9</v>
      </c>
      <c r="L7" s="1595"/>
      <c r="M7" s="1596" t="s">
        <v>10</v>
      </c>
      <c r="N7" s="1597"/>
      <c r="O7" s="1594" t="s">
        <v>11</v>
      </c>
      <c r="P7" s="1595"/>
      <c r="Q7" s="21" t="s">
        <v>8</v>
      </c>
      <c r="R7" s="1594" t="s">
        <v>9</v>
      </c>
      <c r="S7" s="1598"/>
      <c r="T7" s="1595"/>
      <c r="U7" s="1596" t="s">
        <v>10</v>
      </c>
      <c r="V7" s="1597"/>
      <c r="W7" s="1594" t="s">
        <v>11</v>
      </c>
      <c r="X7" s="1595"/>
      <c r="Y7" s="1599" t="s">
        <v>8</v>
      </c>
      <c r="Z7" s="1600"/>
      <c r="AA7" s="1599" t="s">
        <v>9</v>
      </c>
      <c r="AB7" s="1600"/>
      <c r="AC7" s="1599" t="s">
        <v>10</v>
      </c>
      <c r="AD7" s="1600"/>
      <c r="AE7" s="1599" t="s">
        <v>11</v>
      </c>
      <c r="AF7" s="1600"/>
      <c r="AG7" s="1594" t="s">
        <v>8</v>
      </c>
      <c r="AH7" s="1595"/>
      <c r="AI7" s="1599" t="s">
        <v>9</v>
      </c>
      <c r="AJ7" s="1600"/>
      <c r="AK7" s="1594" t="s">
        <v>10</v>
      </c>
      <c r="AL7" s="1595"/>
      <c r="AM7" s="1596" t="s">
        <v>11</v>
      </c>
      <c r="AN7" s="1597"/>
      <c r="AO7" s="1594" t="s">
        <v>8</v>
      </c>
      <c r="AP7" s="1598"/>
      <c r="AQ7" s="1595"/>
      <c r="AR7" s="1594" t="s">
        <v>9</v>
      </c>
      <c r="AS7" s="1595"/>
      <c r="AT7" s="1594" t="s">
        <v>10</v>
      </c>
      <c r="AU7" s="1595"/>
      <c r="AV7" s="1596" t="s">
        <v>11</v>
      </c>
      <c r="AW7" s="1597"/>
      <c r="AX7" s="1599" t="s">
        <v>8</v>
      </c>
      <c r="AY7" s="1600"/>
      <c r="AZ7" s="22" t="s">
        <v>9</v>
      </c>
      <c r="BA7" s="22" t="s">
        <v>10</v>
      </c>
      <c r="BB7" s="1594" t="s">
        <v>11</v>
      </c>
      <c r="BC7" s="1595"/>
      <c r="BD7" s="1599" t="s">
        <v>8</v>
      </c>
      <c r="BE7" s="1600"/>
      <c r="BF7" s="1599" t="s">
        <v>9</v>
      </c>
      <c r="BG7" s="1630"/>
      <c r="BH7" s="1600"/>
      <c r="BI7" s="1594" t="s">
        <v>10</v>
      </c>
      <c r="BJ7" s="1595"/>
      <c r="BK7" s="1594" t="s">
        <v>11</v>
      </c>
      <c r="BL7" s="1595"/>
      <c r="BM7" s="1594" t="s">
        <v>8</v>
      </c>
      <c r="BN7" s="1598"/>
      <c r="BO7" s="1598"/>
      <c r="BP7" s="1595"/>
      <c r="BQ7" s="23" t="s">
        <v>9</v>
      </c>
      <c r="BR7" s="1594" t="s">
        <v>10</v>
      </c>
      <c r="BS7" s="1595"/>
      <c r="BT7" s="1596" t="s">
        <v>11</v>
      </c>
      <c r="BU7" s="1597"/>
      <c r="BV7" s="1594" t="s">
        <v>8</v>
      </c>
      <c r="BW7" s="1598"/>
      <c r="BX7" s="1595"/>
      <c r="BY7" s="1594" t="s">
        <v>9</v>
      </c>
      <c r="BZ7" s="1595"/>
      <c r="CA7" s="1596" t="s">
        <v>10</v>
      </c>
      <c r="CB7" s="1621"/>
      <c r="CC7" s="1622"/>
      <c r="CD7" s="1623" t="s">
        <v>11</v>
      </c>
      <c r="CE7" s="1624"/>
      <c r="CF7" s="1624"/>
      <c r="CG7" s="1625"/>
      <c r="CH7" s="1589"/>
      <c r="CI7" s="1590"/>
    </row>
    <row r="8" spans="1:103" ht="20.25" customHeight="1">
      <c r="A8" s="286">
        <v>1</v>
      </c>
      <c r="B8" s="1599" t="s">
        <v>80</v>
      </c>
      <c r="C8" s="1600"/>
      <c r="D8" s="1594" t="s">
        <v>81</v>
      </c>
      <c r="E8" s="1598"/>
      <c r="F8" s="1598"/>
      <c r="G8" s="1595"/>
      <c r="H8" s="24">
        <v>8</v>
      </c>
      <c r="I8" s="1626">
        <v>3</v>
      </c>
      <c r="J8" s="1627"/>
      <c r="K8" s="1626">
        <v>125</v>
      </c>
      <c r="L8" s="1627"/>
      <c r="M8" s="1628">
        <v>89</v>
      </c>
      <c r="N8" s="1629"/>
      <c r="O8" s="1626">
        <v>214</v>
      </c>
      <c r="P8" s="1627"/>
      <c r="Q8" s="25">
        <v>3</v>
      </c>
      <c r="R8" s="1626">
        <v>72</v>
      </c>
      <c r="S8" s="1631"/>
      <c r="T8" s="1627"/>
      <c r="U8" s="1628">
        <v>79</v>
      </c>
      <c r="V8" s="1629"/>
      <c r="W8" s="1626">
        <v>151</v>
      </c>
      <c r="X8" s="1627"/>
      <c r="Y8" s="1628">
        <v>3</v>
      </c>
      <c r="Z8" s="1629"/>
      <c r="AA8" s="1628">
        <v>38</v>
      </c>
      <c r="AB8" s="1629"/>
      <c r="AC8" s="1628">
        <v>36</v>
      </c>
      <c r="AD8" s="1629"/>
      <c r="AE8" s="1628">
        <v>74</v>
      </c>
      <c r="AF8" s="1629"/>
      <c r="AG8" s="1626">
        <v>9</v>
      </c>
      <c r="AH8" s="1627"/>
      <c r="AI8" s="1628">
        <v>235</v>
      </c>
      <c r="AJ8" s="1629"/>
      <c r="AK8" s="1626">
        <v>204</v>
      </c>
      <c r="AL8" s="1627"/>
      <c r="AM8" s="1628">
        <v>439</v>
      </c>
      <c r="AN8" s="1629"/>
      <c r="AO8" s="1626">
        <v>0</v>
      </c>
      <c r="AP8" s="1631"/>
      <c r="AQ8" s="1627"/>
      <c r="AR8" s="1626">
        <v>0</v>
      </c>
      <c r="AS8" s="1627"/>
      <c r="AT8" s="1626">
        <v>0</v>
      </c>
      <c r="AU8" s="1627"/>
      <c r="AV8" s="1637">
        <v>0</v>
      </c>
      <c r="AW8" s="1638"/>
      <c r="AX8" s="1628">
        <v>0</v>
      </c>
      <c r="AY8" s="1629"/>
      <c r="AZ8" s="24">
        <v>0</v>
      </c>
      <c r="BA8" s="24">
        <v>0</v>
      </c>
      <c r="BB8" s="1626">
        <v>0</v>
      </c>
      <c r="BC8" s="1627"/>
      <c r="BD8" s="1628">
        <v>0</v>
      </c>
      <c r="BE8" s="1629"/>
      <c r="BF8" s="1628">
        <v>0</v>
      </c>
      <c r="BG8" s="1636"/>
      <c r="BH8" s="1629"/>
      <c r="BI8" s="1626">
        <v>0</v>
      </c>
      <c r="BJ8" s="1627"/>
      <c r="BK8" s="1626">
        <v>0</v>
      </c>
      <c r="BL8" s="1627"/>
      <c r="BM8" s="1626">
        <v>0</v>
      </c>
      <c r="BN8" s="1631"/>
      <c r="BO8" s="1631"/>
      <c r="BP8" s="1627"/>
      <c r="BQ8" s="26">
        <v>0</v>
      </c>
      <c r="BR8" s="1626">
        <v>0</v>
      </c>
      <c r="BS8" s="1627"/>
      <c r="BT8" s="1628">
        <v>0</v>
      </c>
      <c r="BU8" s="1629"/>
      <c r="BV8" s="1626">
        <v>9</v>
      </c>
      <c r="BW8" s="1631"/>
      <c r="BX8" s="1627"/>
      <c r="BY8" s="1626">
        <v>235</v>
      </c>
      <c r="BZ8" s="1627"/>
      <c r="CA8" s="1626">
        <v>204</v>
      </c>
      <c r="CB8" s="1631"/>
      <c r="CC8" s="1635"/>
      <c r="CD8" s="1632">
        <v>439</v>
      </c>
      <c r="CE8" s="1633"/>
      <c r="CF8" s="1633"/>
      <c r="CG8" s="1634"/>
      <c r="CH8" s="282">
        <f>CD8*150</f>
        <v>65850</v>
      </c>
      <c r="CI8" s="287">
        <f>IF(CD8&lt;1001,30000 * 3,50000*3)</f>
        <v>90000</v>
      </c>
    </row>
    <row r="9" spans="1:103" ht="20.25" customHeight="1">
      <c r="A9" s="286">
        <v>2</v>
      </c>
      <c r="B9" s="1599" t="s">
        <v>82</v>
      </c>
      <c r="C9" s="1600"/>
      <c r="D9" s="1594" t="s">
        <v>15</v>
      </c>
      <c r="E9" s="1598"/>
      <c r="F9" s="1598"/>
      <c r="G9" s="1595"/>
      <c r="H9" s="24">
        <v>6</v>
      </c>
      <c r="I9" s="1626">
        <v>7</v>
      </c>
      <c r="J9" s="1627"/>
      <c r="K9" s="1626">
        <v>204</v>
      </c>
      <c r="L9" s="1627"/>
      <c r="M9" s="1628">
        <v>161</v>
      </c>
      <c r="N9" s="1629"/>
      <c r="O9" s="1626">
        <v>365</v>
      </c>
      <c r="P9" s="1627"/>
      <c r="Q9" s="25">
        <v>8</v>
      </c>
      <c r="R9" s="1626">
        <v>216</v>
      </c>
      <c r="S9" s="1631"/>
      <c r="T9" s="1627"/>
      <c r="U9" s="1628">
        <v>215</v>
      </c>
      <c r="V9" s="1629"/>
      <c r="W9" s="1626">
        <v>431</v>
      </c>
      <c r="X9" s="1627"/>
      <c r="Y9" s="1628">
        <v>6</v>
      </c>
      <c r="Z9" s="1629"/>
      <c r="AA9" s="1628">
        <v>152</v>
      </c>
      <c r="AB9" s="1629"/>
      <c r="AC9" s="1628">
        <v>168</v>
      </c>
      <c r="AD9" s="1629"/>
      <c r="AE9" s="1628">
        <v>320</v>
      </c>
      <c r="AF9" s="1629"/>
      <c r="AG9" s="1626">
        <v>21</v>
      </c>
      <c r="AH9" s="1627"/>
      <c r="AI9" s="1628">
        <v>572</v>
      </c>
      <c r="AJ9" s="1629"/>
      <c r="AK9" s="1626">
        <v>544</v>
      </c>
      <c r="AL9" s="1627"/>
      <c r="AM9" s="1628">
        <v>1116</v>
      </c>
      <c r="AN9" s="1629"/>
      <c r="AO9" s="1626">
        <v>0</v>
      </c>
      <c r="AP9" s="1631"/>
      <c r="AQ9" s="1627"/>
      <c r="AR9" s="1626">
        <v>0</v>
      </c>
      <c r="AS9" s="1627"/>
      <c r="AT9" s="1626">
        <v>0</v>
      </c>
      <c r="AU9" s="1627"/>
      <c r="AV9" s="1637">
        <v>0</v>
      </c>
      <c r="AW9" s="1638"/>
      <c r="AX9" s="1628">
        <v>0</v>
      </c>
      <c r="AY9" s="1629"/>
      <c r="AZ9" s="24">
        <v>0</v>
      </c>
      <c r="BA9" s="24">
        <v>0</v>
      </c>
      <c r="BB9" s="1626">
        <v>0</v>
      </c>
      <c r="BC9" s="1627"/>
      <c r="BD9" s="1628">
        <v>0</v>
      </c>
      <c r="BE9" s="1629"/>
      <c r="BF9" s="1628">
        <v>0</v>
      </c>
      <c r="BG9" s="1636"/>
      <c r="BH9" s="1629"/>
      <c r="BI9" s="1626">
        <v>0</v>
      </c>
      <c r="BJ9" s="1627"/>
      <c r="BK9" s="1626">
        <v>0</v>
      </c>
      <c r="BL9" s="1627"/>
      <c r="BM9" s="1626">
        <v>0</v>
      </c>
      <c r="BN9" s="1631"/>
      <c r="BO9" s="1631"/>
      <c r="BP9" s="1627"/>
      <c r="BQ9" s="26">
        <v>0</v>
      </c>
      <c r="BR9" s="1626">
        <v>0</v>
      </c>
      <c r="BS9" s="1627"/>
      <c r="BT9" s="1628">
        <v>0</v>
      </c>
      <c r="BU9" s="1629"/>
      <c r="BV9" s="1626">
        <v>21</v>
      </c>
      <c r="BW9" s="1631"/>
      <c r="BX9" s="1627"/>
      <c r="BY9" s="1626">
        <v>572</v>
      </c>
      <c r="BZ9" s="1627"/>
      <c r="CA9" s="1626">
        <v>544</v>
      </c>
      <c r="CB9" s="1631"/>
      <c r="CC9" s="1635"/>
      <c r="CD9" s="1632">
        <v>1116</v>
      </c>
      <c r="CE9" s="1633"/>
      <c r="CF9" s="1633"/>
      <c r="CG9" s="1634"/>
      <c r="CH9" s="282">
        <f t="shared" ref="CH9:CH26" si="0">CD9*150</f>
        <v>167400</v>
      </c>
      <c r="CI9" s="287">
        <f t="shared" ref="CI9:CI43" si="1">IF(CD9&lt;1001,30000 * 3,50000*3)</f>
        <v>150000</v>
      </c>
    </row>
    <row r="10" spans="1:103" ht="20.25" customHeight="1">
      <c r="A10" s="286">
        <v>3</v>
      </c>
      <c r="B10" s="1599" t="s">
        <v>83</v>
      </c>
      <c r="C10" s="1600"/>
      <c r="D10" s="1594" t="s">
        <v>15</v>
      </c>
      <c r="E10" s="1598"/>
      <c r="F10" s="1598"/>
      <c r="G10" s="1595"/>
      <c r="H10" s="24">
        <v>9</v>
      </c>
      <c r="I10" s="1626">
        <v>4</v>
      </c>
      <c r="J10" s="1627"/>
      <c r="K10" s="1626">
        <v>110</v>
      </c>
      <c r="L10" s="1627"/>
      <c r="M10" s="1628">
        <v>89</v>
      </c>
      <c r="N10" s="1629"/>
      <c r="O10" s="1626">
        <v>199</v>
      </c>
      <c r="P10" s="1627"/>
      <c r="Q10" s="25">
        <v>4</v>
      </c>
      <c r="R10" s="1626">
        <v>84</v>
      </c>
      <c r="S10" s="1631"/>
      <c r="T10" s="1627"/>
      <c r="U10" s="1628">
        <v>88</v>
      </c>
      <c r="V10" s="1629"/>
      <c r="W10" s="1626">
        <v>172</v>
      </c>
      <c r="X10" s="1627"/>
      <c r="Y10" s="1628">
        <v>3</v>
      </c>
      <c r="Z10" s="1629"/>
      <c r="AA10" s="1628">
        <v>74</v>
      </c>
      <c r="AB10" s="1629"/>
      <c r="AC10" s="1628">
        <v>59</v>
      </c>
      <c r="AD10" s="1629"/>
      <c r="AE10" s="1628">
        <v>133</v>
      </c>
      <c r="AF10" s="1629"/>
      <c r="AG10" s="1626">
        <v>11</v>
      </c>
      <c r="AH10" s="1627"/>
      <c r="AI10" s="1628">
        <v>268</v>
      </c>
      <c r="AJ10" s="1629"/>
      <c r="AK10" s="1626">
        <v>236</v>
      </c>
      <c r="AL10" s="1627"/>
      <c r="AM10" s="1628">
        <v>504</v>
      </c>
      <c r="AN10" s="1629"/>
      <c r="AO10" s="1626">
        <v>0</v>
      </c>
      <c r="AP10" s="1631"/>
      <c r="AQ10" s="1627"/>
      <c r="AR10" s="1626">
        <v>0</v>
      </c>
      <c r="AS10" s="1627"/>
      <c r="AT10" s="1626">
        <v>0</v>
      </c>
      <c r="AU10" s="1627"/>
      <c r="AV10" s="1637">
        <v>0</v>
      </c>
      <c r="AW10" s="1638"/>
      <c r="AX10" s="1628">
        <v>0</v>
      </c>
      <c r="AY10" s="1629"/>
      <c r="AZ10" s="24">
        <v>0</v>
      </c>
      <c r="BA10" s="24">
        <v>0</v>
      </c>
      <c r="BB10" s="1626">
        <v>0</v>
      </c>
      <c r="BC10" s="1627"/>
      <c r="BD10" s="1628">
        <v>0</v>
      </c>
      <c r="BE10" s="1629"/>
      <c r="BF10" s="1628">
        <v>0</v>
      </c>
      <c r="BG10" s="1636"/>
      <c r="BH10" s="1629"/>
      <c r="BI10" s="1626">
        <v>0</v>
      </c>
      <c r="BJ10" s="1627"/>
      <c r="BK10" s="1626">
        <v>0</v>
      </c>
      <c r="BL10" s="1627"/>
      <c r="BM10" s="1626">
        <v>0</v>
      </c>
      <c r="BN10" s="1631"/>
      <c r="BO10" s="1631"/>
      <c r="BP10" s="1627"/>
      <c r="BQ10" s="26">
        <v>0</v>
      </c>
      <c r="BR10" s="1626">
        <v>0</v>
      </c>
      <c r="BS10" s="1627"/>
      <c r="BT10" s="1628">
        <v>0</v>
      </c>
      <c r="BU10" s="1629"/>
      <c r="BV10" s="1626">
        <v>11</v>
      </c>
      <c r="BW10" s="1631"/>
      <c r="BX10" s="1627"/>
      <c r="BY10" s="1626">
        <v>268</v>
      </c>
      <c r="BZ10" s="1627"/>
      <c r="CA10" s="1626">
        <v>236</v>
      </c>
      <c r="CB10" s="1631"/>
      <c r="CC10" s="1635"/>
      <c r="CD10" s="1632">
        <v>504</v>
      </c>
      <c r="CE10" s="1633"/>
      <c r="CF10" s="1633"/>
      <c r="CG10" s="1634"/>
      <c r="CH10" s="282">
        <f t="shared" si="0"/>
        <v>75600</v>
      </c>
      <c r="CI10" s="287">
        <f t="shared" si="1"/>
        <v>90000</v>
      </c>
    </row>
    <row r="11" spans="1:103" ht="20.25" customHeight="1">
      <c r="A11" s="286">
        <v>4</v>
      </c>
      <c r="B11" s="1599" t="s">
        <v>84</v>
      </c>
      <c r="C11" s="1600"/>
      <c r="D11" s="1594" t="s">
        <v>81</v>
      </c>
      <c r="E11" s="1598"/>
      <c r="F11" s="1598"/>
      <c r="G11" s="1595"/>
      <c r="H11" s="24">
        <v>9</v>
      </c>
      <c r="I11" s="1626">
        <v>1</v>
      </c>
      <c r="J11" s="1627"/>
      <c r="K11" s="1626">
        <v>16</v>
      </c>
      <c r="L11" s="1627"/>
      <c r="M11" s="1628">
        <v>10</v>
      </c>
      <c r="N11" s="1629"/>
      <c r="O11" s="1626">
        <v>26</v>
      </c>
      <c r="P11" s="1627"/>
      <c r="Q11" s="25">
        <v>1</v>
      </c>
      <c r="R11" s="1626">
        <v>19</v>
      </c>
      <c r="S11" s="1631"/>
      <c r="T11" s="1627"/>
      <c r="U11" s="1628">
        <v>18</v>
      </c>
      <c r="V11" s="1629"/>
      <c r="W11" s="1626">
        <v>37</v>
      </c>
      <c r="X11" s="1627"/>
      <c r="Y11" s="1628">
        <v>1</v>
      </c>
      <c r="Z11" s="1629"/>
      <c r="AA11" s="1628">
        <v>25</v>
      </c>
      <c r="AB11" s="1629"/>
      <c r="AC11" s="1628">
        <v>34</v>
      </c>
      <c r="AD11" s="1629"/>
      <c r="AE11" s="1628">
        <v>59</v>
      </c>
      <c r="AF11" s="1629"/>
      <c r="AG11" s="1626">
        <v>3</v>
      </c>
      <c r="AH11" s="1627"/>
      <c r="AI11" s="1628">
        <v>60</v>
      </c>
      <c r="AJ11" s="1629"/>
      <c r="AK11" s="1626">
        <v>62</v>
      </c>
      <c r="AL11" s="1627"/>
      <c r="AM11" s="1628">
        <v>122</v>
      </c>
      <c r="AN11" s="1629"/>
      <c r="AO11" s="1626">
        <v>0</v>
      </c>
      <c r="AP11" s="1631"/>
      <c r="AQ11" s="1627"/>
      <c r="AR11" s="1626">
        <v>0</v>
      </c>
      <c r="AS11" s="1627"/>
      <c r="AT11" s="1626">
        <v>0</v>
      </c>
      <c r="AU11" s="1627"/>
      <c r="AV11" s="1637">
        <v>0</v>
      </c>
      <c r="AW11" s="1638"/>
      <c r="AX11" s="1628">
        <v>0</v>
      </c>
      <c r="AY11" s="1629"/>
      <c r="AZ11" s="24">
        <v>0</v>
      </c>
      <c r="BA11" s="24">
        <v>0</v>
      </c>
      <c r="BB11" s="1626">
        <v>0</v>
      </c>
      <c r="BC11" s="1627"/>
      <c r="BD11" s="1628">
        <v>0</v>
      </c>
      <c r="BE11" s="1629"/>
      <c r="BF11" s="1628">
        <v>0</v>
      </c>
      <c r="BG11" s="1636"/>
      <c r="BH11" s="1629"/>
      <c r="BI11" s="1626">
        <v>0</v>
      </c>
      <c r="BJ11" s="1627"/>
      <c r="BK11" s="1626">
        <v>0</v>
      </c>
      <c r="BL11" s="1627"/>
      <c r="BM11" s="1626">
        <v>0</v>
      </c>
      <c r="BN11" s="1631"/>
      <c r="BO11" s="1631"/>
      <c r="BP11" s="1627"/>
      <c r="BQ11" s="26">
        <v>0</v>
      </c>
      <c r="BR11" s="1626">
        <v>0</v>
      </c>
      <c r="BS11" s="1627"/>
      <c r="BT11" s="1628">
        <v>0</v>
      </c>
      <c r="BU11" s="1629"/>
      <c r="BV11" s="1626">
        <v>3</v>
      </c>
      <c r="BW11" s="1631"/>
      <c r="BX11" s="1627"/>
      <c r="BY11" s="1626">
        <v>60</v>
      </c>
      <c r="BZ11" s="1627"/>
      <c r="CA11" s="1626">
        <v>62</v>
      </c>
      <c r="CB11" s="1631"/>
      <c r="CC11" s="1635"/>
      <c r="CD11" s="1632">
        <v>122</v>
      </c>
      <c r="CE11" s="1633"/>
      <c r="CF11" s="1633"/>
      <c r="CG11" s="1634"/>
      <c r="CH11" s="282">
        <f t="shared" si="0"/>
        <v>18300</v>
      </c>
      <c r="CI11" s="287">
        <f t="shared" si="1"/>
        <v>90000</v>
      </c>
    </row>
    <row r="12" spans="1:103" ht="20.25" customHeight="1">
      <c r="A12" s="286">
        <v>5</v>
      </c>
      <c r="B12" s="1599" t="s">
        <v>85</v>
      </c>
      <c r="C12" s="1600"/>
      <c r="D12" s="1594" t="s">
        <v>15</v>
      </c>
      <c r="E12" s="1598"/>
      <c r="F12" s="1598"/>
      <c r="G12" s="1595"/>
      <c r="H12" s="24">
        <v>5</v>
      </c>
      <c r="I12" s="1626">
        <v>4</v>
      </c>
      <c r="J12" s="1627"/>
      <c r="K12" s="1626">
        <v>161</v>
      </c>
      <c r="L12" s="1627"/>
      <c r="M12" s="1628">
        <v>148</v>
      </c>
      <c r="N12" s="1629"/>
      <c r="O12" s="1626">
        <v>309</v>
      </c>
      <c r="P12" s="1627"/>
      <c r="Q12" s="25">
        <v>3</v>
      </c>
      <c r="R12" s="1626">
        <v>107</v>
      </c>
      <c r="S12" s="1631"/>
      <c r="T12" s="1627"/>
      <c r="U12" s="1628">
        <v>129</v>
      </c>
      <c r="V12" s="1629"/>
      <c r="W12" s="1626">
        <v>236</v>
      </c>
      <c r="X12" s="1627"/>
      <c r="Y12" s="1628">
        <v>3</v>
      </c>
      <c r="Z12" s="1629"/>
      <c r="AA12" s="1628">
        <v>87</v>
      </c>
      <c r="AB12" s="1629"/>
      <c r="AC12" s="1628">
        <v>103</v>
      </c>
      <c r="AD12" s="1629"/>
      <c r="AE12" s="1628">
        <v>190</v>
      </c>
      <c r="AF12" s="1629"/>
      <c r="AG12" s="1626">
        <v>10</v>
      </c>
      <c r="AH12" s="1627"/>
      <c r="AI12" s="1628">
        <v>355</v>
      </c>
      <c r="AJ12" s="1629"/>
      <c r="AK12" s="1626">
        <v>380</v>
      </c>
      <c r="AL12" s="1627"/>
      <c r="AM12" s="1628">
        <v>735</v>
      </c>
      <c r="AN12" s="1629"/>
      <c r="AO12" s="1626">
        <v>0</v>
      </c>
      <c r="AP12" s="1631"/>
      <c r="AQ12" s="1627"/>
      <c r="AR12" s="1626">
        <v>0</v>
      </c>
      <c r="AS12" s="1627"/>
      <c r="AT12" s="1626">
        <v>0</v>
      </c>
      <c r="AU12" s="1627"/>
      <c r="AV12" s="1637">
        <v>0</v>
      </c>
      <c r="AW12" s="1638"/>
      <c r="AX12" s="1628">
        <v>0</v>
      </c>
      <c r="AY12" s="1629"/>
      <c r="AZ12" s="24">
        <v>0</v>
      </c>
      <c r="BA12" s="24">
        <v>0</v>
      </c>
      <c r="BB12" s="1626">
        <v>0</v>
      </c>
      <c r="BC12" s="1627"/>
      <c r="BD12" s="1628">
        <v>0</v>
      </c>
      <c r="BE12" s="1629"/>
      <c r="BF12" s="1628">
        <v>0</v>
      </c>
      <c r="BG12" s="1636"/>
      <c r="BH12" s="1629"/>
      <c r="BI12" s="1626">
        <v>0</v>
      </c>
      <c r="BJ12" s="1627"/>
      <c r="BK12" s="1626">
        <v>0</v>
      </c>
      <c r="BL12" s="1627"/>
      <c r="BM12" s="1626">
        <v>0</v>
      </c>
      <c r="BN12" s="1631"/>
      <c r="BO12" s="1631"/>
      <c r="BP12" s="1627"/>
      <c r="BQ12" s="26">
        <v>0</v>
      </c>
      <c r="BR12" s="1626">
        <v>0</v>
      </c>
      <c r="BS12" s="1627"/>
      <c r="BT12" s="1628">
        <v>0</v>
      </c>
      <c r="BU12" s="1629"/>
      <c r="BV12" s="1626">
        <v>10</v>
      </c>
      <c r="BW12" s="1631"/>
      <c r="BX12" s="1627"/>
      <c r="BY12" s="1626">
        <v>355</v>
      </c>
      <c r="BZ12" s="1627"/>
      <c r="CA12" s="1626">
        <v>380</v>
      </c>
      <c r="CB12" s="1631"/>
      <c r="CC12" s="1635"/>
      <c r="CD12" s="1632">
        <v>735</v>
      </c>
      <c r="CE12" s="1633"/>
      <c r="CF12" s="1633"/>
      <c r="CG12" s="1634"/>
      <c r="CH12" s="282">
        <f t="shared" si="0"/>
        <v>110250</v>
      </c>
      <c r="CI12" s="287">
        <f t="shared" si="1"/>
        <v>90000</v>
      </c>
    </row>
    <row r="13" spans="1:103" ht="20.25" customHeight="1">
      <c r="A13" s="286">
        <v>6</v>
      </c>
      <c r="B13" s="1599" t="s">
        <v>86</v>
      </c>
      <c r="C13" s="1600"/>
      <c r="D13" s="1594" t="s">
        <v>81</v>
      </c>
      <c r="E13" s="1598"/>
      <c r="F13" s="1598"/>
      <c r="G13" s="1595"/>
      <c r="H13" s="24">
        <v>9</v>
      </c>
      <c r="I13" s="1626">
        <v>2</v>
      </c>
      <c r="J13" s="1627"/>
      <c r="K13" s="1626">
        <v>58</v>
      </c>
      <c r="L13" s="1627"/>
      <c r="M13" s="1628">
        <v>52</v>
      </c>
      <c r="N13" s="1629"/>
      <c r="O13" s="1626">
        <v>110</v>
      </c>
      <c r="P13" s="1627"/>
      <c r="Q13" s="25">
        <v>2</v>
      </c>
      <c r="R13" s="1626">
        <v>45</v>
      </c>
      <c r="S13" s="1631"/>
      <c r="T13" s="1627"/>
      <c r="U13" s="1628">
        <v>33</v>
      </c>
      <c r="V13" s="1629"/>
      <c r="W13" s="1626">
        <v>78</v>
      </c>
      <c r="X13" s="1627"/>
      <c r="Y13" s="1628">
        <v>2</v>
      </c>
      <c r="Z13" s="1629"/>
      <c r="AA13" s="1628">
        <v>59</v>
      </c>
      <c r="AB13" s="1629"/>
      <c r="AC13" s="1628">
        <v>59</v>
      </c>
      <c r="AD13" s="1629"/>
      <c r="AE13" s="1628">
        <v>118</v>
      </c>
      <c r="AF13" s="1629"/>
      <c r="AG13" s="1626">
        <v>6</v>
      </c>
      <c r="AH13" s="1627"/>
      <c r="AI13" s="1628">
        <v>162</v>
      </c>
      <c r="AJ13" s="1629"/>
      <c r="AK13" s="1626">
        <v>144</v>
      </c>
      <c r="AL13" s="1627"/>
      <c r="AM13" s="1628">
        <v>306</v>
      </c>
      <c r="AN13" s="1629"/>
      <c r="AO13" s="1626">
        <v>0</v>
      </c>
      <c r="AP13" s="1631"/>
      <c r="AQ13" s="1627"/>
      <c r="AR13" s="1626">
        <v>0</v>
      </c>
      <c r="AS13" s="1627"/>
      <c r="AT13" s="1626">
        <v>0</v>
      </c>
      <c r="AU13" s="1627"/>
      <c r="AV13" s="1637">
        <v>0</v>
      </c>
      <c r="AW13" s="1638"/>
      <c r="AX13" s="1628">
        <v>0</v>
      </c>
      <c r="AY13" s="1629"/>
      <c r="AZ13" s="24">
        <v>0</v>
      </c>
      <c r="BA13" s="24">
        <v>0</v>
      </c>
      <c r="BB13" s="1626">
        <v>0</v>
      </c>
      <c r="BC13" s="1627"/>
      <c r="BD13" s="1628">
        <v>0</v>
      </c>
      <c r="BE13" s="1629"/>
      <c r="BF13" s="1628">
        <v>0</v>
      </c>
      <c r="BG13" s="1636"/>
      <c r="BH13" s="1629"/>
      <c r="BI13" s="1626">
        <v>0</v>
      </c>
      <c r="BJ13" s="1627"/>
      <c r="BK13" s="1626">
        <v>0</v>
      </c>
      <c r="BL13" s="1627"/>
      <c r="BM13" s="1626">
        <v>0</v>
      </c>
      <c r="BN13" s="1631"/>
      <c r="BO13" s="1631"/>
      <c r="BP13" s="1627"/>
      <c r="BQ13" s="26">
        <v>0</v>
      </c>
      <c r="BR13" s="1626">
        <v>0</v>
      </c>
      <c r="BS13" s="1627"/>
      <c r="BT13" s="1628">
        <v>0</v>
      </c>
      <c r="BU13" s="1629"/>
      <c r="BV13" s="1626">
        <v>6</v>
      </c>
      <c r="BW13" s="1631"/>
      <c r="BX13" s="1627"/>
      <c r="BY13" s="1626">
        <v>162</v>
      </c>
      <c r="BZ13" s="1627"/>
      <c r="CA13" s="1626">
        <v>144</v>
      </c>
      <c r="CB13" s="1631"/>
      <c r="CC13" s="1635"/>
      <c r="CD13" s="1632">
        <v>306</v>
      </c>
      <c r="CE13" s="1633"/>
      <c r="CF13" s="1633"/>
      <c r="CG13" s="1634"/>
      <c r="CH13" s="282">
        <f t="shared" si="0"/>
        <v>45900</v>
      </c>
      <c r="CI13" s="287">
        <f t="shared" si="1"/>
        <v>90000</v>
      </c>
    </row>
    <row r="14" spans="1:103" ht="20.25" customHeight="1">
      <c r="A14" s="286">
        <v>7</v>
      </c>
      <c r="B14" s="1599" t="s">
        <v>87</v>
      </c>
      <c r="C14" s="1600"/>
      <c r="D14" s="1599" t="s">
        <v>88</v>
      </c>
      <c r="E14" s="1630"/>
      <c r="F14" s="1630"/>
      <c r="G14" s="1600"/>
      <c r="H14" s="24">
        <v>7</v>
      </c>
      <c r="I14" s="1626">
        <v>3</v>
      </c>
      <c r="J14" s="1627"/>
      <c r="K14" s="1626">
        <v>101</v>
      </c>
      <c r="L14" s="1627"/>
      <c r="M14" s="1628">
        <v>100</v>
      </c>
      <c r="N14" s="1629"/>
      <c r="O14" s="1626">
        <v>201</v>
      </c>
      <c r="P14" s="1627"/>
      <c r="Q14" s="25">
        <v>3</v>
      </c>
      <c r="R14" s="1626">
        <v>82</v>
      </c>
      <c r="S14" s="1631"/>
      <c r="T14" s="1627"/>
      <c r="U14" s="1628">
        <v>89</v>
      </c>
      <c r="V14" s="1629"/>
      <c r="W14" s="1626">
        <v>171</v>
      </c>
      <c r="X14" s="1627"/>
      <c r="Y14" s="1628">
        <v>3</v>
      </c>
      <c r="Z14" s="1629"/>
      <c r="AA14" s="1628">
        <v>125</v>
      </c>
      <c r="AB14" s="1629"/>
      <c r="AC14" s="1628">
        <v>97</v>
      </c>
      <c r="AD14" s="1629"/>
      <c r="AE14" s="1628">
        <v>222</v>
      </c>
      <c r="AF14" s="1629"/>
      <c r="AG14" s="1626">
        <v>9</v>
      </c>
      <c r="AH14" s="1627"/>
      <c r="AI14" s="1628">
        <v>308</v>
      </c>
      <c r="AJ14" s="1629"/>
      <c r="AK14" s="1626">
        <v>286</v>
      </c>
      <c r="AL14" s="1627"/>
      <c r="AM14" s="1628">
        <v>594</v>
      </c>
      <c r="AN14" s="1629"/>
      <c r="AO14" s="1626">
        <v>0</v>
      </c>
      <c r="AP14" s="1631"/>
      <c r="AQ14" s="1627"/>
      <c r="AR14" s="1626">
        <v>0</v>
      </c>
      <c r="AS14" s="1627"/>
      <c r="AT14" s="1626">
        <v>0</v>
      </c>
      <c r="AU14" s="1627"/>
      <c r="AV14" s="1637">
        <v>0</v>
      </c>
      <c r="AW14" s="1638"/>
      <c r="AX14" s="1628">
        <v>0</v>
      </c>
      <c r="AY14" s="1629"/>
      <c r="AZ14" s="24">
        <v>0</v>
      </c>
      <c r="BA14" s="24">
        <v>0</v>
      </c>
      <c r="BB14" s="1626">
        <v>0</v>
      </c>
      <c r="BC14" s="1627"/>
      <c r="BD14" s="1628">
        <v>0</v>
      </c>
      <c r="BE14" s="1629"/>
      <c r="BF14" s="1628">
        <v>0</v>
      </c>
      <c r="BG14" s="1636"/>
      <c r="BH14" s="1629"/>
      <c r="BI14" s="1626">
        <v>0</v>
      </c>
      <c r="BJ14" s="1627"/>
      <c r="BK14" s="1626">
        <v>0</v>
      </c>
      <c r="BL14" s="1627"/>
      <c r="BM14" s="1626">
        <v>0</v>
      </c>
      <c r="BN14" s="1631"/>
      <c r="BO14" s="1631"/>
      <c r="BP14" s="1627"/>
      <c r="BQ14" s="26">
        <v>0</v>
      </c>
      <c r="BR14" s="1626">
        <v>0</v>
      </c>
      <c r="BS14" s="1627"/>
      <c r="BT14" s="1628">
        <v>0</v>
      </c>
      <c r="BU14" s="1629"/>
      <c r="BV14" s="1626">
        <v>9</v>
      </c>
      <c r="BW14" s="1631"/>
      <c r="BX14" s="1627"/>
      <c r="BY14" s="1626">
        <v>308</v>
      </c>
      <c r="BZ14" s="1627"/>
      <c r="CA14" s="1626">
        <v>286</v>
      </c>
      <c r="CB14" s="1631"/>
      <c r="CC14" s="1635"/>
      <c r="CD14" s="1632">
        <v>594</v>
      </c>
      <c r="CE14" s="1633"/>
      <c r="CF14" s="1633"/>
      <c r="CG14" s="1634"/>
      <c r="CH14" s="282">
        <f t="shared" si="0"/>
        <v>89100</v>
      </c>
      <c r="CI14" s="287">
        <f t="shared" si="1"/>
        <v>90000</v>
      </c>
    </row>
    <row r="15" spans="1:103" ht="20.25" customHeight="1">
      <c r="A15" s="286">
        <v>8</v>
      </c>
      <c r="B15" s="1599" t="s">
        <v>89</v>
      </c>
      <c r="C15" s="1600"/>
      <c r="D15" s="1599" t="s">
        <v>90</v>
      </c>
      <c r="E15" s="1630"/>
      <c r="F15" s="1630"/>
      <c r="G15" s="1600"/>
      <c r="H15" s="24">
        <v>2</v>
      </c>
      <c r="I15" s="1626">
        <v>3</v>
      </c>
      <c r="J15" s="1627"/>
      <c r="K15" s="1626">
        <v>113</v>
      </c>
      <c r="L15" s="1627"/>
      <c r="M15" s="1628">
        <v>74</v>
      </c>
      <c r="N15" s="1629"/>
      <c r="O15" s="1626">
        <v>187</v>
      </c>
      <c r="P15" s="1627"/>
      <c r="Q15" s="25">
        <v>3</v>
      </c>
      <c r="R15" s="1626">
        <v>124</v>
      </c>
      <c r="S15" s="1631"/>
      <c r="T15" s="1627"/>
      <c r="U15" s="1628">
        <v>116</v>
      </c>
      <c r="V15" s="1629"/>
      <c r="W15" s="1626">
        <v>240</v>
      </c>
      <c r="X15" s="1627"/>
      <c r="Y15" s="1628">
        <v>3</v>
      </c>
      <c r="Z15" s="1629"/>
      <c r="AA15" s="1628">
        <v>91</v>
      </c>
      <c r="AB15" s="1629"/>
      <c r="AC15" s="1628">
        <v>82</v>
      </c>
      <c r="AD15" s="1629"/>
      <c r="AE15" s="1628">
        <v>173</v>
      </c>
      <c r="AF15" s="1629"/>
      <c r="AG15" s="1626">
        <v>9</v>
      </c>
      <c r="AH15" s="1627"/>
      <c r="AI15" s="1628">
        <v>328</v>
      </c>
      <c r="AJ15" s="1629"/>
      <c r="AK15" s="1626">
        <v>272</v>
      </c>
      <c r="AL15" s="1627"/>
      <c r="AM15" s="1628">
        <v>600</v>
      </c>
      <c r="AN15" s="1629"/>
      <c r="AO15" s="1626">
        <v>0</v>
      </c>
      <c r="AP15" s="1631"/>
      <c r="AQ15" s="1627"/>
      <c r="AR15" s="1626">
        <v>0</v>
      </c>
      <c r="AS15" s="1627"/>
      <c r="AT15" s="1626">
        <v>0</v>
      </c>
      <c r="AU15" s="1627"/>
      <c r="AV15" s="1637">
        <v>0</v>
      </c>
      <c r="AW15" s="1638"/>
      <c r="AX15" s="1628">
        <v>0</v>
      </c>
      <c r="AY15" s="1629"/>
      <c r="AZ15" s="24">
        <v>0</v>
      </c>
      <c r="BA15" s="24">
        <v>0</v>
      </c>
      <c r="BB15" s="1626">
        <v>0</v>
      </c>
      <c r="BC15" s="1627"/>
      <c r="BD15" s="1628">
        <v>0</v>
      </c>
      <c r="BE15" s="1629"/>
      <c r="BF15" s="1628">
        <v>0</v>
      </c>
      <c r="BG15" s="1636"/>
      <c r="BH15" s="1629"/>
      <c r="BI15" s="1626">
        <v>0</v>
      </c>
      <c r="BJ15" s="1627"/>
      <c r="BK15" s="1626">
        <v>0</v>
      </c>
      <c r="BL15" s="1627"/>
      <c r="BM15" s="1626">
        <v>0</v>
      </c>
      <c r="BN15" s="1631"/>
      <c r="BO15" s="1631"/>
      <c r="BP15" s="1627"/>
      <c r="BQ15" s="26">
        <v>0</v>
      </c>
      <c r="BR15" s="1626">
        <v>0</v>
      </c>
      <c r="BS15" s="1627"/>
      <c r="BT15" s="1628">
        <v>0</v>
      </c>
      <c r="BU15" s="1629"/>
      <c r="BV15" s="1626">
        <v>9</v>
      </c>
      <c r="BW15" s="1631"/>
      <c r="BX15" s="1627"/>
      <c r="BY15" s="1626">
        <v>328</v>
      </c>
      <c r="BZ15" s="1627"/>
      <c r="CA15" s="1626">
        <v>272</v>
      </c>
      <c r="CB15" s="1631"/>
      <c r="CC15" s="1635"/>
      <c r="CD15" s="1632">
        <v>600</v>
      </c>
      <c r="CE15" s="1633"/>
      <c r="CF15" s="1633"/>
      <c r="CG15" s="1634"/>
      <c r="CH15" s="282">
        <f t="shared" si="0"/>
        <v>90000</v>
      </c>
      <c r="CI15" s="287">
        <f t="shared" si="1"/>
        <v>90000</v>
      </c>
    </row>
    <row r="16" spans="1:103" ht="20.25" customHeight="1">
      <c r="A16" s="286">
        <v>9</v>
      </c>
      <c r="B16" s="1599" t="s">
        <v>91</v>
      </c>
      <c r="C16" s="1600"/>
      <c r="D16" s="1599" t="s">
        <v>92</v>
      </c>
      <c r="E16" s="1630"/>
      <c r="F16" s="1630"/>
      <c r="G16" s="1600"/>
      <c r="H16" s="24">
        <v>1</v>
      </c>
      <c r="I16" s="1626">
        <v>3</v>
      </c>
      <c r="J16" s="1627"/>
      <c r="K16" s="1626">
        <v>85</v>
      </c>
      <c r="L16" s="1627"/>
      <c r="M16" s="1628">
        <v>59</v>
      </c>
      <c r="N16" s="1629"/>
      <c r="O16" s="1626">
        <v>144</v>
      </c>
      <c r="P16" s="1627"/>
      <c r="Q16" s="25">
        <v>3</v>
      </c>
      <c r="R16" s="1626">
        <v>74</v>
      </c>
      <c r="S16" s="1631"/>
      <c r="T16" s="1627"/>
      <c r="U16" s="1628">
        <v>76</v>
      </c>
      <c r="V16" s="1629"/>
      <c r="W16" s="1626">
        <v>150</v>
      </c>
      <c r="X16" s="1627"/>
      <c r="Y16" s="1628">
        <v>3</v>
      </c>
      <c r="Z16" s="1629"/>
      <c r="AA16" s="1628">
        <v>70</v>
      </c>
      <c r="AB16" s="1629"/>
      <c r="AC16" s="1628">
        <v>76</v>
      </c>
      <c r="AD16" s="1629"/>
      <c r="AE16" s="1628">
        <v>146</v>
      </c>
      <c r="AF16" s="1629"/>
      <c r="AG16" s="1626">
        <v>9</v>
      </c>
      <c r="AH16" s="1627"/>
      <c r="AI16" s="1628">
        <v>229</v>
      </c>
      <c r="AJ16" s="1629"/>
      <c r="AK16" s="1626">
        <v>211</v>
      </c>
      <c r="AL16" s="1627"/>
      <c r="AM16" s="1628">
        <v>440</v>
      </c>
      <c r="AN16" s="1629"/>
      <c r="AO16" s="1626">
        <v>0</v>
      </c>
      <c r="AP16" s="1631"/>
      <c r="AQ16" s="1627"/>
      <c r="AR16" s="1626">
        <v>0</v>
      </c>
      <c r="AS16" s="1627"/>
      <c r="AT16" s="1626">
        <v>0</v>
      </c>
      <c r="AU16" s="1627"/>
      <c r="AV16" s="1637">
        <v>0</v>
      </c>
      <c r="AW16" s="1638"/>
      <c r="AX16" s="1628">
        <v>0</v>
      </c>
      <c r="AY16" s="1629"/>
      <c r="AZ16" s="24">
        <v>0</v>
      </c>
      <c r="BA16" s="24">
        <v>0</v>
      </c>
      <c r="BB16" s="1626">
        <v>0</v>
      </c>
      <c r="BC16" s="1627"/>
      <c r="BD16" s="1628">
        <v>0</v>
      </c>
      <c r="BE16" s="1629"/>
      <c r="BF16" s="1628">
        <v>0</v>
      </c>
      <c r="BG16" s="1636"/>
      <c r="BH16" s="1629"/>
      <c r="BI16" s="1626">
        <v>0</v>
      </c>
      <c r="BJ16" s="1627"/>
      <c r="BK16" s="1626">
        <v>0</v>
      </c>
      <c r="BL16" s="1627"/>
      <c r="BM16" s="1626">
        <v>0</v>
      </c>
      <c r="BN16" s="1631"/>
      <c r="BO16" s="1631"/>
      <c r="BP16" s="1627"/>
      <c r="BQ16" s="26">
        <v>0</v>
      </c>
      <c r="BR16" s="1626">
        <v>0</v>
      </c>
      <c r="BS16" s="1627"/>
      <c r="BT16" s="1628">
        <v>0</v>
      </c>
      <c r="BU16" s="1629"/>
      <c r="BV16" s="1626">
        <v>9</v>
      </c>
      <c r="BW16" s="1631"/>
      <c r="BX16" s="1627"/>
      <c r="BY16" s="1626">
        <v>229</v>
      </c>
      <c r="BZ16" s="1627"/>
      <c r="CA16" s="1626">
        <v>211</v>
      </c>
      <c r="CB16" s="1631"/>
      <c r="CC16" s="1635"/>
      <c r="CD16" s="1632">
        <v>440</v>
      </c>
      <c r="CE16" s="1633"/>
      <c r="CF16" s="1633"/>
      <c r="CG16" s="1634"/>
      <c r="CH16" s="282">
        <f t="shared" si="0"/>
        <v>66000</v>
      </c>
      <c r="CI16" s="287">
        <f t="shared" si="1"/>
        <v>90000</v>
      </c>
    </row>
    <row r="17" spans="1:87" ht="20.25" customHeight="1">
      <c r="A17" s="286">
        <v>10</v>
      </c>
      <c r="B17" s="1599" t="s">
        <v>93</v>
      </c>
      <c r="C17" s="1600"/>
      <c r="D17" s="1594" t="s">
        <v>15</v>
      </c>
      <c r="E17" s="1598"/>
      <c r="F17" s="1598"/>
      <c r="G17" s="1595"/>
      <c r="H17" s="24">
        <v>5</v>
      </c>
      <c r="I17" s="1626">
        <v>2</v>
      </c>
      <c r="J17" s="1627"/>
      <c r="K17" s="1626">
        <v>34</v>
      </c>
      <c r="L17" s="1627"/>
      <c r="M17" s="1628">
        <v>22</v>
      </c>
      <c r="N17" s="1629"/>
      <c r="O17" s="1626">
        <v>56</v>
      </c>
      <c r="P17" s="1627"/>
      <c r="Q17" s="25">
        <v>2</v>
      </c>
      <c r="R17" s="1626">
        <v>24</v>
      </c>
      <c r="S17" s="1631"/>
      <c r="T17" s="1627"/>
      <c r="U17" s="1628">
        <v>28</v>
      </c>
      <c r="V17" s="1629"/>
      <c r="W17" s="1626">
        <v>52</v>
      </c>
      <c r="X17" s="1627"/>
      <c r="Y17" s="1628">
        <v>1</v>
      </c>
      <c r="Z17" s="1629"/>
      <c r="AA17" s="1628">
        <v>22</v>
      </c>
      <c r="AB17" s="1629"/>
      <c r="AC17" s="1628">
        <v>19</v>
      </c>
      <c r="AD17" s="1629"/>
      <c r="AE17" s="1628">
        <v>41</v>
      </c>
      <c r="AF17" s="1629"/>
      <c r="AG17" s="1626">
        <v>5</v>
      </c>
      <c r="AH17" s="1627"/>
      <c r="AI17" s="1628">
        <v>80</v>
      </c>
      <c r="AJ17" s="1629"/>
      <c r="AK17" s="1626">
        <v>69</v>
      </c>
      <c r="AL17" s="1627"/>
      <c r="AM17" s="1628">
        <v>149</v>
      </c>
      <c r="AN17" s="1629"/>
      <c r="AO17" s="1626">
        <v>1</v>
      </c>
      <c r="AP17" s="1631"/>
      <c r="AQ17" s="1627"/>
      <c r="AR17" s="1626">
        <v>27</v>
      </c>
      <c r="AS17" s="1627"/>
      <c r="AT17" s="1626">
        <v>17</v>
      </c>
      <c r="AU17" s="1627"/>
      <c r="AV17" s="1628">
        <v>44</v>
      </c>
      <c r="AW17" s="1629"/>
      <c r="AX17" s="1628">
        <v>1</v>
      </c>
      <c r="AY17" s="1629"/>
      <c r="AZ17" s="24">
        <v>22</v>
      </c>
      <c r="BA17" s="24">
        <v>17</v>
      </c>
      <c r="BB17" s="1626">
        <v>39</v>
      </c>
      <c r="BC17" s="1627"/>
      <c r="BD17" s="1628">
        <v>1</v>
      </c>
      <c r="BE17" s="1629"/>
      <c r="BF17" s="1628">
        <v>14</v>
      </c>
      <c r="BG17" s="1636"/>
      <c r="BH17" s="1629"/>
      <c r="BI17" s="1626">
        <v>14</v>
      </c>
      <c r="BJ17" s="1627"/>
      <c r="BK17" s="1626">
        <v>28</v>
      </c>
      <c r="BL17" s="1627"/>
      <c r="BM17" s="1626">
        <v>3</v>
      </c>
      <c r="BN17" s="1631"/>
      <c r="BO17" s="1631"/>
      <c r="BP17" s="1627"/>
      <c r="BQ17" s="26">
        <v>63</v>
      </c>
      <c r="BR17" s="1626">
        <v>48</v>
      </c>
      <c r="BS17" s="1627"/>
      <c r="BT17" s="1628">
        <v>111</v>
      </c>
      <c r="BU17" s="1629"/>
      <c r="BV17" s="1626">
        <v>8</v>
      </c>
      <c r="BW17" s="1631"/>
      <c r="BX17" s="1627"/>
      <c r="BY17" s="1626">
        <v>143</v>
      </c>
      <c r="BZ17" s="1627"/>
      <c r="CA17" s="1626">
        <v>117</v>
      </c>
      <c r="CB17" s="1631"/>
      <c r="CC17" s="1635"/>
      <c r="CD17" s="1632">
        <v>260</v>
      </c>
      <c r="CE17" s="1633"/>
      <c r="CF17" s="1633"/>
      <c r="CG17" s="1634"/>
      <c r="CH17" s="282">
        <f t="shared" si="0"/>
        <v>39000</v>
      </c>
      <c r="CI17" s="287">
        <f t="shared" si="1"/>
        <v>90000</v>
      </c>
    </row>
    <row r="18" spans="1:87" ht="20.25" customHeight="1">
      <c r="A18" s="286">
        <v>11</v>
      </c>
      <c r="B18" s="1599" t="s">
        <v>94</v>
      </c>
      <c r="C18" s="1600"/>
      <c r="D18" s="1594" t="s">
        <v>15</v>
      </c>
      <c r="E18" s="1598"/>
      <c r="F18" s="1598"/>
      <c r="G18" s="1595"/>
      <c r="H18" s="24">
        <v>11</v>
      </c>
      <c r="I18" s="1626">
        <v>3</v>
      </c>
      <c r="J18" s="1627"/>
      <c r="K18" s="1626">
        <v>59</v>
      </c>
      <c r="L18" s="1627"/>
      <c r="M18" s="1628">
        <v>60</v>
      </c>
      <c r="N18" s="1629"/>
      <c r="O18" s="1626">
        <v>119</v>
      </c>
      <c r="P18" s="1627"/>
      <c r="Q18" s="25">
        <v>3</v>
      </c>
      <c r="R18" s="1626">
        <v>60</v>
      </c>
      <c r="S18" s="1631"/>
      <c r="T18" s="1627"/>
      <c r="U18" s="1628">
        <v>58</v>
      </c>
      <c r="V18" s="1629"/>
      <c r="W18" s="1626">
        <v>118</v>
      </c>
      <c r="X18" s="1627"/>
      <c r="Y18" s="1628">
        <v>3</v>
      </c>
      <c r="Z18" s="1629"/>
      <c r="AA18" s="1628">
        <v>64</v>
      </c>
      <c r="AB18" s="1629"/>
      <c r="AC18" s="1628">
        <v>56</v>
      </c>
      <c r="AD18" s="1629"/>
      <c r="AE18" s="1628">
        <v>120</v>
      </c>
      <c r="AF18" s="1629"/>
      <c r="AG18" s="1626">
        <v>9</v>
      </c>
      <c r="AH18" s="1627"/>
      <c r="AI18" s="1628">
        <v>183</v>
      </c>
      <c r="AJ18" s="1629"/>
      <c r="AK18" s="1626">
        <v>174</v>
      </c>
      <c r="AL18" s="1627"/>
      <c r="AM18" s="1628">
        <v>357</v>
      </c>
      <c r="AN18" s="1629"/>
      <c r="AO18" s="1626">
        <v>2</v>
      </c>
      <c r="AP18" s="1631"/>
      <c r="AQ18" s="1627"/>
      <c r="AR18" s="1626">
        <v>43</v>
      </c>
      <c r="AS18" s="1627"/>
      <c r="AT18" s="1626">
        <v>44</v>
      </c>
      <c r="AU18" s="1627"/>
      <c r="AV18" s="1628">
        <v>87</v>
      </c>
      <c r="AW18" s="1629"/>
      <c r="AX18" s="1628">
        <v>2</v>
      </c>
      <c r="AY18" s="1629"/>
      <c r="AZ18" s="24">
        <v>49</v>
      </c>
      <c r="BA18" s="24">
        <v>37</v>
      </c>
      <c r="BB18" s="1626">
        <v>86</v>
      </c>
      <c r="BC18" s="1627"/>
      <c r="BD18" s="1628">
        <v>2</v>
      </c>
      <c r="BE18" s="1629"/>
      <c r="BF18" s="1628">
        <v>26</v>
      </c>
      <c r="BG18" s="1636"/>
      <c r="BH18" s="1629"/>
      <c r="BI18" s="1626">
        <v>33</v>
      </c>
      <c r="BJ18" s="1627"/>
      <c r="BK18" s="1626">
        <v>59</v>
      </c>
      <c r="BL18" s="1627"/>
      <c r="BM18" s="1626">
        <v>6</v>
      </c>
      <c r="BN18" s="1631"/>
      <c r="BO18" s="1631"/>
      <c r="BP18" s="1627"/>
      <c r="BQ18" s="26">
        <v>118</v>
      </c>
      <c r="BR18" s="1626">
        <v>114</v>
      </c>
      <c r="BS18" s="1627"/>
      <c r="BT18" s="1628">
        <v>232</v>
      </c>
      <c r="BU18" s="1629"/>
      <c r="BV18" s="1626">
        <v>15</v>
      </c>
      <c r="BW18" s="1631"/>
      <c r="BX18" s="1627"/>
      <c r="BY18" s="1626">
        <v>301</v>
      </c>
      <c r="BZ18" s="1627"/>
      <c r="CA18" s="1626">
        <v>288</v>
      </c>
      <c r="CB18" s="1631"/>
      <c r="CC18" s="1635"/>
      <c r="CD18" s="1632">
        <v>589</v>
      </c>
      <c r="CE18" s="1633"/>
      <c r="CF18" s="1633"/>
      <c r="CG18" s="1634"/>
      <c r="CH18" s="282">
        <f t="shared" si="0"/>
        <v>88350</v>
      </c>
      <c r="CI18" s="287">
        <f t="shared" si="1"/>
        <v>90000</v>
      </c>
    </row>
    <row r="19" spans="1:87" ht="20.25" customHeight="1">
      <c r="A19" s="286">
        <v>12</v>
      </c>
      <c r="B19" s="1599" t="s">
        <v>95</v>
      </c>
      <c r="C19" s="1600"/>
      <c r="D19" s="1594" t="s">
        <v>81</v>
      </c>
      <c r="E19" s="1598"/>
      <c r="F19" s="1598"/>
      <c r="G19" s="1595"/>
      <c r="H19" s="24">
        <v>7</v>
      </c>
      <c r="I19" s="1626">
        <v>4</v>
      </c>
      <c r="J19" s="1627"/>
      <c r="K19" s="1626">
        <v>126</v>
      </c>
      <c r="L19" s="1627"/>
      <c r="M19" s="1628">
        <v>144</v>
      </c>
      <c r="N19" s="1629"/>
      <c r="O19" s="1626">
        <v>270</v>
      </c>
      <c r="P19" s="1627"/>
      <c r="Q19" s="25">
        <v>3</v>
      </c>
      <c r="R19" s="1626">
        <v>113</v>
      </c>
      <c r="S19" s="1631"/>
      <c r="T19" s="1627"/>
      <c r="U19" s="1628">
        <v>102</v>
      </c>
      <c r="V19" s="1629"/>
      <c r="W19" s="1626">
        <v>215</v>
      </c>
      <c r="X19" s="1627"/>
      <c r="Y19" s="1628">
        <v>3</v>
      </c>
      <c r="Z19" s="1629"/>
      <c r="AA19" s="1628">
        <v>87</v>
      </c>
      <c r="AB19" s="1629"/>
      <c r="AC19" s="1628">
        <v>81</v>
      </c>
      <c r="AD19" s="1629"/>
      <c r="AE19" s="1628">
        <v>168</v>
      </c>
      <c r="AF19" s="1629"/>
      <c r="AG19" s="1626">
        <v>10</v>
      </c>
      <c r="AH19" s="1627"/>
      <c r="AI19" s="1628">
        <v>326</v>
      </c>
      <c r="AJ19" s="1629"/>
      <c r="AK19" s="1626">
        <v>327</v>
      </c>
      <c r="AL19" s="1627"/>
      <c r="AM19" s="1628">
        <v>653</v>
      </c>
      <c r="AN19" s="1629"/>
      <c r="AO19" s="1626">
        <v>0</v>
      </c>
      <c r="AP19" s="1631"/>
      <c r="AQ19" s="1627"/>
      <c r="AR19" s="1626">
        <v>0</v>
      </c>
      <c r="AS19" s="1627"/>
      <c r="AT19" s="1626">
        <v>0</v>
      </c>
      <c r="AU19" s="1627"/>
      <c r="AV19" s="1637">
        <v>0</v>
      </c>
      <c r="AW19" s="1638"/>
      <c r="AX19" s="1628">
        <v>0</v>
      </c>
      <c r="AY19" s="1629"/>
      <c r="AZ19" s="24">
        <v>0</v>
      </c>
      <c r="BA19" s="24">
        <v>0</v>
      </c>
      <c r="BB19" s="1626">
        <v>0</v>
      </c>
      <c r="BC19" s="1627"/>
      <c r="BD19" s="1628">
        <v>0</v>
      </c>
      <c r="BE19" s="1629"/>
      <c r="BF19" s="1628">
        <v>0</v>
      </c>
      <c r="BG19" s="1636"/>
      <c r="BH19" s="1629"/>
      <c r="BI19" s="1626">
        <v>0</v>
      </c>
      <c r="BJ19" s="1627"/>
      <c r="BK19" s="1626">
        <v>0</v>
      </c>
      <c r="BL19" s="1627"/>
      <c r="BM19" s="1626">
        <v>0</v>
      </c>
      <c r="BN19" s="1631"/>
      <c r="BO19" s="1631"/>
      <c r="BP19" s="1627"/>
      <c r="BQ19" s="26">
        <v>0</v>
      </c>
      <c r="BR19" s="1626">
        <v>0</v>
      </c>
      <c r="BS19" s="1627"/>
      <c r="BT19" s="1628">
        <v>0</v>
      </c>
      <c r="BU19" s="1629"/>
      <c r="BV19" s="1626">
        <v>10</v>
      </c>
      <c r="BW19" s="1631"/>
      <c r="BX19" s="1627"/>
      <c r="BY19" s="1626">
        <v>326</v>
      </c>
      <c r="BZ19" s="1627"/>
      <c r="CA19" s="1626">
        <v>327</v>
      </c>
      <c r="CB19" s="1631"/>
      <c r="CC19" s="1635"/>
      <c r="CD19" s="1632">
        <v>653</v>
      </c>
      <c r="CE19" s="1633"/>
      <c r="CF19" s="1633"/>
      <c r="CG19" s="1634"/>
      <c r="CH19" s="282">
        <f t="shared" si="0"/>
        <v>97950</v>
      </c>
      <c r="CI19" s="287">
        <f t="shared" si="1"/>
        <v>90000</v>
      </c>
    </row>
    <row r="20" spans="1:87" ht="20.25" customHeight="1">
      <c r="A20" s="286">
        <v>13</v>
      </c>
      <c r="B20" s="1599" t="s">
        <v>96</v>
      </c>
      <c r="C20" s="1600"/>
      <c r="D20" s="1594" t="s">
        <v>81</v>
      </c>
      <c r="E20" s="1598"/>
      <c r="F20" s="1598"/>
      <c r="G20" s="1595"/>
      <c r="H20" s="24">
        <v>9</v>
      </c>
      <c r="I20" s="1626">
        <v>4</v>
      </c>
      <c r="J20" s="1627"/>
      <c r="K20" s="1626">
        <v>67</v>
      </c>
      <c r="L20" s="1627"/>
      <c r="M20" s="1628">
        <v>89</v>
      </c>
      <c r="N20" s="1629"/>
      <c r="O20" s="1626">
        <v>156</v>
      </c>
      <c r="P20" s="1627"/>
      <c r="Q20" s="25">
        <v>4</v>
      </c>
      <c r="R20" s="1626">
        <v>101</v>
      </c>
      <c r="S20" s="1631"/>
      <c r="T20" s="1627"/>
      <c r="U20" s="1628">
        <v>115</v>
      </c>
      <c r="V20" s="1629"/>
      <c r="W20" s="1626">
        <v>216</v>
      </c>
      <c r="X20" s="1627"/>
      <c r="Y20" s="1628">
        <v>4</v>
      </c>
      <c r="Z20" s="1629"/>
      <c r="AA20" s="1628">
        <v>108</v>
      </c>
      <c r="AB20" s="1629"/>
      <c r="AC20" s="1628">
        <v>101</v>
      </c>
      <c r="AD20" s="1629"/>
      <c r="AE20" s="1628">
        <v>209</v>
      </c>
      <c r="AF20" s="1629"/>
      <c r="AG20" s="1626">
        <v>12</v>
      </c>
      <c r="AH20" s="1627"/>
      <c r="AI20" s="1628">
        <v>276</v>
      </c>
      <c r="AJ20" s="1629"/>
      <c r="AK20" s="1626">
        <v>305</v>
      </c>
      <c r="AL20" s="1627"/>
      <c r="AM20" s="1628">
        <v>581</v>
      </c>
      <c r="AN20" s="1629"/>
      <c r="AO20" s="1626">
        <v>0</v>
      </c>
      <c r="AP20" s="1631"/>
      <c r="AQ20" s="1627"/>
      <c r="AR20" s="1626">
        <v>0</v>
      </c>
      <c r="AS20" s="1627"/>
      <c r="AT20" s="1626">
        <v>0</v>
      </c>
      <c r="AU20" s="1627"/>
      <c r="AV20" s="1637">
        <v>0</v>
      </c>
      <c r="AW20" s="1638"/>
      <c r="AX20" s="1628">
        <v>0</v>
      </c>
      <c r="AY20" s="1629"/>
      <c r="AZ20" s="24">
        <v>0</v>
      </c>
      <c r="BA20" s="24">
        <v>0</v>
      </c>
      <c r="BB20" s="1626">
        <v>0</v>
      </c>
      <c r="BC20" s="1627"/>
      <c r="BD20" s="1628">
        <v>0</v>
      </c>
      <c r="BE20" s="1629"/>
      <c r="BF20" s="1628">
        <v>0</v>
      </c>
      <c r="BG20" s="1636"/>
      <c r="BH20" s="1629"/>
      <c r="BI20" s="1626">
        <v>0</v>
      </c>
      <c r="BJ20" s="1627"/>
      <c r="BK20" s="1626">
        <v>0</v>
      </c>
      <c r="BL20" s="1627"/>
      <c r="BM20" s="1626">
        <v>0</v>
      </c>
      <c r="BN20" s="1631"/>
      <c r="BO20" s="1631"/>
      <c r="BP20" s="1627"/>
      <c r="BQ20" s="26">
        <v>0</v>
      </c>
      <c r="BR20" s="1626">
        <v>0</v>
      </c>
      <c r="BS20" s="1627"/>
      <c r="BT20" s="1628">
        <v>0</v>
      </c>
      <c r="BU20" s="1629"/>
      <c r="BV20" s="1626">
        <v>12</v>
      </c>
      <c r="BW20" s="1631"/>
      <c r="BX20" s="1627"/>
      <c r="BY20" s="1626">
        <v>276</v>
      </c>
      <c r="BZ20" s="1627"/>
      <c r="CA20" s="1626">
        <v>305</v>
      </c>
      <c r="CB20" s="1631"/>
      <c r="CC20" s="1635"/>
      <c r="CD20" s="1632">
        <v>581</v>
      </c>
      <c r="CE20" s="1633"/>
      <c r="CF20" s="1633"/>
      <c r="CG20" s="1634"/>
      <c r="CH20" s="282">
        <f t="shared" si="0"/>
        <v>87150</v>
      </c>
      <c r="CI20" s="287">
        <f t="shared" si="1"/>
        <v>90000</v>
      </c>
    </row>
    <row r="21" spans="1:87" ht="20.25" customHeight="1">
      <c r="A21" s="286">
        <v>14</v>
      </c>
      <c r="B21" s="1599" t="s">
        <v>97</v>
      </c>
      <c r="C21" s="1600"/>
      <c r="D21" s="1599" t="s">
        <v>88</v>
      </c>
      <c r="E21" s="1630"/>
      <c r="F21" s="1630"/>
      <c r="G21" s="1600"/>
      <c r="H21" s="24">
        <v>7</v>
      </c>
      <c r="I21" s="1626">
        <v>2</v>
      </c>
      <c r="J21" s="1627"/>
      <c r="K21" s="1626">
        <v>35</v>
      </c>
      <c r="L21" s="1627"/>
      <c r="M21" s="1628">
        <v>52</v>
      </c>
      <c r="N21" s="1629"/>
      <c r="O21" s="1626">
        <v>87</v>
      </c>
      <c r="P21" s="1627"/>
      <c r="Q21" s="25">
        <v>2</v>
      </c>
      <c r="R21" s="1626">
        <v>26</v>
      </c>
      <c r="S21" s="1631"/>
      <c r="T21" s="1627"/>
      <c r="U21" s="1628">
        <v>44</v>
      </c>
      <c r="V21" s="1629"/>
      <c r="W21" s="1626">
        <v>70</v>
      </c>
      <c r="X21" s="1627"/>
      <c r="Y21" s="1628">
        <v>2</v>
      </c>
      <c r="Z21" s="1629"/>
      <c r="AA21" s="1628">
        <v>37</v>
      </c>
      <c r="AB21" s="1629"/>
      <c r="AC21" s="1628">
        <v>36</v>
      </c>
      <c r="AD21" s="1629"/>
      <c r="AE21" s="1628">
        <v>73</v>
      </c>
      <c r="AF21" s="1629"/>
      <c r="AG21" s="1626">
        <v>6</v>
      </c>
      <c r="AH21" s="1627"/>
      <c r="AI21" s="1628">
        <v>98</v>
      </c>
      <c r="AJ21" s="1629"/>
      <c r="AK21" s="1626">
        <v>132</v>
      </c>
      <c r="AL21" s="1627"/>
      <c r="AM21" s="1628">
        <v>230</v>
      </c>
      <c r="AN21" s="1629"/>
      <c r="AO21" s="1626">
        <v>0</v>
      </c>
      <c r="AP21" s="1631"/>
      <c r="AQ21" s="1627"/>
      <c r="AR21" s="1626">
        <v>0</v>
      </c>
      <c r="AS21" s="1627"/>
      <c r="AT21" s="1626">
        <v>0</v>
      </c>
      <c r="AU21" s="1627"/>
      <c r="AV21" s="1637">
        <v>0</v>
      </c>
      <c r="AW21" s="1638"/>
      <c r="AX21" s="1628">
        <v>0</v>
      </c>
      <c r="AY21" s="1629"/>
      <c r="AZ21" s="24">
        <v>0</v>
      </c>
      <c r="BA21" s="24">
        <v>0</v>
      </c>
      <c r="BB21" s="1626">
        <v>0</v>
      </c>
      <c r="BC21" s="1627"/>
      <c r="BD21" s="1628">
        <v>0</v>
      </c>
      <c r="BE21" s="1629"/>
      <c r="BF21" s="1628">
        <v>0</v>
      </c>
      <c r="BG21" s="1636"/>
      <c r="BH21" s="1629"/>
      <c r="BI21" s="1626">
        <v>0</v>
      </c>
      <c r="BJ21" s="1627"/>
      <c r="BK21" s="1626">
        <v>0</v>
      </c>
      <c r="BL21" s="1627"/>
      <c r="BM21" s="1626">
        <v>0</v>
      </c>
      <c r="BN21" s="1631"/>
      <c r="BO21" s="1631"/>
      <c r="BP21" s="1627"/>
      <c r="BQ21" s="26">
        <v>0</v>
      </c>
      <c r="BR21" s="1626">
        <v>0</v>
      </c>
      <c r="BS21" s="1627"/>
      <c r="BT21" s="1628">
        <v>0</v>
      </c>
      <c r="BU21" s="1629"/>
      <c r="BV21" s="1626">
        <v>6</v>
      </c>
      <c r="BW21" s="1631"/>
      <c r="BX21" s="1627"/>
      <c r="BY21" s="1626">
        <v>98</v>
      </c>
      <c r="BZ21" s="1627"/>
      <c r="CA21" s="1626">
        <v>132</v>
      </c>
      <c r="CB21" s="1631"/>
      <c r="CC21" s="1635"/>
      <c r="CD21" s="1632">
        <v>230</v>
      </c>
      <c r="CE21" s="1633"/>
      <c r="CF21" s="1633"/>
      <c r="CG21" s="1634"/>
      <c r="CH21" s="282">
        <f t="shared" si="0"/>
        <v>34500</v>
      </c>
      <c r="CI21" s="287">
        <f t="shared" si="1"/>
        <v>90000</v>
      </c>
    </row>
    <row r="22" spans="1:87" ht="20.25" customHeight="1">
      <c r="A22" s="286">
        <v>15</v>
      </c>
      <c r="B22" s="1599" t="s">
        <v>98</v>
      </c>
      <c r="C22" s="1600"/>
      <c r="D22" s="1599" t="s">
        <v>92</v>
      </c>
      <c r="E22" s="1630"/>
      <c r="F22" s="1630"/>
      <c r="G22" s="1600"/>
      <c r="H22" s="24">
        <v>3</v>
      </c>
      <c r="I22" s="1626">
        <v>1</v>
      </c>
      <c r="J22" s="1627"/>
      <c r="K22" s="1626">
        <v>14</v>
      </c>
      <c r="L22" s="1627"/>
      <c r="M22" s="1628">
        <v>19</v>
      </c>
      <c r="N22" s="1629"/>
      <c r="O22" s="1626">
        <v>33</v>
      </c>
      <c r="P22" s="1627"/>
      <c r="Q22" s="25">
        <v>1</v>
      </c>
      <c r="R22" s="1626">
        <v>29</v>
      </c>
      <c r="S22" s="1631"/>
      <c r="T22" s="1627"/>
      <c r="U22" s="1628">
        <v>12</v>
      </c>
      <c r="V22" s="1629"/>
      <c r="W22" s="1626">
        <v>41</v>
      </c>
      <c r="X22" s="1627"/>
      <c r="Y22" s="1628">
        <v>2</v>
      </c>
      <c r="Z22" s="1629"/>
      <c r="AA22" s="1628">
        <v>51</v>
      </c>
      <c r="AB22" s="1629"/>
      <c r="AC22" s="1628">
        <v>41</v>
      </c>
      <c r="AD22" s="1629"/>
      <c r="AE22" s="1628">
        <v>92</v>
      </c>
      <c r="AF22" s="1629"/>
      <c r="AG22" s="1626">
        <v>4</v>
      </c>
      <c r="AH22" s="1627"/>
      <c r="AI22" s="1628">
        <v>94</v>
      </c>
      <c r="AJ22" s="1629"/>
      <c r="AK22" s="1626">
        <v>72</v>
      </c>
      <c r="AL22" s="1627"/>
      <c r="AM22" s="1628">
        <v>166</v>
      </c>
      <c r="AN22" s="1629"/>
      <c r="AO22" s="1626">
        <v>2</v>
      </c>
      <c r="AP22" s="1631"/>
      <c r="AQ22" s="1627"/>
      <c r="AR22" s="1626">
        <v>53</v>
      </c>
      <c r="AS22" s="1627"/>
      <c r="AT22" s="1626">
        <v>18</v>
      </c>
      <c r="AU22" s="1627"/>
      <c r="AV22" s="1628">
        <v>71</v>
      </c>
      <c r="AW22" s="1629"/>
      <c r="AX22" s="1628">
        <v>2</v>
      </c>
      <c r="AY22" s="1629"/>
      <c r="AZ22" s="24">
        <v>26</v>
      </c>
      <c r="BA22" s="24">
        <v>11</v>
      </c>
      <c r="BB22" s="1626">
        <v>37</v>
      </c>
      <c r="BC22" s="1627"/>
      <c r="BD22" s="1628">
        <v>2</v>
      </c>
      <c r="BE22" s="1629"/>
      <c r="BF22" s="1628">
        <v>30</v>
      </c>
      <c r="BG22" s="1636"/>
      <c r="BH22" s="1629"/>
      <c r="BI22" s="1626">
        <v>19</v>
      </c>
      <c r="BJ22" s="1627"/>
      <c r="BK22" s="1626">
        <v>49</v>
      </c>
      <c r="BL22" s="1627"/>
      <c r="BM22" s="1626">
        <v>6</v>
      </c>
      <c r="BN22" s="1631"/>
      <c r="BO22" s="1631"/>
      <c r="BP22" s="1627"/>
      <c r="BQ22" s="26">
        <v>109</v>
      </c>
      <c r="BR22" s="1626">
        <v>48</v>
      </c>
      <c r="BS22" s="1627"/>
      <c r="BT22" s="1628">
        <v>157</v>
      </c>
      <c r="BU22" s="1629"/>
      <c r="BV22" s="1626">
        <v>10</v>
      </c>
      <c r="BW22" s="1631"/>
      <c r="BX22" s="1627"/>
      <c r="BY22" s="1626">
        <v>203</v>
      </c>
      <c r="BZ22" s="1627"/>
      <c r="CA22" s="1626">
        <v>120</v>
      </c>
      <c r="CB22" s="1631"/>
      <c r="CC22" s="1635"/>
      <c r="CD22" s="1632">
        <v>323</v>
      </c>
      <c r="CE22" s="1633"/>
      <c r="CF22" s="1633"/>
      <c r="CG22" s="1634"/>
      <c r="CH22" s="282">
        <f t="shared" si="0"/>
        <v>48450</v>
      </c>
      <c r="CI22" s="287">
        <f t="shared" si="1"/>
        <v>90000</v>
      </c>
    </row>
    <row r="23" spans="1:87" ht="20.25" customHeight="1">
      <c r="A23" s="286">
        <v>16</v>
      </c>
      <c r="B23" s="1599" t="s">
        <v>99</v>
      </c>
      <c r="C23" s="1600"/>
      <c r="D23" s="1594" t="s">
        <v>15</v>
      </c>
      <c r="E23" s="1598"/>
      <c r="F23" s="1598"/>
      <c r="G23" s="1595"/>
      <c r="H23" s="24">
        <v>5</v>
      </c>
      <c r="I23" s="1626">
        <v>2</v>
      </c>
      <c r="J23" s="1627"/>
      <c r="K23" s="1626">
        <v>41</v>
      </c>
      <c r="L23" s="1627"/>
      <c r="M23" s="1628">
        <v>33</v>
      </c>
      <c r="N23" s="1629"/>
      <c r="O23" s="1626">
        <v>74</v>
      </c>
      <c r="P23" s="1627"/>
      <c r="Q23" s="25">
        <v>2</v>
      </c>
      <c r="R23" s="1626">
        <v>63</v>
      </c>
      <c r="S23" s="1631"/>
      <c r="T23" s="1627"/>
      <c r="U23" s="1628">
        <v>29</v>
      </c>
      <c r="V23" s="1629"/>
      <c r="W23" s="1626">
        <v>92</v>
      </c>
      <c r="X23" s="1627"/>
      <c r="Y23" s="1628">
        <v>2</v>
      </c>
      <c r="Z23" s="1629"/>
      <c r="AA23" s="1628">
        <v>50</v>
      </c>
      <c r="AB23" s="1629"/>
      <c r="AC23" s="1628">
        <v>44</v>
      </c>
      <c r="AD23" s="1629"/>
      <c r="AE23" s="1628">
        <v>94</v>
      </c>
      <c r="AF23" s="1629"/>
      <c r="AG23" s="1626">
        <v>6</v>
      </c>
      <c r="AH23" s="1627"/>
      <c r="AI23" s="1628">
        <v>154</v>
      </c>
      <c r="AJ23" s="1629"/>
      <c r="AK23" s="1626">
        <v>106</v>
      </c>
      <c r="AL23" s="1627"/>
      <c r="AM23" s="1628">
        <v>260</v>
      </c>
      <c r="AN23" s="1629"/>
      <c r="AO23" s="1626">
        <v>0</v>
      </c>
      <c r="AP23" s="1631"/>
      <c r="AQ23" s="1627"/>
      <c r="AR23" s="1626">
        <v>0</v>
      </c>
      <c r="AS23" s="1627"/>
      <c r="AT23" s="1626">
        <v>0</v>
      </c>
      <c r="AU23" s="1627"/>
      <c r="AV23" s="1637">
        <v>0</v>
      </c>
      <c r="AW23" s="1638"/>
      <c r="AX23" s="1628">
        <v>0</v>
      </c>
      <c r="AY23" s="1629"/>
      <c r="AZ23" s="24">
        <v>0</v>
      </c>
      <c r="BA23" s="24">
        <v>0</v>
      </c>
      <c r="BB23" s="1626">
        <v>0</v>
      </c>
      <c r="BC23" s="1627"/>
      <c r="BD23" s="1628">
        <v>0</v>
      </c>
      <c r="BE23" s="1629"/>
      <c r="BF23" s="1628">
        <v>0</v>
      </c>
      <c r="BG23" s="1636"/>
      <c r="BH23" s="1629"/>
      <c r="BI23" s="1626">
        <v>0</v>
      </c>
      <c r="BJ23" s="1627"/>
      <c r="BK23" s="1626">
        <v>0</v>
      </c>
      <c r="BL23" s="1627"/>
      <c r="BM23" s="1626">
        <v>0</v>
      </c>
      <c r="BN23" s="1631"/>
      <c r="BO23" s="1631"/>
      <c r="BP23" s="1627"/>
      <c r="BQ23" s="26">
        <v>0</v>
      </c>
      <c r="BR23" s="1626">
        <v>0</v>
      </c>
      <c r="BS23" s="1627"/>
      <c r="BT23" s="1628">
        <v>0</v>
      </c>
      <c r="BU23" s="1629"/>
      <c r="BV23" s="1626">
        <v>6</v>
      </c>
      <c r="BW23" s="1631"/>
      <c r="BX23" s="1627"/>
      <c r="BY23" s="1626">
        <v>154</v>
      </c>
      <c r="BZ23" s="1627"/>
      <c r="CA23" s="1626">
        <v>106</v>
      </c>
      <c r="CB23" s="1631"/>
      <c r="CC23" s="1635"/>
      <c r="CD23" s="1632">
        <v>260</v>
      </c>
      <c r="CE23" s="1633"/>
      <c r="CF23" s="1633"/>
      <c r="CG23" s="1634"/>
      <c r="CH23" s="282">
        <f t="shared" si="0"/>
        <v>39000</v>
      </c>
      <c r="CI23" s="287">
        <f t="shared" si="1"/>
        <v>90000</v>
      </c>
    </row>
    <row r="24" spans="1:87" ht="20.25" customHeight="1">
      <c r="A24" s="286">
        <v>17</v>
      </c>
      <c r="B24" s="1599" t="s">
        <v>100</v>
      </c>
      <c r="C24" s="1600"/>
      <c r="D24" s="1599" t="s">
        <v>92</v>
      </c>
      <c r="E24" s="1630"/>
      <c r="F24" s="1630"/>
      <c r="G24" s="1600"/>
      <c r="H24" s="24">
        <v>3</v>
      </c>
      <c r="I24" s="1626">
        <v>4</v>
      </c>
      <c r="J24" s="1627"/>
      <c r="K24" s="1626">
        <v>178</v>
      </c>
      <c r="L24" s="1627"/>
      <c r="M24" s="1628">
        <v>147</v>
      </c>
      <c r="N24" s="1629"/>
      <c r="O24" s="1626">
        <v>325</v>
      </c>
      <c r="P24" s="1627"/>
      <c r="Q24" s="25">
        <v>4</v>
      </c>
      <c r="R24" s="1626">
        <v>174</v>
      </c>
      <c r="S24" s="1631"/>
      <c r="T24" s="1627"/>
      <c r="U24" s="1628">
        <v>153</v>
      </c>
      <c r="V24" s="1629"/>
      <c r="W24" s="1626">
        <v>327</v>
      </c>
      <c r="X24" s="1627"/>
      <c r="Y24" s="1628">
        <v>4</v>
      </c>
      <c r="Z24" s="1629"/>
      <c r="AA24" s="1628">
        <v>111</v>
      </c>
      <c r="AB24" s="1629"/>
      <c r="AC24" s="1628">
        <v>110</v>
      </c>
      <c r="AD24" s="1629"/>
      <c r="AE24" s="1628">
        <v>221</v>
      </c>
      <c r="AF24" s="1629"/>
      <c r="AG24" s="1626">
        <v>12</v>
      </c>
      <c r="AH24" s="1627"/>
      <c r="AI24" s="1628">
        <v>463</v>
      </c>
      <c r="AJ24" s="1629"/>
      <c r="AK24" s="1626">
        <v>410</v>
      </c>
      <c r="AL24" s="1627"/>
      <c r="AM24" s="1628">
        <v>873</v>
      </c>
      <c r="AN24" s="1629"/>
      <c r="AO24" s="1626">
        <v>0</v>
      </c>
      <c r="AP24" s="1631"/>
      <c r="AQ24" s="1627"/>
      <c r="AR24" s="1626">
        <v>0</v>
      </c>
      <c r="AS24" s="1627"/>
      <c r="AT24" s="1626">
        <v>0</v>
      </c>
      <c r="AU24" s="1627"/>
      <c r="AV24" s="1637">
        <v>0</v>
      </c>
      <c r="AW24" s="1638"/>
      <c r="AX24" s="1628">
        <v>0</v>
      </c>
      <c r="AY24" s="1629"/>
      <c r="AZ24" s="24">
        <v>0</v>
      </c>
      <c r="BA24" s="24">
        <v>0</v>
      </c>
      <c r="BB24" s="1626">
        <v>0</v>
      </c>
      <c r="BC24" s="1627"/>
      <c r="BD24" s="1628">
        <v>0</v>
      </c>
      <c r="BE24" s="1629"/>
      <c r="BF24" s="1628">
        <v>0</v>
      </c>
      <c r="BG24" s="1636"/>
      <c r="BH24" s="1629"/>
      <c r="BI24" s="1626">
        <v>0</v>
      </c>
      <c r="BJ24" s="1627"/>
      <c r="BK24" s="1626">
        <v>0</v>
      </c>
      <c r="BL24" s="1627"/>
      <c r="BM24" s="1626">
        <v>0</v>
      </c>
      <c r="BN24" s="1631"/>
      <c r="BO24" s="1631"/>
      <c r="BP24" s="1627"/>
      <c r="BQ24" s="26">
        <v>0</v>
      </c>
      <c r="BR24" s="1626">
        <v>0</v>
      </c>
      <c r="BS24" s="1627"/>
      <c r="BT24" s="1628">
        <v>0</v>
      </c>
      <c r="BU24" s="1629"/>
      <c r="BV24" s="1626">
        <v>12</v>
      </c>
      <c r="BW24" s="1631"/>
      <c r="BX24" s="1627"/>
      <c r="BY24" s="1626">
        <v>463</v>
      </c>
      <c r="BZ24" s="1627"/>
      <c r="CA24" s="1626">
        <v>410</v>
      </c>
      <c r="CB24" s="1631"/>
      <c r="CC24" s="1635"/>
      <c r="CD24" s="1632">
        <v>873</v>
      </c>
      <c r="CE24" s="1633"/>
      <c r="CF24" s="1633"/>
      <c r="CG24" s="1634"/>
      <c r="CH24" s="282">
        <f t="shared" si="0"/>
        <v>130950</v>
      </c>
      <c r="CI24" s="287">
        <f t="shared" si="1"/>
        <v>90000</v>
      </c>
    </row>
    <row r="25" spans="1:87" ht="20.25" customHeight="1">
      <c r="A25" s="286">
        <v>18</v>
      </c>
      <c r="B25" s="1599" t="s">
        <v>101</v>
      </c>
      <c r="C25" s="1600"/>
      <c r="D25" s="1594" t="s">
        <v>15</v>
      </c>
      <c r="E25" s="1598"/>
      <c r="F25" s="1598"/>
      <c r="G25" s="1595"/>
      <c r="H25" s="24">
        <v>6</v>
      </c>
      <c r="I25" s="1626">
        <v>6</v>
      </c>
      <c r="J25" s="1627"/>
      <c r="K25" s="1626">
        <v>318</v>
      </c>
      <c r="L25" s="1627"/>
      <c r="M25" s="1628">
        <v>204</v>
      </c>
      <c r="N25" s="1629"/>
      <c r="O25" s="1626">
        <v>522</v>
      </c>
      <c r="P25" s="1627"/>
      <c r="Q25" s="25">
        <v>6</v>
      </c>
      <c r="R25" s="1626">
        <v>137</v>
      </c>
      <c r="S25" s="1631"/>
      <c r="T25" s="1627"/>
      <c r="U25" s="1628">
        <v>142</v>
      </c>
      <c r="V25" s="1629"/>
      <c r="W25" s="1626">
        <v>279</v>
      </c>
      <c r="X25" s="1627"/>
      <c r="Y25" s="1628">
        <v>6</v>
      </c>
      <c r="Z25" s="1629"/>
      <c r="AA25" s="1628">
        <v>209</v>
      </c>
      <c r="AB25" s="1629"/>
      <c r="AC25" s="1628">
        <v>155</v>
      </c>
      <c r="AD25" s="1629"/>
      <c r="AE25" s="1628">
        <v>364</v>
      </c>
      <c r="AF25" s="1629"/>
      <c r="AG25" s="1626">
        <v>18</v>
      </c>
      <c r="AH25" s="1627"/>
      <c r="AI25" s="1628">
        <v>664</v>
      </c>
      <c r="AJ25" s="1629"/>
      <c r="AK25" s="1626">
        <v>501</v>
      </c>
      <c r="AL25" s="1627"/>
      <c r="AM25" s="1628">
        <v>1165</v>
      </c>
      <c r="AN25" s="1629"/>
      <c r="AO25" s="1626">
        <v>0</v>
      </c>
      <c r="AP25" s="1631"/>
      <c r="AQ25" s="1627"/>
      <c r="AR25" s="1626">
        <v>0</v>
      </c>
      <c r="AS25" s="1627"/>
      <c r="AT25" s="1626">
        <v>0</v>
      </c>
      <c r="AU25" s="1627"/>
      <c r="AV25" s="1637">
        <v>0</v>
      </c>
      <c r="AW25" s="1638"/>
      <c r="AX25" s="1628">
        <v>0</v>
      </c>
      <c r="AY25" s="1629"/>
      <c r="AZ25" s="24">
        <v>0</v>
      </c>
      <c r="BA25" s="24">
        <v>0</v>
      </c>
      <c r="BB25" s="1626">
        <v>0</v>
      </c>
      <c r="BC25" s="1627"/>
      <c r="BD25" s="1628">
        <v>0</v>
      </c>
      <c r="BE25" s="1629"/>
      <c r="BF25" s="1628">
        <v>0</v>
      </c>
      <c r="BG25" s="1636"/>
      <c r="BH25" s="1629"/>
      <c r="BI25" s="1626">
        <v>0</v>
      </c>
      <c r="BJ25" s="1627"/>
      <c r="BK25" s="1626">
        <v>0</v>
      </c>
      <c r="BL25" s="1627"/>
      <c r="BM25" s="1626">
        <v>0</v>
      </c>
      <c r="BN25" s="1631"/>
      <c r="BO25" s="1631"/>
      <c r="BP25" s="1627"/>
      <c r="BQ25" s="26">
        <v>0</v>
      </c>
      <c r="BR25" s="1626">
        <v>0</v>
      </c>
      <c r="BS25" s="1627"/>
      <c r="BT25" s="1628">
        <v>0</v>
      </c>
      <c r="BU25" s="1629"/>
      <c r="BV25" s="1626">
        <v>18</v>
      </c>
      <c r="BW25" s="1631"/>
      <c r="BX25" s="1627"/>
      <c r="BY25" s="1626">
        <v>664</v>
      </c>
      <c r="BZ25" s="1627"/>
      <c r="CA25" s="1626">
        <v>501</v>
      </c>
      <c r="CB25" s="1631"/>
      <c r="CC25" s="1635"/>
      <c r="CD25" s="1632">
        <v>1165</v>
      </c>
      <c r="CE25" s="1633"/>
      <c r="CF25" s="1633"/>
      <c r="CG25" s="1634"/>
      <c r="CH25" s="282">
        <f t="shared" si="0"/>
        <v>174750</v>
      </c>
      <c r="CI25" s="287">
        <f t="shared" si="1"/>
        <v>150000</v>
      </c>
    </row>
    <row r="26" spans="1:87" ht="20.25" customHeight="1">
      <c r="A26" s="286">
        <v>19</v>
      </c>
      <c r="B26" s="1599" t="s">
        <v>102</v>
      </c>
      <c r="C26" s="1600"/>
      <c r="D26" s="1599" t="s">
        <v>92</v>
      </c>
      <c r="E26" s="1630"/>
      <c r="F26" s="1630"/>
      <c r="G26" s="1600"/>
      <c r="H26" s="24">
        <v>2</v>
      </c>
      <c r="I26" s="1626">
        <v>4</v>
      </c>
      <c r="J26" s="1627"/>
      <c r="K26" s="1626">
        <v>0</v>
      </c>
      <c r="L26" s="1627"/>
      <c r="M26" s="1628">
        <v>182</v>
      </c>
      <c r="N26" s="1629"/>
      <c r="O26" s="1626">
        <v>182</v>
      </c>
      <c r="P26" s="1627"/>
      <c r="Q26" s="25">
        <v>4</v>
      </c>
      <c r="R26" s="1626">
        <v>0</v>
      </c>
      <c r="S26" s="1631"/>
      <c r="T26" s="1627"/>
      <c r="U26" s="1628">
        <v>141</v>
      </c>
      <c r="V26" s="1629"/>
      <c r="W26" s="1626">
        <v>141</v>
      </c>
      <c r="X26" s="1627"/>
      <c r="Y26" s="1628">
        <v>4</v>
      </c>
      <c r="Z26" s="1629"/>
      <c r="AA26" s="1628">
        <v>0</v>
      </c>
      <c r="AB26" s="1629"/>
      <c r="AC26" s="1628">
        <v>153</v>
      </c>
      <c r="AD26" s="1629"/>
      <c r="AE26" s="1628">
        <v>153</v>
      </c>
      <c r="AF26" s="1629"/>
      <c r="AG26" s="1626">
        <v>12</v>
      </c>
      <c r="AH26" s="1627"/>
      <c r="AI26" s="1628">
        <v>0</v>
      </c>
      <c r="AJ26" s="1629"/>
      <c r="AK26" s="1626">
        <v>476</v>
      </c>
      <c r="AL26" s="1627"/>
      <c r="AM26" s="1628">
        <v>476</v>
      </c>
      <c r="AN26" s="1629"/>
      <c r="AO26" s="1626">
        <v>0</v>
      </c>
      <c r="AP26" s="1631"/>
      <c r="AQ26" s="1627"/>
      <c r="AR26" s="1626">
        <v>0</v>
      </c>
      <c r="AS26" s="1627"/>
      <c r="AT26" s="1626">
        <v>0</v>
      </c>
      <c r="AU26" s="1627"/>
      <c r="AV26" s="1637">
        <v>0</v>
      </c>
      <c r="AW26" s="1638"/>
      <c r="AX26" s="1628">
        <v>0</v>
      </c>
      <c r="AY26" s="1629"/>
      <c r="AZ26" s="24">
        <v>0</v>
      </c>
      <c r="BA26" s="24">
        <v>0</v>
      </c>
      <c r="BB26" s="1626">
        <v>0</v>
      </c>
      <c r="BC26" s="1627"/>
      <c r="BD26" s="1628">
        <v>0</v>
      </c>
      <c r="BE26" s="1629"/>
      <c r="BF26" s="1628">
        <v>0</v>
      </c>
      <c r="BG26" s="1636"/>
      <c r="BH26" s="1629"/>
      <c r="BI26" s="1626">
        <v>0</v>
      </c>
      <c r="BJ26" s="1627"/>
      <c r="BK26" s="1626">
        <v>0</v>
      </c>
      <c r="BL26" s="1627"/>
      <c r="BM26" s="1626">
        <v>0</v>
      </c>
      <c r="BN26" s="1631"/>
      <c r="BO26" s="1631"/>
      <c r="BP26" s="1627"/>
      <c r="BQ26" s="26">
        <v>0</v>
      </c>
      <c r="BR26" s="1626">
        <v>0</v>
      </c>
      <c r="BS26" s="1627"/>
      <c r="BT26" s="1628">
        <v>0</v>
      </c>
      <c r="BU26" s="1629"/>
      <c r="BV26" s="1626">
        <v>12</v>
      </c>
      <c r="BW26" s="1631"/>
      <c r="BX26" s="1627"/>
      <c r="BY26" s="1626">
        <v>0</v>
      </c>
      <c r="BZ26" s="1627"/>
      <c r="CA26" s="1626">
        <v>476</v>
      </c>
      <c r="CB26" s="1631"/>
      <c r="CC26" s="1635"/>
      <c r="CD26" s="1632">
        <v>476</v>
      </c>
      <c r="CE26" s="1633"/>
      <c r="CF26" s="1633"/>
      <c r="CG26" s="1634"/>
      <c r="CH26" s="282">
        <f t="shared" si="0"/>
        <v>71400</v>
      </c>
      <c r="CI26" s="287">
        <f t="shared" si="1"/>
        <v>90000</v>
      </c>
    </row>
    <row r="27" spans="1:87" ht="20.25" customHeight="1">
      <c r="A27" s="286">
        <v>20</v>
      </c>
      <c r="B27" s="1599" t="s">
        <v>452</v>
      </c>
      <c r="C27" s="1600"/>
      <c r="D27" s="1594" t="s">
        <v>15</v>
      </c>
      <c r="E27" s="1598"/>
      <c r="F27" s="1598"/>
      <c r="G27" s="1595"/>
      <c r="H27" s="24">
        <v>1</v>
      </c>
      <c r="I27" s="1626">
        <v>1</v>
      </c>
      <c r="J27" s="1627"/>
      <c r="K27" s="1626">
        <v>22</v>
      </c>
      <c r="L27" s="1627"/>
      <c r="M27" s="1637">
        <v>7</v>
      </c>
      <c r="N27" s="1638"/>
      <c r="O27" s="1626">
        <v>29</v>
      </c>
      <c r="P27" s="1627"/>
      <c r="Q27" s="25">
        <v>1</v>
      </c>
      <c r="R27" s="1626">
        <v>24</v>
      </c>
      <c r="S27" s="1631"/>
      <c r="T27" s="1627"/>
      <c r="U27" s="1628">
        <v>18</v>
      </c>
      <c r="V27" s="1629"/>
      <c r="W27" s="1626">
        <v>42</v>
      </c>
      <c r="X27" s="1627"/>
      <c r="Y27" s="1628">
        <v>1</v>
      </c>
      <c r="Z27" s="1629"/>
      <c r="AA27" s="1628">
        <v>22</v>
      </c>
      <c r="AB27" s="1629"/>
      <c r="AC27" s="1628">
        <v>13</v>
      </c>
      <c r="AD27" s="1629"/>
      <c r="AE27" s="1628">
        <v>35</v>
      </c>
      <c r="AF27" s="1629"/>
      <c r="AG27" s="1626">
        <v>3</v>
      </c>
      <c r="AH27" s="1627"/>
      <c r="AI27" s="1628">
        <v>68</v>
      </c>
      <c r="AJ27" s="1629"/>
      <c r="AK27" s="1626">
        <v>38</v>
      </c>
      <c r="AL27" s="1627"/>
      <c r="AM27" s="1628">
        <v>106</v>
      </c>
      <c r="AN27" s="1629"/>
      <c r="AO27" s="1626">
        <v>0</v>
      </c>
      <c r="AP27" s="1631"/>
      <c r="AQ27" s="1627"/>
      <c r="AR27" s="1626">
        <v>0</v>
      </c>
      <c r="AS27" s="1627"/>
      <c r="AT27" s="1626">
        <v>0</v>
      </c>
      <c r="AU27" s="1627"/>
      <c r="AV27" s="1637">
        <v>0</v>
      </c>
      <c r="AW27" s="1638"/>
      <c r="AX27" s="1628">
        <v>0</v>
      </c>
      <c r="AY27" s="1629"/>
      <c r="AZ27" s="24">
        <v>0</v>
      </c>
      <c r="BA27" s="24">
        <v>0</v>
      </c>
      <c r="BB27" s="1626">
        <v>0</v>
      </c>
      <c r="BC27" s="1627"/>
      <c r="BD27" s="1628">
        <v>0</v>
      </c>
      <c r="BE27" s="1629"/>
      <c r="BF27" s="1628">
        <v>0</v>
      </c>
      <c r="BG27" s="1636"/>
      <c r="BH27" s="1629"/>
      <c r="BI27" s="1626">
        <v>0</v>
      </c>
      <c r="BJ27" s="1627"/>
      <c r="BK27" s="1626">
        <v>0</v>
      </c>
      <c r="BL27" s="1627"/>
      <c r="BM27" s="1626">
        <v>0</v>
      </c>
      <c r="BN27" s="1631"/>
      <c r="BO27" s="1631"/>
      <c r="BP27" s="1627"/>
      <c r="BQ27" s="26">
        <v>0</v>
      </c>
      <c r="BR27" s="1626">
        <v>0</v>
      </c>
      <c r="BS27" s="1627"/>
      <c r="BT27" s="1628">
        <v>0</v>
      </c>
      <c r="BU27" s="1629"/>
      <c r="BV27" s="1626">
        <v>3</v>
      </c>
      <c r="BW27" s="1631"/>
      <c r="BX27" s="1627"/>
      <c r="BY27" s="1626">
        <v>68</v>
      </c>
      <c r="BZ27" s="1627"/>
      <c r="CA27" s="1626">
        <v>38</v>
      </c>
      <c r="CB27" s="1631"/>
      <c r="CC27" s="1635"/>
      <c r="CD27" s="1632">
        <v>106</v>
      </c>
      <c r="CE27" s="1633"/>
      <c r="CF27" s="1633"/>
      <c r="CG27" s="1634"/>
      <c r="CH27" s="283">
        <f>CD27*1200</f>
        <v>127200</v>
      </c>
      <c r="CI27" s="287">
        <f t="shared" si="1"/>
        <v>90000</v>
      </c>
    </row>
    <row r="28" spans="1:87" ht="20.25" customHeight="1">
      <c r="A28" s="286">
        <v>21</v>
      </c>
      <c r="B28" s="1599" t="s">
        <v>103</v>
      </c>
      <c r="C28" s="1600"/>
      <c r="D28" s="1594" t="s">
        <v>104</v>
      </c>
      <c r="E28" s="1598"/>
      <c r="F28" s="1598"/>
      <c r="G28" s="1595"/>
      <c r="H28" s="24">
        <v>9</v>
      </c>
      <c r="I28" s="1626">
        <v>0</v>
      </c>
      <c r="J28" s="1627"/>
      <c r="K28" s="1626">
        <v>0</v>
      </c>
      <c r="L28" s="1627"/>
      <c r="M28" s="1637">
        <v>0</v>
      </c>
      <c r="N28" s="1638"/>
      <c r="O28" s="1626">
        <v>0</v>
      </c>
      <c r="P28" s="1627"/>
      <c r="Q28" s="25">
        <v>0</v>
      </c>
      <c r="R28" s="1626">
        <v>0</v>
      </c>
      <c r="S28" s="1631"/>
      <c r="T28" s="1627"/>
      <c r="U28" s="1637">
        <v>0</v>
      </c>
      <c r="V28" s="1638"/>
      <c r="W28" s="1626">
        <v>0</v>
      </c>
      <c r="X28" s="1627"/>
      <c r="Y28" s="1628">
        <v>0</v>
      </c>
      <c r="Z28" s="1629"/>
      <c r="AA28" s="1628">
        <v>0</v>
      </c>
      <c r="AB28" s="1629"/>
      <c r="AC28" s="1628">
        <v>0</v>
      </c>
      <c r="AD28" s="1629"/>
      <c r="AE28" s="1628">
        <v>0</v>
      </c>
      <c r="AF28" s="1629"/>
      <c r="AG28" s="1626">
        <v>0</v>
      </c>
      <c r="AH28" s="1627"/>
      <c r="AI28" s="1628">
        <v>0</v>
      </c>
      <c r="AJ28" s="1629"/>
      <c r="AK28" s="1626">
        <v>0</v>
      </c>
      <c r="AL28" s="1627"/>
      <c r="AM28" s="1637">
        <v>0</v>
      </c>
      <c r="AN28" s="1638"/>
      <c r="AO28" s="1626">
        <v>3</v>
      </c>
      <c r="AP28" s="1631"/>
      <c r="AQ28" s="1627"/>
      <c r="AR28" s="1626">
        <v>58</v>
      </c>
      <c r="AS28" s="1627"/>
      <c r="AT28" s="1626">
        <v>78</v>
      </c>
      <c r="AU28" s="1627"/>
      <c r="AV28" s="1628">
        <v>136</v>
      </c>
      <c r="AW28" s="1629"/>
      <c r="AX28" s="1628">
        <v>2</v>
      </c>
      <c r="AY28" s="1629"/>
      <c r="AZ28" s="24">
        <v>40</v>
      </c>
      <c r="BA28" s="24">
        <v>39</v>
      </c>
      <c r="BB28" s="1626">
        <v>79</v>
      </c>
      <c r="BC28" s="1627"/>
      <c r="BD28" s="1628">
        <v>3</v>
      </c>
      <c r="BE28" s="1629"/>
      <c r="BF28" s="1628">
        <v>55</v>
      </c>
      <c r="BG28" s="1636"/>
      <c r="BH28" s="1629"/>
      <c r="BI28" s="1626">
        <v>51</v>
      </c>
      <c r="BJ28" s="1627"/>
      <c r="BK28" s="1626">
        <v>106</v>
      </c>
      <c r="BL28" s="1627"/>
      <c r="BM28" s="1626">
        <v>8</v>
      </c>
      <c r="BN28" s="1631"/>
      <c r="BO28" s="1631"/>
      <c r="BP28" s="1627"/>
      <c r="BQ28" s="26">
        <v>153</v>
      </c>
      <c r="BR28" s="1626">
        <v>168</v>
      </c>
      <c r="BS28" s="1627"/>
      <c r="BT28" s="1628">
        <v>321</v>
      </c>
      <c r="BU28" s="1629"/>
      <c r="BV28" s="1626">
        <v>8</v>
      </c>
      <c r="BW28" s="1631"/>
      <c r="BX28" s="1627"/>
      <c r="BY28" s="1626">
        <v>153</v>
      </c>
      <c r="BZ28" s="1627"/>
      <c r="CA28" s="1626">
        <v>168</v>
      </c>
      <c r="CB28" s="1631"/>
      <c r="CC28" s="1635"/>
      <c r="CD28" s="1632">
        <v>321</v>
      </c>
      <c r="CE28" s="1633"/>
      <c r="CF28" s="1633"/>
      <c r="CG28" s="1634"/>
      <c r="CH28" s="282">
        <f>CD28*150</f>
        <v>48150</v>
      </c>
      <c r="CI28" s="287">
        <f t="shared" si="1"/>
        <v>90000</v>
      </c>
    </row>
    <row r="29" spans="1:87" ht="20.25" customHeight="1">
      <c r="A29" s="286">
        <v>22</v>
      </c>
      <c r="B29" s="1599" t="s">
        <v>105</v>
      </c>
      <c r="C29" s="1600"/>
      <c r="D29" s="1594" t="s">
        <v>15</v>
      </c>
      <c r="E29" s="1598"/>
      <c r="F29" s="1598"/>
      <c r="G29" s="1595"/>
      <c r="H29" s="24">
        <v>6</v>
      </c>
      <c r="I29" s="1626">
        <v>0</v>
      </c>
      <c r="J29" s="1627"/>
      <c r="K29" s="1626">
        <v>0</v>
      </c>
      <c r="L29" s="1627"/>
      <c r="M29" s="1637">
        <v>0</v>
      </c>
      <c r="N29" s="1638"/>
      <c r="O29" s="1626">
        <v>0</v>
      </c>
      <c r="P29" s="1627"/>
      <c r="Q29" s="25">
        <v>0</v>
      </c>
      <c r="R29" s="1626">
        <v>0</v>
      </c>
      <c r="S29" s="1631"/>
      <c r="T29" s="1627"/>
      <c r="U29" s="1637">
        <v>0</v>
      </c>
      <c r="V29" s="1638"/>
      <c r="W29" s="1626">
        <v>0</v>
      </c>
      <c r="X29" s="1627"/>
      <c r="Y29" s="1628">
        <v>0</v>
      </c>
      <c r="Z29" s="1629"/>
      <c r="AA29" s="1628">
        <v>0</v>
      </c>
      <c r="AB29" s="1629"/>
      <c r="AC29" s="1628">
        <v>0</v>
      </c>
      <c r="AD29" s="1629"/>
      <c r="AE29" s="1628">
        <v>0</v>
      </c>
      <c r="AF29" s="1629"/>
      <c r="AG29" s="1626">
        <v>0</v>
      </c>
      <c r="AH29" s="1627"/>
      <c r="AI29" s="1628">
        <v>0</v>
      </c>
      <c r="AJ29" s="1629"/>
      <c r="AK29" s="1626">
        <v>0</v>
      </c>
      <c r="AL29" s="1627"/>
      <c r="AM29" s="1637">
        <v>0</v>
      </c>
      <c r="AN29" s="1638"/>
      <c r="AO29" s="1626">
        <v>6</v>
      </c>
      <c r="AP29" s="1631"/>
      <c r="AQ29" s="1627"/>
      <c r="AR29" s="1626">
        <v>155</v>
      </c>
      <c r="AS29" s="1627"/>
      <c r="AT29" s="1626">
        <v>112</v>
      </c>
      <c r="AU29" s="1627"/>
      <c r="AV29" s="1628">
        <v>267</v>
      </c>
      <c r="AW29" s="1629"/>
      <c r="AX29" s="1628">
        <v>3</v>
      </c>
      <c r="AY29" s="1629"/>
      <c r="AZ29" s="24">
        <v>126</v>
      </c>
      <c r="BA29" s="24">
        <v>73</v>
      </c>
      <c r="BB29" s="1626">
        <v>199</v>
      </c>
      <c r="BC29" s="1627"/>
      <c r="BD29" s="1628">
        <v>3</v>
      </c>
      <c r="BE29" s="1629"/>
      <c r="BF29" s="1628">
        <v>76</v>
      </c>
      <c r="BG29" s="1636"/>
      <c r="BH29" s="1629"/>
      <c r="BI29" s="1626">
        <v>55</v>
      </c>
      <c r="BJ29" s="1627"/>
      <c r="BK29" s="1626">
        <v>131</v>
      </c>
      <c r="BL29" s="1627"/>
      <c r="BM29" s="1626">
        <v>12</v>
      </c>
      <c r="BN29" s="1631"/>
      <c r="BO29" s="1631"/>
      <c r="BP29" s="1627"/>
      <c r="BQ29" s="26">
        <v>357</v>
      </c>
      <c r="BR29" s="1626">
        <v>240</v>
      </c>
      <c r="BS29" s="1627"/>
      <c r="BT29" s="1628">
        <v>597</v>
      </c>
      <c r="BU29" s="1629"/>
      <c r="BV29" s="1626">
        <v>12</v>
      </c>
      <c r="BW29" s="1631"/>
      <c r="BX29" s="1627"/>
      <c r="BY29" s="1626">
        <v>357</v>
      </c>
      <c r="BZ29" s="1627"/>
      <c r="CA29" s="1626">
        <v>240</v>
      </c>
      <c r="CB29" s="1631"/>
      <c r="CC29" s="1635"/>
      <c r="CD29" s="1632">
        <v>597</v>
      </c>
      <c r="CE29" s="1633"/>
      <c r="CF29" s="1633"/>
      <c r="CG29" s="1634"/>
      <c r="CH29" s="282">
        <f t="shared" ref="CH29:CH43" si="2">CD29*150</f>
        <v>89550</v>
      </c>
      <c r="CI29" s="287">
        <f t="shared" si="1"/>
        <v>90000</v>
      </c>
    </row>
    <row r="30" spans="1:87" ht="20.25" customHeight="1">
      <c r="A30" s="286">
        <v>23</v>
      </c>
      <c r="B30" s="1599" t="s">
        <v>106</v>
      </c>
      <c r="C30" s="1600"/>
      <c r="D30" s="1594" t="s">
        <v>104</v>
      </c>
      <c r="E30" s="1598"/>
      <c r="F30" s="1598"/>
      <c r="G30" s="1595"/>
      <c r="H30" s="24">
        <v>0</v>
      </c>
      <c r="I30" s="1626">
        <v>0</v>
      </c>
      <c r="J30" s="1627"/>
      <c r="K30" s="1626">
        <v>0</v>
      </c>
      <c r="L30" s="1627"/>
      <c r="M30" s="1637">
        <v>0</v>
      </c>
      <c r="N30" s="1638"/>
      <c r="O30" s="1626">
        <v>0</v>
      </c>
      <c r="P30" s="1627"/>
      <c r="Q30" s="25">
        <v>0</v>
      </c>
      <c r="R30" s="1626">
        <v>0</v>
      </c>
      <c r="S30" s="1631"/>
      <c r="T30" s="1627"/>
      <c r="U30" s="1637">
        <v>0</v>
      </c>
      <c r="V30" s="1638"/>
      <c r="W30" s="1626">
        <v>0</v>
      </c>
      <c r="X30" s="1627"/>
      <c r="Y30" s="1628">
        <v>0</v>
      </c>
      <c r="Z30" s="1629"/>
      <c r="AA30" s="1628">
        <v>0</v>
      </c>
      <c r="AB30" s="1629"/>
      <c r="AC30" s="1628">
        <v>0</v>
      </c>
      <c r="AD30" s="1629"/>
      <c r="AE30" s="1628">
        <v>0</v>
      </c>
      <c r="AF30" s="1629"/>
      <c r="AG30" s="1626">
        <v>0</v>
      </c>
      <c r="AH30" s="1627"/>
      <c r="AI30" s="1628">
        <v>0</v>
      </c>
      <c r="AJ30" s="1629"/>
      <c r="AK30" s="1626">
        <v>0</v>
      </c>
      <c r="AL30" s="1627"/>
      <c r="AM30" s="1637">
        <v>0</v>
      </c>
      <c r="AN30" s="1638"/>
      <c r="AO30" s="1626">
        <v>3</v>
      </c>
      <c r="AP30" s="1631"/>
      <c r="AQ30" s="1627"/>
      <c r="AR30" s="1626">
        <v>51</v>
      </c>
      <c r="AS30" s="1627"/>
      <c r="AT30" s="1626">
        <v>52</v>
      </c>
      <c r="AU30" s="1627"/>
      <c r="AV30" s="1628">
        <v>103</v>
      </c>
      <c r="AW30" s="1629"/>
      <c r="AX30" s="1628">
        <v>3</v>
      </c>
      <c r="AY30" s="1629"/>
      <c r="AZ30" s="24">
        <v>76</v>
      </c>
      <c r="BA30" s="24">
        <v>59</v>
      </c>
      <c r="BB30" s="1626">
        <v>135</v>
      </c>
      <c r="BC30" s="1627"/>
      <c r="BD30" s="1628">
        <v>3</v>
      </c>
      <c r="BE30" s="1629"/>
      <c r="BF30" s="1628">
        <v>48</v>
      </c>
      <c r="BG30" s="1636"/>
      <c r="BH30" s="1629"/>
      <c r="BI30" s="1626">
        <v>46</v>
      </c>
      <c r="BJ30" s="1627"/>
      <c r="BK30" s="1626">
        <v>94</v>
      </c>
      <c r="BL30" s="1627"/>
      <c r="BM30" s="1626">
        <v>9</v>
      </c>
      <c r="BN30" s="1631"/>
      <c r="BO30" s="1631"/>
      <c r="BP30" s="1627"/>
      <c r="BQ30" s="26">
        <v>175</v>
      </c>
      <c r="BR30" s="1626">
        <v>157</v>
      </c>
      <c r="BS30" s="1627"/>
      <c r="BT30" s="1628">
        <v>332</v>
      </c>
      <c r="BU30" s="1629"/>
      <c r="BV30" s="1626">
        <v>9</v>
      </c>
      <c r="BW30" s="1631"/>
      <c r="BX30" s="1627"/>
      <c r="BY30" s="1626">
        <v>175</v>
      </c>
      <c r="BZ30" s="1627"/>
      <c r="CA30" s="1626">
        <v>157</v>
      </c>
      <c r="CB30" s="1631"/>
      <c r="CC30" s="1635"/>
      <c r="CD30" s="1632">
        <v>332</v>
      </c>
      <c r="CE30" s="1633"/>
      <c r="CF30" s="1633"/>
      <c r="CG30" s="1634"/>
      <c r="CH30" s="282">
        <f t="shared" si="2"/>
        <v>49800</v>
      </c>
      <c r="CI30" s="287">
        <f t="shared" si="1"/>
        <v>90000</v>
      </c>
    </row>
    <row r="31" spans="1:87" ht="20.25" customHeight="1">
      <c r="A31" s="286">
        <v>24</v>
      </c>
      <c r="B31" s="1599" t="s">
        <v>107</v>
      </c>
      <c r="C31" s="1600"/>
      <c r="D31" s="1594" t="s">
        <v>15</v>
      </c>
      <c r="E31" s="1598"/>
      <c r="F31" s="1598"/>
      <c r="G31" s="1595"/>
      <c r="H31" s="24">
        <v>9</v>
      </c>
      <c r="I31" s="1626">
        <v>0</v>
      </c>
      <c r="J31" s="1627"/>
      <c r="K31" s="1628">
        <v>0</v>
      </c>
      <c r="L31" s="1629"/>
      <c r="M31" s="1639">
        <v>0</v>
      </c>
      <c r="N31" s="1640"/>
      <c r="O31" s="1641">
        <v>0</v>
      </c>
      <c r="P31" s="1642"/>
      <c r="Q31" s="24">
        <v>0</v>
      </c>
      <c r="R31" s="1626">
        <v>0</v>
      </c>
      <c r="S31" s="1631"/>
      <c r="T31" s="1627"/>
      <c r="U31" s="1626">
        <v>0</v>
      </c>
      <c r="V31" s="1627"/>
      <c r="W31" s="1626">
        <v>0</v>
      </c>
      <c r="X31" s="1627"/>
      <c r="Y31" s="1626">
        <v>0</v>
      </c>
      <c r="Z31" s="1627"/>
      <c r="AA31" s="1628">
        <v>0</v>
      </c>
      <c r="AB31" s="1629"/>
      <c r="AC31" s="1628">
        <v>0</v>
      </c>
      <c r="AD31" s="1629"/>
      <c r="AE31" s="1628">
        <v>0</v>
      </c>
      <c r="AF31" s="1629"/>
      <c r="AG31" s="1628">
        <v>0</v>
      </c>
      <c r="AH31" s="1629"/>
      <c r="AI31" s="1628">
        <v>0</v>
      </c>
      <c r="AJ31" s="1629"/>
      <c r="AK31" s="1639">
        <v>0</v>
      </c>
      <c r="AL31" s="1640"/>
      <c r="AM31" s="1639">
        <v>0</v>
      </c>
      <c r="AN31" s="1640"/>
      <c r="AO31" s="1626">
        <v>1</v>
      </c>
      <c r="AP31" s="1631"/>
      <c r="AQ31" s="1627"/>
      <c r="AR31" s="1626">
        <v>34</v>
      </c>
      <c r="AS31" s="1627"/>
      <c r="AT31" s="1626">
        <v>36</v>
      </c>
      <c r="AU31" s="1627"/>
      <c r="AV31" s="1628">
        <v>70</v>
      </c>
      <c r="AW31" s="1629"/>
      <c r="AX31" s="1628">
        <v>1</v>
      </c>
      <c r="AY31" s="1629"/>
      <c r="AZ31" s="24">
        <v>42</v>
      </c>
      <c r="BA31" s="26">
        <v>26</v>
      </c>
      <c r="BB31" s="1626">
        <v>68</v>
      </c>
      <c r="BC31" s="1627"/>
      <c r="BD31" s="1626">
        <v>1</v>
      </c>
      <c r="BE31" s="1627"/>
      <c r="BF31" s="1628">
        <v>16</v>
      </c>
      <c r="BG31" s="1636"/>
      <c r="BH31" s="1629"/>
      <c r="BI31" s="1628">
        <v>12</v>
      </c>
      <c r="BJ31" s="1629"/>
      <c r="BK31" s="1626">
        <v>28</v>
      </c>
      <c r="BL31" s="1627"/>
      <c r="BM31" s="1626">
        <v>3</v>
      </c>
      <c r="BN31" s="1631"/>
      <c r="BO31" s="1631"/>
      <c r="BP31" s="1627"/>
      <c r="BQ31" s="26">
        <v>92</v>
      </c>
      <c r="BR31" s="1628">
        <v>74</v>
      </c>
      <c r="BS31" s="1629"/>
      <c r="BT31" s="1628">
        <v>166</v>
      </c>
      <c r="BU31" s="1629"/>
      <c r="BV31" s="1628">
        <v>3</v>
      </c>
      <c r="BW31" s="1636"/>
      <c r="BX31" s="1629"/>
      <c r="BY31" s="1626">
        <v>92</v>
      </c>
      <c r="BZ31" s="1627"/>
      <c r="CA31" s="1626">
        <v>74</v>
      </c>
      <c r="CB31" s="1631"/>
      <c r="CC31" s="1635"/>
      <c r="CD31" s="1632">
        <v>166</v>
      </c>
      <c r="CE31" s="1633"/>
      <c r="CF31" s="1633"/>
      <c r="CG31" s="1634"/>
      <c r="CH31" s="282">
        <f t="shared" si="2"/>
        <v>24900</v>
      </c>
      <c r="CI31" s="287">
        <f t="shared" si="1"/>
        <v>90000</v>
      </c>
    </row>
    <row r="32" spans="1:87" ht="20.25" customHeight="1">
      <c r="A32" s="286">
        <v>25</v>
      </c>
      <c r="B32" s="1599" t="s">
        <v>108</v>
      </c>
      <c r="C32" s="1600"/>
      <c r="D32" s="1594" t="s">
        <v>15</v>
      </c>
      <c r="E32" s="1598"/>
      <c r="F32" s="1598"/>
      <c r="G32" s="1595"/>
      <c r="H32" s="24">
        <v>5</v>
      </c>
      <c r="I32" s="1626">
        <v>0</v>
      </c>
      <c r="J32" s="1627"/>
      <c r="K32" s="1628">
        <v>0</v>
      </c>
      <c r="L32" s="1629"/>
      <c r="M32" s="1639">
        <v>0</v>
      </c>
      <c r="N32" s="1640"/>
      <c r="O32" s="1641">
        <v>0</v>
      </c>
      <c r="P32" s="1642"/>
      <c r="Q32" s="24">
        <v>0</v>
      </c>
      <c r="R32" s="1626">
        <v>0</v>
      </c>
      <c r="S32" s="1631"/>
      <c r="T32" s="1627"/>
      <c r="U32" s="1626">
        <v>0</v>
      </c>
      <c r="V32" s="1627"/>
      <c r="W32" s="1626">
        <v>0</v>
      </c>
      <c r="X32" s="1627"/>
      <c r="Y32" s="1626">
        <v>0</v>
      </c>
      <c r="Z32" s="1627"/>
      <c r="AA32" s="1628">
        <v>0</v>
      </c>
      <c r="AB32" s="1629"/>
      <c r="AC32" s="1628">
        <v>0</v>
      </c>
      <c r="AD32" s="1629"/>
      <c r="AE32" s="1628">
        <v>0</v>
      </c>
      <c r="AF32" s="1629"/>
      <c r="AG32" s="1628">
        <v>0</v>
      </c>
      <c r="AH32" s="1629"/>
      <c r="AI32" s="1628">
        <v>0</v>
      </c>
      <c r="AJ32" s="1629"/>
      <c r="AK32" s="1639">
        <v>0</v>
      </c>
      <c r="AL32" s="1640"/>
      <c r="AM32" s="1639">
        <v>0</v>
      </c>
      <c r="AN32" s="1640"/>
      <c r="AO32" s="1626">
        <v>3</v>
      </c>
      <c r="AP32" s="1631"/>
      <c r="AQ32" s="1627"/>
      <c r="AR32" s="1626">
        <v>72</v>
      </c>
      <c r="AS32" s="1627"/>
      <c r="AT32" s="1626">
        <v>94</v>
      </c>
      <c r="AU32" s="1627"/>
      <c r="AV32" s="1628">
        <v>166</v>
      </c>
      <c r="AW32" s="1629"/>
      <c r="AX32" s="1628">
        <v>3</v>
      </c>
      <c r="AY32" s="1629"/>
      <c r="AZ32" s="24">
        <v>84</v>
      </c>
      <c r="BA32" s="26">
        <v>74</v>
      </c>
      <c r="BB32" s="1626">
        <v>158</v>
      </c>
      <c r="BC32" s="1627"/>
      <c r="BD32" s="1626">
        <v>3</v>
      </c>
      <c r="BE32" s="1627"/>
      <c r="BF32" s="1628">
        <v>44</v>
      </c>
      <c r="BG32" s="1636"/>
      <c r="BH32" s="1629"/>
      <c r="BI32" s="1628">
        <v>48</v>
      </c>
      <c r="BJ32" s="1629"/>
      <c r="BK32" s="1626">
        <v>92</v>
      </c>
      <c r="BL32" s="1627"/>
      <c r="BM32" s="1626">
        <v>9</v>
      </c>
      <c r="BN32" s="1631"/>
      <c r="BO32" s="1631"/>
      <c r="BP32" s="1627"/>
      <c r="BQ32" s="26">
        <v>200</v>
      </c>
      <c r="BR32" s="1628">
        <v>216</v>
      </c>
      <c r="BS32" s="1629"/>
      <c r="BT32" s="1628">
        <v>416</v>
      </c>
      <c r="BU32" s="1629"/>
      <c r="BV32" s="1628">
        <v>9</v>
      </c>
      <c r="BW32" s="1636"/>
      <c r="BX32" s="1629"/>
      <c r="BY32" s="1626">
        <v>200</v>
      </c>
      <c r="BZ32" s="1627"/>
      <c r="CA32" s="1626">
        <v>216</v>
      </c>
      <c r="CB32" s="1631"/>
      <c r="CC32" s="1635"/>
      <c r="CD32" s="1632">
        <v>416</v>
      </c>
      <c r="CE32" s="1633"/>
      <c r="CF32" s="1633"/>
      <c r="CG32" s="1634"/>
      <c r="CH32" s="282">
        <f t="shared" si="2"/>
        <v>62400</v>
      </c>
      <c r="CI32" s="287">
        <f t="shared" si="1"/>
        <v>90000</v>
      </c>
    </row>
    <row r="33" spans="1:95" ht="20.25" customHeight="1">
      <c r="A33" s="286">
        <v>26</v>
      </c>
      <c r="B33" s="1599" t="s">
        <v>109</v>
      </c>
      <c r="C33" s="1600"/>
      <c r="D33" s="1594" t="s">
        <v>81</v>
      </c>
      <c r="E33" s="1598"/>
      <c r="F33" s="1598"/>
      <c r="G33" s="1595"/>
      <c r="H33" s="24">
        <v>9</v>
      </c>
      <c r="I33" s="1626">
        <v>0</v>
      </c>
      <c r="J33" s="1627"/>
      <c r="K33" s="1628">
        <v>0</v>
      </c>
      <c r="L33" s="1629"/>
      <c r="M33" s="1639">
        <v>0</v>
      </c>
      <c r="N33" s="1640"/>
      <c r="O33" s="1641">
        <v>0</v>
      </c>
      <c r="P33" s="1642"/>
      <c r="Q33" s="24">
        <v>0</v>
      </c>
      <c r="R33" s="1626">
        <v>0</v>
      </c>
      <c r="S33" s="1631"/>
      <c r="T33" s="1627"/>
      <c r="U33" s="1626">
        <v>0</v>
      </c>
      <c r="V33" s="1627"/>
      <c r="W33" s="1626">
        <v>0</v>
      </c>
      <c r="X33" s="1627"/>
      <c r="Y33" s="1626">
        <v>0</v>
      </c>
      <c r="Z33" s="1627"/>
      <c r="AA33" s="1628">
        <v>0</v>
      </c>
      <c r="AB33" s="1629"/>
      <c r="AC33" s="1628">
        <v>0</v>
      </c>
      <c r="AD33" s="1629"/>
      <c r="AE33" s="1628">
        <v>0</v>
      </c>
      <c r="AF33" s="1629"/>
      <c r="AG33" s="1628">
        <v>0</v>
      </c>
      <c r="AH33" s="1629"/>
      <c r="AI33" s="1628">
        <v>0</v>
      </c>
      <c r="AJ33" s="1629"/>
      <c r="AK33" s="1639">
        <v>0</v>
      </c>
      <c r="AL33" s="1640"/>
      <c r="AM33" s="1639">
        <v>0</v>
      </c>
      <c r="AN33" s="1640"/>
      <c r="AO33" s="1626">
        <v>2</v>
      </c>
      <c r="AP33" s="1631"/>
      <c r="AQ33" s="1627"/>
      <c r="AR33" s="1626">
        <v>43</v>
      </c>
      <c r="AS33" s="1627"/>
      <c r="AT33" s="1626">
        <v>49</v>
      </c>
      <c r="AU33" s="1627"/>
      <c r="AV33" s="1628">
        <v>92</v>
      </c>
      <c r="AW33" s="1629"/>
      <c r="AX33" s="1628">
        <v>2</v>
      </c>
      <c r="AY33" s="1629"/>
      <c r="AZ33" s="24">
        <v>42</v>
      </c>
      <c r="BA33" s="26">
        <v>25</v>
      </c>
      <c r="BB33" s="1626">
        <v>67</v>
      </c>
      <c r="BC33" s="1627"/>
      <c r="BD33" s="1626">
        <v>2</v>
      </c>
      <c r="BE33" s="1627"/>
      <c r="BF33" s="1628">
        <v>22</v>
      </c>
      <c r="BG33" s="1636"/>
      <c r="BH33" s="1629"/>
      <c r="BI33" s="1628">
        <v>30</v>
      </c>
      <c r="BJ33" s="1629"/>
      <c r="BK33" s="1626">
        <v>52</v>
      </c>
      <c r="BL33" s="1627"/>
      <c r="BM33" s="1626">
        <v>6</v>
      </c>
      <c r="BN33" s="1631"/>
      <c r="BO33" s="1631"/>
      <c r="BP33" s="1627"/>
      <c r="BQ33" s="26">
        <v>107</v>
      </c>
      <c r="BR33" s="1628">
        <v>104</v>
      </c>
      <c r="BS33" s="1629"/>
      <c r="BT33" s="1628">
        <v>211</v>
      </c>
      <c r="BU33" s="1629"/>
      <c r="BV33" s="1628">
        <v>6</v>
      </c>
      <c r="BW33" s="1636"/>
      <c r="BX33" s="1629"/>
      <c r="BY33" s="1626">
        <v>107</v>
      </c>
      <c r="BZ33" s="1627"/>
      <c r="CA33" s="1626">
        <v>104</v>
      </c>
      <c r="CB33" s="1631"/>
      <c r="CC33" s="1635"/>
      <c r="CD33" s="1632">
        <v>211</v>
      </c>
      <c r="CE33" s="1633"/>
      <c r="CF33" s="1633"/>
      <c r="CG33" s="1634"/>
      <c r="CH33" s="282">
        <f t="shared" si="2"/>
        <v>31650</v>
      </c>
      <c r="CI33" s="287">
        <f t="shared" si="1"/>
        <v>90000</v>
      </c>
    </row>
    <row r="34" spans="1:95" ht="20.25" customHeight="1">
      <c r="A34" s="286">
        <v>27</v>
      </c>
      <c r="B34" s="1599" t="s">
        <v>110</v>
      </c>
      <c r="C34" s="1600"/>
      <c r="D34" s="1599" t="s">
        <v>88</v>
      </c>
      <c r="E34" s="1630"/>
      <c r="F34" s="1630"/>
      <c r="G34" s="1600"/>
      <c r="H34" s="24">
        <v>5</v>
      </c>
      <c r="I34" s="1626">
        <v>0</v>
      </c>
      <c r="J34" s="1627"/>
      <c r="K34" s="1628">
        <v>0</v>
      </c>
      <c r="L34" s="1629"/>
      <c r="M34" s="1639">
        <v>0</v>
      </c>
      <c r="N34" s="1640"/>
      <c r="O34" s="1641">
        <v>0</v>
      </c>
      <c r="P34" s="1642"/>
      <c r="Q34" s="24">
        <v>0</v>
      </c>
      <c r="R34" s="1626">
        <v>0</v>
      </c>
      <c r="S34" s="1631"/>
      <c r="T34" s="1627"/>
      <c r="U34" s="1626">
        <v>0</v>
      </c>
      <c r="V34" s="1627"/>
      <c r="W34" s="1626">
        <v>0</v>
      </c>
      <c r="X34" s="1627"/>
      <c r="Y34" s="1626">
        <v>0</v>
      </c>
      <c r="Z34" s="1627"/>
      <c r="AA34" s="1628">
        <v>0</v>
      </c>
      <c r="AB34" s="1629"/>
      <c r="AC34" s="1628">
        <v>0</v>
      </c>
      <c r="AD34" s="1629"/>
      <c r="AE34" s="1628">
        <v>0</v>
      </c>
      <c r="AF34" s="1629"/>
      <c r="AG34" s="1628">
        <v>0</v>
      </c>
      <c r="AH34" s="1629"/>
      <c r="AI34" s="1628">
        <v>0</v>
      </c>
      <c r="AJ34" s="1629"/>
      <c r="AK34" s="1639">
        <v>0</v>
      </c>
      <c r="AL34" s="1640"/>
      <c r="AM34" s="1639">
        <v>0</v>
      </c>
      <c r="AN34" s="1640"/>
      <c r="AO34" s="1626">
        <v>3</v>
      </c>
      <c r="AP34" s="1631"/>
      <c r="AQ34" s="1627"/>
      <c r="AR34" s="1626">
        <v>79</v>
      </c>
      <c r="AS34" s="1627"/>
      <c r="AT34" s="1626">
        <v>73</v>
      </c>
      <c r="AU34" s="1627"/>
      <c r="AV34" s="1628">
        <v>152</v>
      </c>
      <c r="AW34" s="1629"/>
      <c r="AX34" s="1628">
        <v>3</v>
      </c>
      <c r="AY34" s="1629"/>
      <c r="AZ34" s="24">
        <v>76</v>
      </c>
      <c r="BA34" s="26">
        <v>68</v>
      </c>
      <c r="BB34" s="1626">
        <v>144</v>
      </c>
      <c r="BC34" s="1627"/>
      <c r="BD34" s="1626">
        <v>2</v>
      </c>
      <c r="BE34" s="1627"/>
      <c r="BF34" s="1628">
        <v>45</v>
      </c>
      <c r="BG34" s="1636"/>
      <c r="BH34" s="1629"/>
      <c r="BI34" s="1628">
        <v>42</v>
      </c>
      <c r="BJ34" s="1629"/>
      <c r="BK34" s="1626">
        <v>87</v>
      </c>
      <c r="BL34" s="1627"/>
      <c r="BM34" s="1626">
        <v>8</v>
      </c>
      <c r="BN34" s="1631"/>
      <c r="BO34" s="1631"/>
      <c r="BP34" s="1627"/>
      <c r="BQ34" s="26">
        <v>200</v>
      </c>
      <c r="BR34" s="1628">
        <v>183</v>
      </c>
      <c r="BS34" s="1629"/>
      <c r="BT34" s="1628">
        <v>383</v>
      </c>
      <c r="BU34" s="1629"/>
      <c r="BV34" s="1628">
        <v>8</v>
      </c>
      <c r="BW34" s="1636"/>
      <c r="BX34" s="1629"/>
      <c r="BY34" s="1626">
        <v>200</v>
      </c>
      <c r="BZ34" s="1627"/>
      <c r="CA34" s="1626">
        <v>183</v>
      </c>
      <c r="CB34" s="1631"/>
      <c r="CC34" s="1635"/>
      <c r="CD34" s="1632">
        <v>383</v>
      </c>
      <c r="CE34" s="1633"/>
      <c r="CF34" s="1633"/>
      <c r="CG34" s="1634"/>
      <c r="CH34" s="282">
        <f t="shared" si="2"/>
        <v>57450</v>
      </c>
      <c r="CI34" s="287">
        <f t="shared" si="1"/>
        <v>90000</v>
      </c>
    </row>
    <row r="35" spans="1:95" ht="20.25" customHeight="1">
      <c r="A35" s="286">
        <v>28</v>
      </c>
      <c r="B35" s="1599" t="s">
        <v>111</v>
      </c>
      <c r="C35" s="1600"/>
      <c r="D35" s="1599" t="s">
        <v>92</v>
      </c>
      <c r="E35" s="1630"/>
      <c r="F35" s="1630"/>
      <c r="G35" s="1600"/>
      <c r="H35" s="24">
        <v>2</v>
      </c>
      <c r="I35" s="1626">
        <v>0</v>
      </c>
      <c r="J35" s="1627"/>
      <c r="K35" s="1628">
        <v>0</v>
      </c>
      <c r="L35" s="1629"/>
      <c r="M35" s="1639">
        <v>0</v>
      </c>
      <c r="N35" s="1640"/>
      <c r="O35" s="1641">
        <v>0</v>
      </c>
      <c r="P35" s="1642"/>
      <c r="Q35" s="24">
        <v>0</v>
      </c>
      <c r="R35" s="1626">
        <v>0</v>
      </c>
      <c r="S35" s="1631"/>
      <c r="T35" s="1627"/>
      <c r="U35" s="1626">
        <v>0</v>
      </c>
      <c r="V35" s="1627"/>
      <c r="W35" s="1626">
        <v>0</v>
      </c>
      <c r="X35" s="1627"/>
      <c r="Y35" s="1626">
        <v>0</v>
      </c>
      <c r="Z35" s="1627"/>
      <c r="AA35" s="1628">
        <v>0</v>
      </c>
      <c r="AB35" s="1629"/>
      <c r="AC35" s="1628">
        <v>0</v>
      </c>
      <c r="AD35" s="1629"/>
      <c r="AE35" s="1628">
        <v>0</v>
      </c>
      <c r="AF35" s="1629"/>
      <c r="AG35" s="1628">
        <v>0</v>
      </c>
      <c r="AH35" s="1629"/>
      <c r="AI35" s="1628">
        <v>0</v>
      </c>
      <c r="AJ35" s="1629"/>
      <c r="AK35" s="1639">
        <v>0</v>
      </c>
      <c r="AL35" s="1640"/>
      <c r="AM35" s="1639">
        <v>0</v>
      </c>
      <c r="AN35" s="1640"/>
      <c r="AO35" s="1626">
        <v>3</v>
      </c>
      <c r="AP35" s="1631"/>
      <c r="AQ35" s="1627"/>
      <c r="AR35" s="1626">
        <v>76</v>
      </c>
      <c r="AS35" s="1627"/>
      <c r="AT35" s="1626">
        <v>52</v>
      </c>
      <c r="AU35" s="1627"/>
      <c r="AV35" s="1628">
        <v>128</v>
      </c>
      <c r="AW35" s="1629"/>
      <c r="AX35" s="1628">
        <v>3</v>
      </c>
      <c r="AY35" s="1629"/>
      <c r="AZ35" s="24">
        <v>47</v>
      </c>
      <c r="BA35" s="26">
        <v>48</v>
      </c>
      <c r="BB35" s="1626">
        <v>95</v>
      </c>
      <c r="BC35" s="1627"/>
      <c r="BD35" s="1626">
        <v>3</v>
      </c>
      <c r="BE35" s="1627"/>
      <c r="BF35" s="1628">
        <v>44</v>
      </c>
      <c r="BG35" s="1636"/>
      <c r="BH35" s="1629"/>
      <c r="BI35" s="1628">
        <v>32</v>
      </c>
      <c r="BJ35" s="1629"/>
      <c r="BK35" s="1626">
        <v>76</v>
      </c>
      <c r="BL35" s="1627"/>
      <c r="BM35" s="1626">
        <v>9</v>
      </c>
      <c r="BN35" s="1631"/>
      <c r="BO35" s="1631"/>
      <c r="BP35" s="1627"/>
      <c r="BQ35" s="26">
        <v>167</v>
      </c>
      <c r="BR35" s="1628">
        <v>132</v>
      </c>
      <c r="BS35" s="1629"/>
      <c r="BT35" s="1628">
        <v>299</v>
      </c>
      <c r="BU35" s="1629"/>
      <c r="BV35" s="1628">
        <v>9</v>
      </c>
      <c r="BW35" s="1636"/>
      <c r="BX35" s="1629"/>
      <c r="BY35" s="1626">
        <v>167</v>
      </c>
      <c r="BZ35" s="1627"/>
      <c r="CA35" s="1626">
        <v>132</v>
      </c>
      <c r="CB35" s="1631"/>
      <c r="CC35" s="1635"/>
      <c r="CD35" s="1632">
        <v>299</v>
      </c>
      <c r="CE35" s="1633"/>
      <c r="CF35" s="1633"/>
      <c r="CG35" s="1634"/>
      <c r="CH35" s="282">
        <f t="shared" si="2"/>
        <v>44850</v>
      </c>
      <c r="CI35" s="287">
        <f t="shared" si="1"/>
        <v>90000</v>
      </c>
    </row>
    <row r="36" spans="1:95" ht="20.25" customHeight="1">
      <c r="A36" s="286">
        <v>29</v>
      </c>
      <c r="B36" s="1599" t="s">
        <v>112</v>
      </c>
      <c r="C36" s="1600"/>
      <c r="D36" s="1599" t="s">
        <v>92</v>
      </c>
      <c r="E36" s="1630"/>
      <c r="F36" s="1630"/>
      <c r="G36" s="1600"/>
      <c r="H36" s="24">
        <v>1</v>
      </c>
      <c r="I36" s="1626">
        <v>0</v>
      </c>
      <c r="J36" s="1627"/>
      <c r="K36" s="1628">
        <v>0</v>
      </c>
      <c r="L36" s="1629"/>
      <c r="M36" s="1639">
        <v>0</v>
      </c>
      <c r="N36" s="1640"/>
      <c r="O36" s="1641">
        <v>0</v>
      </c>
      <c r="P36" s="1642"/>
      <c r="Q36" s="24">
        <v>0</v>
      </c>
      <c r="R36" s="1626">
        <v>0</v>
      </c>
      <c r="S36" s="1631"/>
      <c r="T36" s="1627"/>
      <c r="U36" s="1626">
        <v>0</v>
      </c>
      <c r="V36" s="1627"/>
      <c r="W36" s="1626">
        <v>0</v>
      </c>
      <c r="X36" s="1627"/>
      <c r="Y36" s="1626">
        <v>0</v>
      </c>
      <c r="Z36" s="1627"/>
      <c r="AA36" s="1628">
        <v>0</v>
      </c>
      <c r="AB36" s="1629"/>
      <c r="AC36" s="1628">
        <v>0</v>
      </c>
      <c r="AD36" s="1629"/>
      <c r="AE36" s="1628">
        <v>0</v>
      </c>
      <c r="AF36" s="1629"/>
      <c r="AG36" s="1628">
        <v>0</v>
      </c>
      <c r="AH36" s="1629"/>
      <c r="AI36" s="1628">
        <v>0</v>
      </c>
      <c r="AJ36" s="1629"/>
      <c r="AK36" s="1639">
        <v>0</v>
      </c>
      <c r="AL36" s="1640"/>
      <c r="AM36" s="1639">
        <v>0</v>
      </c>
      <c r="AN36" s="1640"/>
      <c r="AO36" s="1626">
        <v>3</v>
      </c>
      <c r="AP36" s="1631"/>
      <c r="AQ36" s="1627"/>
      <c r="AR36" s="1626">
        <v>37</v>
      </c>
      <c r="AS36" s="1627"/>
      <c r="AT36" s="1626">
        <v>39</v>
      </c>
      <c r="AU36" s="1627"/>
      <c r="AV36" s="1628">
        <v>76</v>
      </c>
      <c r="AW36" s="1629"/>
      <c r="AX36" s="1628">
        <v>3</v>
      </c>
      <c r="AY36" s="1629"/>
      <c r="AZ36" s="24">
        <v>57</v>
      </c>
      <c r="BA36" s="26">
        <v>44</v>
      </c>
      <c r="BB36" s="1626">
        <v>101</v>
      </c>
      <c r="BC36" s="1627"/>
      <c r="BD36" s="1626">
        <v>3</v>
      </c>
      <c r="BE36" s="1627"/>
      <c r="BF36" s="1628">
        <v>37</v>
      </c>
      <c r="BG36" s="1636"/>
      <c r="BH36" s="1629"/>
      <c r="BI36" s="1628">
        <v>34</v>
      </c>
      <c r="BJ36" s="1629"/>
      <c r="BK36" s="1626">
        <v>71</v>
      </c>
      <c r="BL36" s="1627"/>
      <c r="BM36" s="1626">
        <v>9</v>
      </c>
      <c r="BN36" s="1631"/>
      <c r="BO36" s="1631"/>
      <c r="BP36" s="1627"/>
      <c r="BQ36" s="26">
        <v>131</v>
      </c>
      <c r="BR36" s="1628">
        <v>117</v>
      </c>
      <c r="BS36" s="1629"/>
      <c r="BT36" s="1628">
        <v>248</v>
      </c>
      <c r="BU36" s="1629"/>
      <c r="BV36" s="1628">
        <v>9</v>
      </c>
      <c r="BW36" s="1636"/>
      <c r="BX36" s="1629"/>
      <c r="BY36" s="1626">
        <v>131</v>
      </c>
      <c r="BZ36" s="1627"/>
      <c r="CA36" s="1626">
        <v>117</v>
      </c>
      <c r="CB36" s="1631"/>
      <c r="CC36" s="1635"/>
      <c r="CD36" s="1632">
        <v>248</v>
      </c>
      <c r="CE36" s="1633"/>
      <c r="CF36" s="1633"/>
      <c r="CG36" s="1634"/>
      <c r="CH36" s="282">
        <f t="shared" si="2"/>
        <v>37200</v>
      </c>
      <c r="CI36" s="287">
        <f t="shared" si="1"/>
        <v>90000</v>
      </c>
    </row>
    <row r="37" spans="1:95" ht="20.25" customHeight="1">
      <c r="A37" s="286">
        <v>30</v>
      </c>
      <c r="B37" s="1599" t="s">
        <v>95</v>
      </c>
      <c r="C37" s="1600"/>
      <c r="D37" s="1594" t="s">
        <v>104</v>
      </c>
      <c r="E37" s="1598"/>
      <c r="F37" s="1598"/>
      <c r="G37" s="1595"/>
      <c r="H37" s="24">
        <v>8</v>
      </c>
      <c r="I37" s="1626">
        <v>0</v>
      </c>
      <c r="J37" s="1627"/>
      <c r="K37" s="1628">
        <v>0</v>
      </c>
      <c r="L37" s="1629"/>
      <c r="M37" s="1639">
        <v>0</v>
      </c>
      <c r="N37" s="1640"/>
      <c r="O37" s="1641">
        <v>0</v>
      </c>
      <c r="P37" s="1642"/>
      <c r="Q37" s="24">
        <v>0</v>
      </c>
      <c r="R37" s="1626">
        <v>0</v>
      </c>
      <c r="S37" s="1631"/>
      <c r="T37" s="1627"/>
      <c r="U37" s="1626">
        <v>0</v>
      </c>
      <c r="V37" s="1627"/>
      <c r="W37" s="1626">
        <v>0</v>
      </c>
      <c r="X37" s="1627"/>
      <c r="Y37" s="1626">
        <v>0</v>
      </c>
      <c r="Z37" s="1627"/>
      <c r="AA37" s="1628">
        <v>0</v>
      </c>
      <c r="AB37" s="1629"/>
      <c r="AC37" s="1628">
        <v>0</v>
      </c>
      <c r="AD37" s="1629"/>
      <c r="AE37" s="1628">
        <v>0</v>
      </c>
      <c r="AF37" s="1629"/>
      <c r="AG37" s="1628">
        <v>0</v>
      </c>
      <c r="AH37" s="1629"/>
      <c r="AI37" s="1628">
        <v>0</v>
      </c>
      <c r="AJ37" s="1629"/>
      <c r="AK37" s="1639">
        <v>0</v>
      </c>
      <c r="AL37" s="1640"/>
      <c r="AM37" s="1639">
        <v>0</v>
      </c>
      <c r="AN37" s="1640"/>
      <c r="AO37" s="1626">
        <v>3</v>
      </c>
      <c r="AP37" s="1631"/>
      <c r="AQ37" s="1627"/>
      <c r="AR37" s="1626">
        <v>90</v>
      </c>
      <c r="AS37" s="1627"/>
      <c r="AT37" s="1626">
        <v>102</v>
      </c>
      <c r="AU37" s="1627"/>
      <c r="AV37" s="1628">
        <v>192</v>
      </c>
      <c r="AW37" s="1629"/>
      <c r="AX37" s="1628">
        <v>3</v>
      </c>
      <c r="AY37" s="1629"/>
      <c r="AZ37" s="24">
        <v>63</v>
      </c>
      <c r="BA37" s="26">
        <v>62</v>
      </c>
      <c r="BB37" s="1626">
        <v>125</v>
      </c>
      <c r="BC37" s="1627"/>
      <c r="BD37" s="1626">
        <v>3</v>
      </c>
      <c r="BE37" s="1627"/>
      <c r="BF37" s="1628">
        <v>70</v>
      </c>
      <c r="BG37" s="1636"/>
      <c r="BH37" s="1629"/>
      <c r="BI37" s="1628">
        <v>62</v>
      </c>
      <c r="BJ37" s="1629"/>
      <c r="BK37" s="1626">
        <v>132</v>
      </c>
      <c r="BL37" s="1627"/>
      <c r="BM37" s="1626">
        <v>9</v>
      </c>
      <c r="BN37" s="1631"/>
      <c r="BO37" s="1631"/>
      <c r="BP37" s="1627"/>
      <c r="BQ37" s="26">
        <v>223</v>
      </c>
      <c r="BR37" s="1628">
        <v>226</v>
      </c>
      <c r="BS37" s="1629"/>
      <c r="BT37" s="1628">
        <v>449</v>
      </c>
      <c r="BU37" s="1629"/>
      <c r="BV37" s="1628">
        <v>9</v>
      </c>
      <c r="BW37" s="1636"/>
      <c r="BX37" s="1629"/>
      <c r="BY37" s="1626">
        <v>223</v>
      </c>
      <c r="BZ37" s="1627"/>
      <c r="CA37" s="1626">
        <v>226</v>
      </c>
      <c r="CB37" s="1631"/>
      <c r="CC37" s="1635"/>
      <c r="CD37" s="1632">
        <v>449</v>
      </c>
      <c r="CE37" s="1633"/>
      <c r="CF37" s="1633"/>
      <c r="CG37" s="1634"/>
      <c r="CH37" s="282">
        <f t="shared" si="2"/>
        <v>67350</v>
      </c>
      <c r="CI37" s="287">
        <f t="shared" si="1"/>
        <v>90000</v>
      </c>
    </row>
    <row r="38" spans="1:95" ht="20.25" customHeight="1">
      <c r="A38" s="286">
        <v>31</v>
      </c>
      <c r="B38" s="1599" t="s">
        <v>113</v>
      </c>
      <c r="C38" s="1600"/>
      <c r="D38" s="1594" t="s">
        <v>104</v>
      </c>
      <c r="E38" s="1598"/>
      <c r="F38" s="1598"/>
      <c r="G38" s="1595"/>
      <c r="H38" s="24">
        <v>9</v>
      </c>
      <c r="I38" s="1626">
        <v>0</v>
      </c>
      <c r="J38" s="1627"/>
      <c r="K38" s="1628">
        <v>0</v>
      </c>
      <c r="L38" s="1629"/>
      <c r="M38" s="1639">
        <v>0</v>
      </c>
      <c r="N38" s="1640"/>
      <c r="O38" s="1641">
        <v>0</v>
      </c>
      <c r="P38" s="1642"/>
      <c r="Q38" s="24">
        <v>0</v>
      </c>
      <c r="R38" s="1626">
        <v>0</v>
      </c>
      <c r="S38" s="1631"/>
      <c r="T38" s="1627"/>
      <c r="U38" s="1626">
        <v>0</v>
      </c>
      <c r="V38" s="1627"/>
      <c r="W38" s="1626">
        <v>0</v>
      </c>
      <c r="X38" s="1627"/>
      <c r="Y38" s="1626">
        <v>0</v>
      </c>
      <c r="Z38" s="1627"/>
      <c r="AA38" s="1628">
        <v>0</v>
      </c>
      <c r="AB38" s="1629"/>
      <c r="AC38" s="1628">
        <v>0</v>
      </c>
      <c r="AD38" s="1629"/>
      <c r="AE38" s="1628">
        <v>0</v>
      </c>
      <c r="AF38" s="1629"/>
      <c r="AG38" s="1628">
        <v>0</v>
      </c>
      <c r="AH38" s="1629"/>
      <c r="AI38" s="1628">
        <v>0</v>
      </c>
      <c r="AJ38" s="1629"/>
      <c r="AK38" s="1639">
        <v>0</v>
      </c>
      <c r="AL38" s="1640"/>
      <c r="AM38" s="1639">
        <v>0</v>
      </c>
      <c r="AN38" s="1640"/>
      <c r="AO38" s="1626">
        <v>4</v>
      </c>
      <c r="AP38" s="1631"/>
      <c r="AQ38" s="1627"/>
      <c r="AR38" s="1626">
        <v>100</v>
      </c>
      <c r="AS38" s="1627"/>
      <c r="AT38" s="1626">
        <v>103</v>
      </c>
      <c r="AU38" s="1627"/>
      <c r="AV38" s="1628">
        <v>203</v>
      </c>
      <c r="AW38" s="1629"/>
      <c r="AX38" s="1628">
        <v>4</v>
      </c>
      <c r="AY38" s="1629"/>
      <c r="AZ38" s="24">
        <v>96</v>
      </c>
      <c r="BA38" s="26">
        <v>106</v>
      </c>
      <c r="BB38" s="1626">
        <v>202</v>
      </c>
      <c r="BC38" s="1627"/>
      <c r="BD38" s="1626">
        <v>3</v>
      </c>
      <c r="BE38" s="1627"/>
      <c r="BF38" s="1628">
        <v>45</v>
      </c>
      <c r="BG38" s="1636"/>
      <c r="BH38" s="1629"/>
      <c r="BI38" s="1628">
        <v>54</v>
      </c>
      <c r="BJ38" s="1629"/>
      <c r="BK38" s="1626">
        <v>99</v>
      </c>
      <c r="BL38" s="1627"/>
      <c r="BM38" s="1626">
        <v>11</v>
      </c>
      <c r="BN38" s="1631"/>
      <c r="BO38" s="1631"/>
      <c r="BP38" s="1627"/>
      <c r="BQ38" s="26">
        <v>241</v>
      </c>
      <c r="BR38" s="1628">
        <v>263</v>
      </c>
      <c r="BS38" s="1629"/>
      <c r="BT38" s="1628">
        <v>504</v>
      </c>
      <c r="BU38" s="1629"/>
      <c r="BV38" s="1628">
        <v>11</v>
      </c>
      <c r="BW38" s="1636"/>
      <c r="BX38" s="1629"/>
      <c r="BY38" s="1626">
        <v>241</v>
      </c>
      <c r="BZ38" s="1627"/>
      <c r="CA38" s="1626">
        <v>263</v>
      </c>
      <c r="CB38" s="1631"/>
      <c r="CC38" s="1635"/>
      <c r="CD38" s="1632">
        <v>504</v>
      </c>
      <c r="CE38" s="1633"/>
      <c r="CF38" s="1633"/>
      <c r="CG38" s="1634"/>
      <c r="CH38" s="282">
        <f t="shared" si="2"/>
        <v>75600</v>
      </c>
      <c r="CI38" s="287">
        <f t="shared" si="1"/>
        <v>90000</v>
      </c>
    </row>
    <row r="39" spans="1:95" ht="20.25" customHeight="1">
      <c r="A39" s="286">
        <v>32</v>
      </c>
      <c r="B39" s="1599" t="s">
        <v>114</v>
      </c>
      <c r="C39" s="1600"/>
      <c r="D39" s="1594" t="s">
        <v>15</v>
      </c>
      <c r="E39" s="1598"/>
      <c r="F39" s="1598"/>
      <c r="G39" s="1595"/>
      <c r="H39" s="24">
        <v>7</v>
      </c>
      <c r="I39" s="1626">
        <v>0</v>
      </c>
      <c r="J39" s="1627"/>
      <c r="K39" s="1628">
        <v>0</v>
      </c>
      <c r="L39" s="1629"/>
      <c r="M39" s="1639">
        <v>0</v>
      </c>
      <c r="N39" s="1640"/>
      <c r="O39" s="1641">
        <v>0</v>
      </c>
      <c r="P39" s="1642"/>
      <c r="Q39" s="24">
        <v>0</v>
      </c>
      <c r="R39" s="1626">
        <v>0</v>
      </c>
      <c r="S39" s="1631"/>
      <c r="T39" s="1627"/>
      <c r="U39" s="1626">
        <v>0</v>
      </c>
      <c r="V39" s="1627"/>
      <c r="W39" s="1626">
        <v>0</v>
      </c>
      <c r="X39" s="1627"/>
      <c r="Y39" s="1626">
        <v>0</v>
      </c>
      <c r="Z39" s="1627"/>
      <c r="AA39" s="1628">
        <v>0</v>
      </c>
      <c r="AB39" s="1629"/>
      <c r="AC39" s="1628">
        <v>0</v>
      </c>
      <c r="AD39" s="1629"/>
      <c r="AE39" s="1628">
        <v>0</v>
      </c>
      <c r="AF39" s="1629"/>
      <c r="AG39" s="1628">
        <v>0</v>
      </c>
      <c r="AH39" s="1629"/>
      <c r="AI39" s="1628">
        <v>0</v>
      </c>
      <c r="AJ39" s="1629"/>
      <c r="AK39" s="1639">
        <v>0</v>
      </c>
      <c r="AL39" s="1640"/>
      <c r="AM39" s="1639">
        <v>0</v>
      </c>
      <c r="AN39" s="1640"/>
      <c r="AO39" s="1626">
        <v>3</v>
      </c>
      <c r="AP39" s="1631"/>
      <c r="AQ39" s="1627"/>
      <c r="AR39" s="1626">
        <v>20</v>
      </c>
      <c r="AS39" s="1627"/>
      <c r="AT39" s="1626">
        <v>33</v>
      </c>
      <c r="AU39" s="1627"/>
      <c r="AV39" s="1628">
        <v>53</v>
      </c>
      <c r="AW39" s="1629"/>
      <c r="AX39" s="1628">
        <v>3</v>
      </c>
      <c r="AY39" s="1629"/>
      <c r="AZ39" s="24">
        <v>33</v>
      </c>
      <c r="BA39" s="26">
        <v>32</v>
      </c>
      <c r="BB39" s="1626">
        <v>65</v>
      </c>
      <c r="BC39" s="1627"/>
      <c r="BD39" s="1626">
        <v>3</v>
      </c>
      <c r="BE39" s="1627"/>
      <c r="BF39" s="1628">
        <v>36</v>
      </c>
      <c r="BG39" s="1636"/>
      <c r="BH39" s="1629"/>
      <c r="BI39" s="1628">
        <v>40</v>
      </c>
      <c r="BJ39" s="1629"/>
      <c r="BK39" s="1626">
        <v>76</v>
      </c>
      <c r="BL39" s="1627"/>
      <c r="BM39" s="1626">
        <v>9</v>
      </c>
      <c r="BN39" s="1631"/>
      <c r="BO39" s="1631"/>
      <c r="BP39" s="1627"/>
      <c r="BQ39" s="26">
        <v>89</v>
      </c>
      <c r="BR39" s="1628">
        <v>105</v>
      </c>
      <c r="BS39" s="1629"/>
      <c r="BT39" s="1628">
        <v>194</v>
      </c>
      <c r="BU39" s="1629"/>
      <c r="BV39" s="1628">
        <v>9</v>
      </c>
      <c r="BW39" s="1636"/>
      <c r="BX39" s="1629"/>
      <c r="BY39" s="1626">
        <v>89</v>
      </c>
      <c r="BZ39" s="1627"/>
      <c r="CA39" s="1626">
        <v>105</v>
      </c>
      <c r="CB39" s="1631"/>
      <c r="CC39" s="1635"/>
      <c r="CD39" s="1632">
        <v>194</v>
      </c>
      <c r="CE39" s="1633"/>
      <c r="CF39" s="1633"/>
      <c r="CG39" s="1634"/>
      <c r="CH39" s="282">
        <f t="shared" si="2"/>
        <v>29100</v>
      </c>
      <c r="CI39" s="287">
        <f t="shared" si="1"/>
        <v>90000</v>
      </c>
    </row>
    <row r="40" spans="1:95" ht="20.25" customHeight="1">
      <c r="A40" s="286">
        <v>33</v>
      </c>
      <c r="B40" s="1599" t="s">
        <v>115</v>
      </c>
      <c r="C40" s="1600"/>
      <c r="D40" s="1594" t="s">
        <v>116</v>
      </c>
      <c r="E40" s="1598"/>
      <c r="F40" s="1598"/>
      <c r="G40" s="1595"/>
      <c r="H40" s="24">
        <v>5</v>
      </c>
      <c r="I40" s="1626">
        <v>0</v>
      </c>
      <c r="J40" s="1627"/>
      <c r="K40" s="1628">
        <v>0</v>
      </c>
      <c r="L40" s="1629"/>
      <c r="M40" s="1639">
        <v>0</v>
      </c>
      <c r="N40" s="1640"/>
      <c r="O40" s="1641">
        <v>0</v>
      </c>
      <c r="P40" s="1642"/>
      <c r="Q40" s="24">
        <v>0</v>
      </c>
      <c r="R40" s="1626">
        <v>0</v>
      </c>
      <c r="S40" s="1631"/>
      <c r="T40" s="1627"/>
      <c r="U40" s="1626">
        <v>0</v>
      </c>
      <c r="V40" s="1627"/>
      <c r="W40" s="1626">
        <v>0</v>
      </c>
      <c r="X40" s="1627"/>
      <c r="Y40" s="1626">
        <v>0</v>
      </c>
      <c r="Z40" s="1627"/>
      <c r="AA40" s="1628">
        <v>0</v>
      </c>
      <c r="AB40" s="1629"/>
      <c r="AC40" s="1628">
        <v>0</v>
      </c>
      <c r="AD40" s="1629"/>
      <c r="AE40" s="1628">
        <v>0</v>
      </c>
      <c r="AF40" s="1629"/>
      <c r="AG40" s="1628">
        <v>0</v>
      </c>
      <c r="AH40" s="1629"/>
      <c r="AI40" s="1628">
        <v>0</v>
      </c>
      <c r="AJ40" s="1629"/>
      <c r="AK40" s="1639">
        <v>0</v>
      </c>
      <c r="AL40" s="1640"/>
      <c r="AM40" s="1639">
        <v>0</v>
      </c>
      <c r="AN40" s="1640"/>
      <c r="AO40" s="1626">
        <v>3</v>
      </c>
      <c r="AP40" s="1631"/>
      <c r="AQ40" s="1627"/>
      <c r="AR40" s="1626">
        <v>48</v>
      </c>
      <c r="AS40" s="1627"/>
      <c r="AT40" s="1626">
        <v>29</v>
      </c>
      <c r="AU40" s="1627"/>
      <c r="AV40" s="1628">
        <v>77</v>
      </c>
      <c r="AW40" s="1629"/>
      <c r="AX40" s="1628">
        <v>3</v>
      </c>
      <c r="AY40" s="1629"/>
      <c r="AZ40" s="24">
        <v>35</v>
      </c>
      <c r="BA40" s="26">
        <v>25</v>
      </c>
      <c r="BB40" s="1626">
        <v>60</v>
      </c>
      <c r="BC40" s="1627"/>
      <c r="BD40" s="1626">
        <v>3</v>
      </c>
      <c r="BE40" s="1627"/>
      <c r="BF40" s="1628">
        <v>20</v>
      </c>
      <c r="BG40" s="1636"/>
      <c r="BH40" s="1629"/>
      <c r="BI40" s="1628">
        <v>26</v>
      </c>
      <c r="BJ40" s="1629"/>
      <c r="BK40" s="1626">
        <v>46</v>
      </c>
      <c r="BL40" s="1627"/>
      <c r="BM40" s="1626">
        <v>9</v>
      </c>
      <c r="BN40" s="1631"/>
      <c r="BO40" s="1631"/>
      <c r="BP40" s="1627"/>
      <c r="BQ40" s="26">
        <v>103</v>
      </c>
      <c r="BR40" s="1628">
        <v>80</v>
      </c>
      <c r="BS40" s="1629"/>
      <c r="BT40" s="1628">
        <v>183</v>
      </c>
      <c r="BU40" s="1629"/>
      <c r="BV40" s="1628">
        <v>9</v>
      </c>
      <c r="BW40" s="1636"/>
      <c r="BX40" s="1629"/>
      <c r="BY40" s="1626">
        <v>103</v>
      </c>
      <c r="BZ40" s="1627"/>
      <c r="CA40" s="1626">
        <v>80</v>
      </c>
      <c r="CB40" s="1631"/>
      <c r="CC40" s="1635"/>
      <c r="CD40" s="1632">
        <v>183</v>
      </c>
      <c r="CE40" s="1633"/>
      <c r="CF40" s="1633"/>
      <c r="CG40" s="1634"/>
      <c r="CH40" s="282">
        <f t="shared" si="2"/>
        <v>27450</v>
      </c>
      <c r="CI40" s="287">
        <f t="shared" si="1"/>
        <v>90000</v>
      </c>
    </row>
    <row r="41" spans="1:95" ht="20.25">
      <c r="A41" s="286">
        <v>34</v>
      </c>
      <c r="B41" s="1599" t="s">
        <v>117</v>
      </c>
      <c r="C41" s="1600"/>
      <c r="D41" s="1594" t="s">
        <v>15</v>
      </c>
      <c r="E41" s="1598"/>
      <c r="F41" s="1598"/>
      <c r="G41" s="1595"/>
      <c r="H41" s="24">
        <v>6</v>
      </c>
      <c r="I41" s="1626">
        <v>0</v>
      </c>
      <c r="J41" s="1627"/>
      <c r="K41" s="1628">
        <v>0</v>
      </c>
      <c r="L41" s="1629"/>
      <c r="M41" s="1639">
        <v>0</v>
      </c>
      <c r="N41" s="1640"/>
      <c r="O41" s="1641">
        <v>0</v>
      </c>
      <c r="P41" s="1642"/>
      <c r="Q41" s="24">
        <v>0</v>
      </c>
      <c r="R41" s="1626">
        <v>0</v>
      </c>
      <c r="S41" s="1631"/>
      <c r="T41" s="1627"/>
      <c r="U41" s="1626">
        <v>0</v>
      </c>
      <c r="V41" s="1627"/>
      <c r="W41" s="1626">
        <v>0</v>
      </c>
      <c r="X41" s="1627"/>
      <c r="Y41" s="1626">
        <v>0</v>
      </c>
      <c r="Z41" s="1627"/>
      <c r="AA41" s="1628">
        <v>0</v>
      </c>
      <c r="AB41" s="1629"/>
      <c r="AC41" s="1628">
        <v>0</v>
      </c>
      <c r="AD41" s="1629"/>
      <c r="AE41" s="1628">
        <v>0</v>
      </c>
      <c r="AF41" s="1629"/>
      <c r="AG41" s="1628">
        <v>0</v>
      </c>
      <c r="AH41" s="1629"/>
      <c r="AI41" s="1628">
        <v>0</v>
      </c>
      <c r="AJ41" s="1629"/>
      <c r="AK41" s="1639">
        <v>0</v>
      </c>
      <c r="AL41" s="1640"/>
      <c r="AM41" s="1639">
        <v>0</v>
      </c>
      <c r="AN41" s="1640"/>
      <c r="AO41" s="1626">
        <v>5</v>
      </c>
      <c r="AP41" s="1631"/>
      <c r="AQ41" s="1627"/>
      <c r="AR41" s="1626">
        <v>137</v>
      </c>
      <c r="AS41" s="1627"/>
      <c r="AT41" s="1626">
        <v>90</v>
      </c>
      <c r="AU41" s="1627"/>
      <c r="AV41" s="1628">
        <v>227</v>
      </c>
      <c r="AW41" s="1629"/>
      <c r="AX41" s="1628">
        <v>3</v>
      </c>
      <c r="AY41" s="1629"/>
      <c r="AZ41" s="24">
        <v>57</v>
      </c>
      <c r="BA41" s="26">
        <v>69</v>
      </c>
      <c r="BB41" s="1626">
        <v>126</v>
      </c>
      <c r="BC41" s="1627"/>
      <c r="BD41" s="1626">
        <v>3</v>
      </c>
      <c r="BE41" s="1627"/>
      <c r="BF41" s="1628">
        <v>27</v>
      </c>
      <c r="BG41" s="1636"/>
      <c r="BH41" s="1629"/>
      <c r="BI41" s="1628">
        <v>25</v>
      </c>
      <c r="BJ41" s="1629"/>
      <c r="BK41" s="1626">
        <v>52</v>
      </c>
      <c r="BL41" s="1627"/>
      <c r="BM41" s="1626">
        <v>11</v>
      </c>
      <c r="BN41" s="1631"/>
      <c r="BO41" s="1631"/>
      <c r="BP41" s="1627"/>
      <c r="BQ41" s="26">
        <v>221</v>
      </c>
      <c r="BR41" s="1628">
        <v>184</v>
      </c>
      <c r="BS41" s="1629"/>
      <c r="BT41" s="1628">
        <v>405</v>
      </c>
      <c r="BU41" s="1629"/>
      <c r="BV41" s="1628">
        <v>11</v>
      </c>
      <c r="BW41" s="1636"/>
      <c r="BX41" s="1629"/>
      <c r="BY41" s="1626">
        <v>221</v>
      </c>
      <c r="BZ41" s="1627"/>
      <c r="CA41" s="1626">
        <v>184</v>
      </c>
      <c r="CB41" s="1631"/>
      <c r="CC41" s="1635"/>
      <c r="CD41" s="1632">
        <v>405</v>
      </c>
      <c r="CE41" s="1633"/>
      <c r="CF41" s="1633"/>
      <c r="CG41" s="1634"/>
      <c r="CH41" s="282">
        <f t="shared" si="2"/>
        <v>60750</v>
      </c>
      <c r="CI41" s="287">
        <f t="shared" si="1"/>
        <v>90000</v>
      </c>
    </row>
    <row r="42" spans="1:95" ht="20.25">
      <c r="A42" s="286">
        <v>35</v>
      </c>
      <c r="B42" s="1599" t="s">
        <v>118</v>
      </c>
      <c r="C42" s="1600"/>
      <c r="D42" s="1594" t="s">
        <v>15</v>
      </c>
      <c r="E42" s="1598"/>
      <c r="F42" s="1598"/>
      <c r="G42" s="1595"/>
      <c r="H42" s="24">
        <v>6</v>
      </c>
      <c r="I42" s="1626">
        <v>0</v>
      </c>
      <c r="J42" s="1627"/>
      <c r="K42" s="1628">
        <v>0</v>
      </c>
      <c r="L42" s="1629"/>
      <c r="M42" s="1639">
        <v>0</v>
      </c>
      <c r="N42" s="1640"/>
      <c r="O42" s="1641">
        <v>0</v>
      </c>
      <c r="P42" s="1642"/>
      <c r="Q42" s="24">
        <v>0</v>
      </c>
      <c r="R42" s="1626">
        <v>0</v>
      </c>
      <c r="S42" s="1631"/>
      <c r="T42" s="1627"/>
      <c r="U42" s="1626">
        <v>0</v>
      </c>
      <c r="V42" s="1627"/>
      <c r="W42" s="1626">
        <v>0</v>
      </c>
      <c r="X42" s="1627"/>
      <c r="Y42" s="1626">
        <v>0</v>
      </c>
      <c r="Z42" s="1627"/>
      <c r="AA42" s="1628">
        <v>0</v>
      </c>
      <c r="AB42" s="1629"/>
      <c r="AC42" s="1628">
        <v>0</v>
      </c>
      <c r="AD42" s="1629"/>
      <c r="AE42" s="1628">
        <v>0</v>
      </c>
      <c r="AF42" s="1629"/>
      <c r="AG42" s="1628">
        <v>0</v>
      </c>
      <c r="AH42" s="1629"/>
      <c r="AI42" s="1628">
        <v>0</v>
      </c>
      <c r="AJ42" s="1629"/>
      <c r="AK42" s="1639">
        <v>0</v>
      </c>
      <c r="AL42" s="1640"/>
      <c r="AM42" s="1639">
        <v>0</v>
      </c>
      <c r="AN42" s="1640"/>
      <c r="AO42" s="1626">
        <v>6</v>
      </c>
      <c r="AP42" s="1631"/>
      <c r="AQ42" s="1627"/>
      <c r="AR42" s="1626">
        <v>275</v>
      </c>
      <c r="AS42" s="1627"/>
      <c r="AT42" s="1626">
        <v>211</v>
      </c>
      <c r="AU42" s="1627"/>
      <c r="AV42" s="1628">
        <v>486</v>
      </c>
      <c r="AW42" s="1629"/>
      <c r="AX42" s="1628">
        <v>6</v>
      </c>
      <c r="AY42" s="1629"/>
      <c r="AZ42" s="24">
        <v>237</v>
      </c>
      <c r="BA42" s="26">
        <v>157</v>
      </c>
      <c r="BB42" s="1626">
        <v>394</v>
      </c>
      <c r="BC42" s="1627"/>
      <c r="BD42" s="1626">
        <v>5</v>
      </c>
      <c r="BE42" s="1627"/>
      <c r="BF42" s="1628">
        <v>176</v>
      </c>
      <c r="BG42" s="1636"/>
      <c r="BH42" s="1629"/>
      <c r="BI42" s="1628">
        <v>121</v>
      </c>
      <c r="BJ42" s="1629"/>
      <c r="BK42" s="1626">
        <v>297</v>
      </c>
      <c r="BL42" s="1627"/>
      <c r="BM42" s="1626">
        <v>17</v>
      </c>
      <c r="BN42" s="1631"/>
      <c r="BO42" s="1631"/>
      <c r="BP42" s="1627"/>
      <c r="BQ42" s="26">
        <v>688</v>
      </c>
      <c r="BR42" s="1628">
        <v>489</v>
      </c>
      <c r="BS42" s="1629"/>
      <c r="BT42" s="1628">
        <v>1177</v>
      </c>
      <c r="BU42" s="1629"/>
      <c r="BV42" s="1628">
        <v>17</v>
      </c>
      <c r="BW42" s="1636"/>
      <c r="BX42" s="1629"/>
      <c r="BY42" s="1626">
        <v>688</v>
      </c>
      <c r="BZ42" s="1627"/>
      <c r="CA42" s="1626">
        <v>489</v>
      </c>
      <c r="CB42" s="1631"/>
      <c r="CC42" s="1635"/>
      <c r="CD42" s="1632">
        <v>1177</v>
      </c>
      <c r="CE42" s="1633"/>
      <c r="CF42" s="1633"/>
      <c r="CG42" s="1634"/>
      <c r="CH42" s="282">
        <f t="shared" si="2"/>
        <v>176550</v>
      </c>
      <c r="CI42" s="287">
        <f t="shared" si="1"/>
        <v>150000</v>
      </c>
    </row>
    <row r="43" spans="1:95" ht="20.25">
      <c r="A43" s="286">
        <v>36</v>
      </c>
      <c r="B43" s="1599" t="s">
        <v>119</v>
      </c>
      <c r="C43" s="1600"/>
      <c r="D43" s="1599" t="s">
        <v>92</v>
      </c>
      <c r="E43" s="1630"/>
      <c r="F43" s="1630"/>
      <c r="G43" s="1600"/>
      <c r="H43" s="24">
        <v>2</v>
      </c>
      <c r="I43" s="1626">
        <v>0</v>
      </c>
      <c r="J43" s="1627"/>
      <c r="K43" s="1628">
        <v>0</v>
      </c>
      <c r="L43" s="1629"/>
      <c r="M43" s="1639">
        <v>0</v>
      </c>
      <c r="N43" s="1640"/>
      <c r="O43" s="1641">
        <v>0</v>
      </c>
      <c r="P43" s="1642"/>
      <c r="Q43" s="24">
        <v>0</v>
      </c>
      <c r="R43" s="1626">
        <v>0</v>
      </c>
      <c r="S43" s="1631"/>
      <c r="T43" s="1627"/>
      <c r="U43" s="1626">
        <v>0</v>
      </c>
      <c r="V43" s="1627"/>
      <c r="W43" s="1626">
        <v>0</v>
      </c>
      <c r="X43" s="1627"/>
      <c r="Y43" s="1626">
        <v>0</v>
      </c>
      <c r="Z43" s="1627"/>
      <c r="AA43" s="1628">
        <v>0</v>
      </c>
      <c r="AB43" s="1629"/>
      <c r="AC43" s="1628">
        <v>0</v>
      </c>
      <c r="AD43" s="1629"/>
      <c r="AE43" s="1628">
        <v>0</v>
      </c>
      <c r="AF43" s="1629"/>
      <c r="AG43" s="1628">
        <v>0</v>
      </c>
      <c r="AH43" s="1629"/>
      <c r="AI43" s="1628">
        <v>0</v>
      </c>
      <c r="AJ43" s="1629"/>
      <c r="AK43" s="1639">
        <v>0</v>
      </c>
      <c r="AL43" s="1640"/>
      <c r="AM43" s="1639">
        <v>0</v>
      </c>
      <c r="AN43" s="1640"/>
      <c r="AO43" s="1626">
        <v>4</v>
      </c>
      <c r="AP43" s="1631"/>
      <c r="AQ43" s="1627"/>
      <c r="AR43" s="1626">
        <v>0</v>
      </c>
      <c r="AS43" s="1627"/>
      <c r="AT43" s="1626">
        <v>276</v>
      </c>
      <c r="AU43" s="1627"/>
      <c r="AV43" s="1628">
        <v>276</v>
      </c>
      <c r="AW43" s="1629"/>
      <c r="AX43" s="1628">
        <v>4</v>
      </c>
      <c r="AY43" s="1629"/>
      <c r="AZ43" s="24">
        <v>0</v>
      </c>
      <c r="BA43" s="26">
        <v>200</v>
      </c>
      <c r="BB43" s="1626">
        <v>200</v>
      </c>
      <c r="BC43" s="1627"/>
      <c r="BD43" s="1626">
        <v>4</v>
      </c>
      <c r="BE43" s="1627"/>
      <c r="BF43" s="1628">
        <v>0</v>
      </c>
      <c r="BG43" s="1636"/>
      <c r="BH43" s="1629"/>
      <c r="BI43" s="1628">
        <v>141</v>
      </c>
      <c r="BJ43" s="1629"/>
      <c r="BK43" s="1626">
        <v>141</v>
      </c>
      <c r="BL43" s="1627"/>
      <c r="BM43" s="1626">
        <v>12</v>
      </c>
      <c r="BN43" s="1631"/>
      <c r="BO43" s="1631"/>
      <c r="BP43" s="1627"/>
      <c r="BQ43" s="26">
        <v>0</v>
      </c>
      <c r="BR43" s="1628">
        <v>617</v>
      </c>
      <c r="BS43" s="1629"/>
      <c r="BT43" s="1628">
        <v>617</v>
      </c>
      <c r="BU43" s="1629"/>
      <c r="BV43" s="1628">
        <v>12</v>
      </c>
      <c r="BW43" s="1636"/>
      <c r="BX43" s="1629"/>
      <c r="BY43" s="1626">
        <v>0</v>
      </c>
      <c r="BZ43" s="1627"/>
      <c r="CA43" s="1626">
        <v>617</v>
      </c>
      <c r="CB43" s="1631"/>
      <c r="CC43" s="1635"/>
      <c r="CD43" s="1632">
        <v>617</v>
      </c>
      <c r="CE43" s="1633"/>
      <c r="CF43" s="1633"/>
      <c r="CG43" s="1634"/>
      <c r="CH43" s="282">
        <f t="shared" si="2"/>
        <v>92550</v>
      </c>
      <c r="CI43" s="287">
        <f t="shared" si="1"/>
        <v>90000</v>
      </c>
    </row>
    <row r="44" spans="1:95" ht="20.25">
      <c r="A44" s="288"/>
      <c r="B44" s="1643" t="s">
        <v>506</v>
      </c>
      <c r="C44" s="1644"/>
      <c r="D44" s="1645"/>
      <c r="E44" s="1646"/>
      <c r="F44" s="1646"/>
      <c r="G44" s="1647"/>
      <c r="H44" s="105"/>
      <c r="I44" s="1648">
        <v>63</v>
      </c>
      <c r="J44" s="1649"/>
      <c r="K44" s="1650">
        <v>1867</v>
      </c>
      <c r="L44" s="1651"/>
      <c r="M44" s="1652">
        <v>1741</v>
      </c>
      <c r="N44" s="1653"/>
      <c r="O44" s="1652">
        <v>3608</v>
      </c>
      <c r="P44" s="1653"/>
      <c r="Q44" s="106">
        <v>62</v>
      </c>
      <c r="R44" s="1648">
        <v>1574</v>
      </c>
      <c r="S44" s="1658"/>
      <c r="T44" s="1649"/>
      <c r="U44" s="1648">
        <v>1685</v>
      </c>
      <c r="V44" s="1649"/>
      <c r="W44" s="1648">
        <v>3259</v>
      </c>
      <c r="X44" s="1649"/>
      <c r="Y44" s="1648">
        <v>59</v>
      </c>
      <c r="Z44" s="1649"/>
      <c r="AA44" s="1650">
        <v>1482</v>
      </c>
      <c r="AB44" s="1651"/>
      <c r="AC44" s="1650">
        <v>1523</v>
      </c>
      <c r="AD44" s="1651"/>
      <c r="AE44" s="1650">
        <v>3005</v>
      </c>
      <c r="AF44" s="1651"/>
      <c r="AG44" s="1650">
        <v>184</v>
      </c>
      <c r="AH44" s="1651"/>
      <c r="AI44" s="1650">
        <v>4923</v>
      </c>
      <c r="AJ44" s="1651"/>
      <c r="AK44" s="1652">
        <v>4949</v>
      </c>
      <c r="AL44" s="1653"/>
      <c r="AM44" s="1652">
        <v>9872</v>
      </c>
      <c r="AN44" s="1653"/>
      <c r="AO44" s="1648">
        <v>60</v>
      </c>
      <c r="AP44" s="1658"/>
      <c r="AQ44" s="1649"/>
      <c r="AR44" s="1648">
        <v>1398</v>
      </c>
      <c r="AS44" s="1649"/>
      <c r="AT44" s="1648">
        <v>1508</v>
      </c>
      <c r="AU44" s="1649"/>
      <c r="AV44" s="1650">
        <v>2906</v>
      </c>
      <c r="AW44" s="1651"/>
      <c r="AX44" s="1650">
        <v>54</v>
      </c>
      <c r="AY44" s="1651"/>
      <c r="AZ44" s="106">
        <v>1208</v>
      </c>
      <c r="BA44" s="107">
        <v>1172</v>
      </c>
      <c r="BB44" s="1648">
        <v>2380</v>
      </c>
      <c r="BC44" s="1649"/>
      <c r="BD44" s="1648">
        <v>52</v>
      </c>
      <c r="BE44" s="1649"/>
      <c r="BF44" s="1650">
        <v>831</v>
      </c>
      <c r="BG44" s="1657"/>
      <c r="BH44" s="1651"/>
      <c r="BI44" s="1650">
        <v>885</v>
      </c>
      <c r="BJ44" s="1651"/>
      <c r="BK44" s="1648">
        <v>1716</v>
      </c>
      <c r="BL44" s="1649"/>
      <c r="BM44" s="1648">
        <v>166</v>
      </c>
      <c r="BN44" s="1658"/>
      <c r="BO44" s="1658"/>
      <c r="BP44" s="1649"/>
      <c r="BQ44" s="107">
        <v>3437</v>
      </c>
      <c r="BR44" s="1650">
        <v>3565</v>
      </c>
      <c r="BS44" s="1651"/>
      <c r="BT44" s="1650">
        <v>7002</v>
      </c>
      <c r="BU44" s="1651"/>
      <c r="BV44" s="1650">
        <v>350</v>
      </c>
      <c r="BW44" s="1657"/>
      <c r="BX44" s="1651"/>
      <c r="BY44" s="1648">
        <v>8360</v>
      </c>
      <c r="BZ44" s="1649"/>
      <c r="CA44" s="1648">
        <v>8514</v>
      </c>
      <c r="CB44" s="1658"/>
      <c r="CC44" s="1659"/>
      <c r="CD44" s="1660">
        <f>SUM(CD8:CG43)</f>
        <v>16874</v>
      </c>
      <c r="CE44" s="1661"/>
      <c r="CF44" s="1661"/>
      <c r="CG44" s="1662"/>
      <c r="CH44" s="101"/>
      <c r="CI44" s="272">
        <f>SUM(CI8:CI43)</f>
        <v>3420000</v>
      </c>
      <c r="CJ44" s="98">
        <f>CI44-CI26</f>
        <v>3330000</v>
      </c>
    </row>
    <row r="45" spans="1:95" ht="23.25">
      <c r="A45" s="289" t="s">
        <v>513</v>
      </c>
      <c r="B45" s="102"/>
      <c r="C45" s="102" t="s">
        <v>512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3"/>
      <c r="CH45" s="99"/>
      <c r="CI45" s="272">
        <f>CD44*20</f>
        <v>337480</v>
      </c>
      <c r="CJ45" s="58"/>
      <c r="CK45" s="58"/>
      <c r="CL45" s="58"/>
      <c r="CM45" s="58"/>
      <c r="CN45" s="58"/>
      <c r="CO45" s="59"/>
      <c r="CP45" s="59"/>
      <c r="CQ45" s="11">
        <f>CO44*20</f>
        <v>0</v>
      </c>
    </row>
    <row r="46" spans="1:95" ht="33.75" thickBot="1">
      <c r="A46" s="290" t="s">
        <v>514</v>
      </c>
      <c r="B46" s="291"/>
      <c r="C46" s="291"/>
      <c r="D46" s="291"/>
      <c r="E46" s="291"/>
      <c r="F46" s="291"/>
      <c r="G46" s="291"/>
      <c r="H46" s="291"/>
      <c r="I46" s="291"/>
      <c r="J46" s="291"/>
      <c r="K46" s="291"/>
      <c r="L46" s="291"/>
      <c r="M46" s="291"/>
      <c r="N46" s="291"/>
      <c r="O46" s="291"/>
      <c r="P46" s="291"/>
      <c r="Q46" s="291"/>
      <c r="R46" s="291"/>
      <c r="S46" s="291"/>
      <c r="T46" s="291"/>
      <c r="U46" s="291"/>
      <c r="V46" s="291"/>
      <c r="W46" s="291"/>
      <c r="X46" s="291"/>
      <c r="Y46" s="291"/>
      <c r="Z46" s="291"/>
      <c r="AA46" s="291"/>
      <c r="AB46" s="291"/>
      <c r="AC46" s="291"/>
      <c r="AD46" s="291"/>
      <c r="AE46" s="291"/>
      <c r="AF46" s="291"/>
      <c r="AG46" s="291"/>
      <c r="AH46" s="291"/>
      <c r="AI46" s="291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291"/>
      <c r="BI46" s="291"/>
      <c r="BJ46" s="291"/>
      <c r="BK46" s="291"/>
      <c r="BL46" s="291"/>
      <c r="BM46" s="291"/>
      <c r="BN46" s="291"/>
      <c r="BO46" s="291"/>
      <c r="BP46" s="291"/>
      <c r="BQ46" s="291"/>
      <c r="BR46" s="291"/>
      <c r="BS46" s="291"/>
      <c r="BT46" s="291"/>
      <c r="BU46" s="291"/>
      <c r="BV46" s="291"/>
      <c r="BW46" s="291"/>
      <c r="BX46" s="291"/>
      <c r="BY46" s="291"/>
      <c r="BZ46" s="292"/>
      <c r="CA46" s="291"/>
      <c r="CB46" s="291"/>
      <c r="CC46" s="291"/>
      <c r="CD46" s="291"/>
      <c r="CE46" s="291"/>
      <c r="CF46" s="291"/>
      <c r="CG46" s="293"/>
      <c r="CH46" s="291"/>
      <c r="CI46" s="294">
        <f>CI44+CI45</f>
        <v>3757480</v>
      </c>
      <c r="CJ46" s="13"/>
      <c r="CK46" s="13"/>
      <c r="CL46" s="13"/>
      <c r="CM46" s="13"/>
      <c r="CN46" s="13"/>
      <c r="CO46" s="13"/>
      <c r="CP46" s="13"/>
      <c r="CQ46" s="11">
        <f>CQ44+CQ45</f>
        <v>0</v>
      </c>
    </row>
    <row r="47" spans="1:95" ht="23.25">
      <c r="BY47" s="51">
        <f>COUNTIF(CD8:CG43, "&lt;1000")</f>
        <v>33</v>
      </c>
      <c r="BZ47" s="94">
        <f>COUNTIF(CD8:CG43, "&gt;1000")</f>
        <v>3</v>
      </c>
      <c r="CG47" s="104"/>
    </row>
    <row r="53" spans="78:79" ht="20.25">
      <c r="CA53" s="20">
        <f t="shared" ref="CA53" si="3">BX53*150</f>
        <v>0</v>
      </c>
    </row>
    <row r="54" spans="78:79" ht="20.25">
      <c r="BZ54" s="20">
        <f>BW53*150</f>
        <v>0</v>
      </c>
    </row>
  </sheetData>
  <mergeCells count="1309">
    <mergeCell ref="A5:CI5"/>
    <mergeCell ref="BT44:BU44"/>
    <mergeCell ref="BV44:BX44"/>
    <mergeCell ref="BY44:BZ44"/>
    <mergeCell ref="CA44:CC44"/>
    <mergeCell ref="CD44:CG44"/>
    <mergeCell ref="BD44:BE44"/>
    <mergeCell ref="BF44:BH44"/>
    <mergeCell ref="BI44:BJ44"/>
    <mergeCell ref="BK44:BL44"/>
    <mergeCell ref="BM44:BP44"/>
    <mergeCell ref="BR44:BS44"/>
    <mergeCell ref="AO44:AQ44"/>
    <mergeCell ref="AR44:AS44"/>
    <mergeCell ref="AT44:AU44"/>
    <mergeCell ref="AV44:AW44"/>
    <mergeCell ref="AX44:AY44"/>
    <mergeCell ref="BB44:BC44"/>
    <mergeCell ref="AC44:AD44"/>
    <mergeCell ref="AE44:AF44"/>
    <mergeCell ref="AG44:AH44"/>
    <mergeCell ref="AI44:AJ44"/>
    <mergeCell ref="AK44:AL44"/>
    <mergeCell ref="AM44:AN44"/>
    <mergeCell ref="O44:P44"/>
    <mergeCell ref="R44:T44"/>
    <mergeCell ref="U44:V44"/>
    <mergeCell ref="W44:X44"/>
    <mergeCell ref="Y44:Z44"/>
    <mergeCell ref="AA44:AB44"/>
    <mergeCell ref="BT43:BU43"/>
    <mergeCell ref="BV43:BX43"/>
    <mergeCell ref="BY43:BZ43"/>
    <mergeCell ref="CA43:CC43"/>
    <mergeCell ref="CD43:CG43"/>
    <mergeCell ref="B44:C44"/>
    <mergeCell ref="D44:G44"/>
    <mergeCell ref="I44:J44"/>
    <mergeCell ref="K44:L44"/>
    <mergeCell ref="M44:N44"/>
    <mergeCell ref="BD43:BE43"/>
    <mergeCell ref="BF43:BH43"/>
    <mergeCell ref="BI43:BJ43"/>
    <mergeCell ref="BK43:BL43"/>
    <mergeCell ref="BM43:BP43"/>
    <mergeCell ref="BR43:BS43"/>
    <mergeCell ref="AO43:AQ43"/>
    <mergeCell ref="AR43:AS43"/>
    <mergeCell ref="AT43:AU43"/>
    <mergeCell ref="AV43:AW43"/>
    <mergeCell ref="AX43:AY43"/>
    <mergeCell ref="BB43:BC43"/>
    <mergeCell ref="AC43:AD43"/>
    <mergeCell ref="AE43:AF43"/>
    <mergeCell ref="AG43:AH43"/>
    <mergeCell ref="AI43:AJ43"/>
    <mergeCell ref="AK43:AL43"/>
    <mergeCell ref="AM43:AN43"/>
    <mergeCell ref="O43:P43"/>
    <mergeCell ref="R43:T43"/>
    <mergeCell ref="U43:V43"/>
    <mergeCell ref="W43:X43"/>
    <mergeCell ref="Y43:Z43"/>
    <mergeCell ref="AA43:AB43"/>
    <mergeCell ref="BT42:BU42"/>
    <mergeCell ref="BV42:BX42"/>
    <mergeCell ref="BY42:BZ42"/>
    <mergeCell ref="CA42:CC42"/>
    <mergeCell ref="CD42:CG42"/>
    <mergeCell ref="B43:C43"/>
    <mergeCell ref="D43:G43"/>
    <mergeCell ref="I43:J43"/>
    <mergeCell ref="K43:L43"/>
    <mergeCell ref="M43:N43"/>
    <mergeCell ref="BD42:BE42"/>
    <mergeCell ref="BF42:BH42"/>
    <mergeCell ref="BI42:BJ42"/>
    <mergeCell ref="BK42:BL42"/>
    <mergeCell ref="BM42:BP42"/>
    <mergeCell ref="BR42:BS42"/>
    <mergeCell ref="AO42:AQ42"/>
    <mergeCell ref="AR42:AS42"/>
    <mergeCell ref="AT42:AU42"/>
    <mergeCell ref="AV42:AW42"/>
    <mergeCell ref="AX42:AY42"/>
    <mergeCell ref="BB42:BC42"/>
    <mergeCell ref="AC42:AD42"/>
    <mergeCell ref="AE42:AF42"/>
    <mergeCell ref="AG42:AH42"/>
    <mergeCell ref="AI42:AJ42"/>
    <mergeCell ref="AK42:AL42"/>
    <mergeCell ref="AM42:AN42"/>
    <mergeCell ref="O42:P42"/>
    <mergeCell ref="R42:T42"/>
    <mergeCell ref="U42:V42"/>
    <mergeCell ref="W42:X42"/>
    <mergeCell ref="Y42:Z42"/>
    <mergeCell ref="AA42:AB42"/>
    <mergeCell ref="BT41:BU41"/>
    <mergeCell ref="BV41:BX41"/>
    <mergeCell ref="BY41:BZ41"/>
    <mergeCell ref="CA41:CC41"/>
    <mergeCell ref="CD41:CG41"/>
    <mergeCell ref="B42:C42"/>
    <mergeCell ref="D42:G42"/>
    <mergeCell ref="I42:J42"/>
    <mergeCell ref="K42:L42"/>
    <mergeCell ref="M42:N42"/>
    <mergeCell ref="BD41:BE41"/>
    <mergeCell ref="BF41:BH41"/>
    <mergeCell ref="BI41:BJ41"/>
    <mergeCell ref="BK41:BL41"/>
    <mergeCell ref="BM41:BP41"/>
    <mergeCell ref="BR41:BS41"/>
    <mergeCell ref="AO41:AQ41"/>
    <mergeCell ref="AR41:AS41"/>
    <mergeCell ref="AT41:AU41"/>
    <mergeCell ref="AV41:AW41"/>
    <mergeCell ref="AX41:AY41"/>
    <mergeCell ref="BB41:BC41"/>
    <mergeCell ref="AC41:AD41"/>
    <mergeCell ref="AE41:AF41"/>
    <mergeCell ref="AG41:AH41"/>
    <mergeCell ref="AI41:AJ41"/>
    <mergeCell ref="AK41:AL41"/>
    <mergeCell ref="AM41:AN41"/>
    <mergeCell ref="O41:P41"/>
    <mergeCell ref="R41:T41"/>
    <mergeCell ref="U41:V41"/>
    <mergeCell ref="W41:X41"/>
    <mergeCell ref="Y41:Z41"/>
    <mergeCell ref="AA41:AB41"/>
    <mergeCell ref="BT40:BU40"/>
    <mergeCell ref="BV40:BX40"/>
    <mergeCell ref="BY40:BZ40"/>
    <mergeCell ref="CA40:CC40"/>
    <mergeCell ref="CD40:CG40"/>
    <mergeCell ref="B41:C41"/>
    <mergeCell ref="D41:G41"/>
    <mergeCell ref="I41:J41"/>
    <mergeCell ref="K41:L41"/>
    <mergeCell ref="M41:N41"/>
    <mergeCell ref="BD40:BE40"/>
    <mergeCell ref="BF40:BH40"/>
    <mergeCell ref="BI40:BJ40"/>
    <mergeCell ref="BK40:BL40"/>
    <mergeCell ref="BM40:BP40"/>
    <mergeCell ref="BR40:BS40"/>
    <mergeCell ref="AO40:AQ40"/>
    <mergeCell ref="AR40:AS40"/>
    <mergeCell ref="AT40:AU40"/>
    <mergeCell ref="AV40:AW40"/>
    <mergeCell ref="AX40:AY40"/>
    <mergeCell ref="BB40:BC40"/>
    <mergeCell ref="AC40:AD40"/>
    <mergeCell ref="AE40:AF40"/>
    <mergeCell ref="B40:C40"/>
    <mergeCell ref="D40:G40"/>
    <mergeCell ref="I40:J40"/>
    <mergeCell ref="K40:L40"/>
    <mergeCell ref="M40:N40"/>
    <mergeCell ref="BD39:BE39"/>
    <mergeCell ref="BF39:BH39"/>
    <mergeCell ref="BI39:BJ39"/>
    <mergeCell ref="BK39:BL39"/>
    <mergeCell ref="BM39:BP39"/>
    <mergeCell ref="BR39:BS39"/>
    <mergeCell ref="AO39:AQ39"/>
    <mergeCell ref="AR39:AS39"/>
    <mergeCell ref="AT39:AU39"/>
    <mergeCell ref="AV39:AW39"/>
    <mergeCell ref="AX39:AY39"/>
    <mergeCell ref="BB39:BC39"/>
    <mergeCell ref="AI39:AJ39"/>
    <mergeCell ref="AK39:AL39"/>
    <mergeCell ref="AM39:AN39"/>
    <mergeCell ref="O39:P39"/>
    <mergeCell ref="R39:T39"/>
    <mergeCell ref="U39:V39"/>
    <mergeCell ref="W39:X39"/>
    <mergeCell ref="Y39:Z39"/>
    <mergeCell ref="AA39:AB39"/>
    <mergeCell ref="BT38:BU38"/>
    <mergeCell ref="BV38:BX38"/>
    <mergeCell ref="BY38:BZ38"/>
    <mergeCell ref="CA38:CC38"/>
    <mergeCell ref="CD38:CG38"/>
    <mergeCell ref="AG40:AH40"/>
    <mergeCell ref="AI40:AJ40"/>
    <mergeCell ref="AK40:AL40"/>
    <mergeCell ref="AM40:AN40"/>
    <mergeCell ref="O40:P40"/>
    <mergeCell ref="R40:T40"/>
    <mergeCell ref="U40:V40"/>
    <mergeCell ref="W40:X40"/>
    <mergeCell ref="Y40:Z40"/>
    <mergeCell ref="AA40:AB40"/>
    <mergeCell ref="BT39:BU39"/>
    <mergeCell ref="BV39:BX39"/>
    <mergeCell ref="BY39:BZ39"/>
    <mergeCell ref="CA39:CC39"/>
    <mergeCell ref="CD39:CG39"/>
    <mergeCell ref="B39:C39"/>
    <mergeCell ref="D39:G39"/>
    <mergeCell ref="I39:J39"/>
    <mergeCell ref="K39:L39"/>
    <mergeCell ref="M39:N39"/>
    <mergeCell ref="BD38:BE38"/>
    <mergeCell ref="BF38:BH38"/>
    <mergeCell ref="BI38:BJ38"/>
    <mergeCell ref="BK38:BL38"/>
    <mergeCell ref="BM38:BP38"/>
    <mergeCell ref="BR38:BS38"/>
    <mergeCell ref="AO38:AQ38"/>
    <mergeCell ref="AR38:AS38"/>
    <mergeCell ref="AT38:AU38"/>
    <mergeCell ref="AV38:AW38"/>
    <mergeCell ref="AX38:AY38"/>
    <mergeCell ref="BB38:BC38"/>
    <mergeCell ref="AC38:AD38"/>
    <mergeCell ref="AE38:AF38"/>
    <mergeCell ref="AG38:AH38"/>
    <mergeCell ref="AI38:AJ38"/>
    <mergeCell ref="AK38:AL38"/>
    <mergeCell ref="AM38:AN38"/>
    <mergeCell ref="O38:P38"/>
    <mergeCell ref="R38:T38"/>
    <mergeCell ref="U38:V38"/>
    <mergeCell ref="W38:X38"/>
    <mergeCell ref="Y38:Z38"/>
    <mergeCell ref="AA38:AB38"/>
    <mergeCell ref="AC39:AD39"/>
    <mergeCell ref="AE39:AF39"/>
    <mergeCell ref="AG39:AH39"/>
    <mergeCell ref="BT37:BU37"/>
    <mergeCell ref="BV37:BX37"/>
    <mergeCell ref="BY37:BZ37"/>
    <mergeCell ref="CA37:CC37"/>
    <mergeCell ref="CD37:CG37"/>
    <mergeCell ref="B38:C38"/>
    <mergeCell ref="D38:G38"/>
    <mergeCell ref="I38:J38"/>
    <mergeCell ref="K38:L38"/>
    <mergeCell ref="M38:N38"/>
    <mergeCell ref="BD37:BE37"/>
    <mergeCell ref="BF37:BH37"/>
    <mergeCell ref="BI37:BJ37"/>
    <mergeCell ref="BK37:BL37"/>
    <mergeCell ref="BM37:BP37"/>
    <mergeCell ref="BR37:BS37"/>
    <mergeCell ref="AO37:AQ37"/>
    <mergeCell ref="AR37:AS37"/>
    <mergeCell ref="AT37:AU37"/>
    <mergeCell ref="AV37:AW37"/>
    <mergeCell ref="AX37:AY37"/>
    <mergeCell ref="BB37:BC37"/>
    <mergeCell ref="AC37:AD37"/>
    <mergeCell ref="AE37:AF37"/>
    <mergeCell ref="AG37:AH37"/>
    <mergeCell ref="AI37:AJ37"/>
    <mergeCell ref="AK37:AL37"/>
    <mergeCell ref="AM37:AN37"/>
    <mergeCell ref="O37:P37"/>
    <mergeCell ref="R37:T37"/>
    <mergeCell ref="U37:V37"/>
    <mergeCell ref="W37:X37"/>
    <mergeCell ref="Y37:Z37"/>
    <mergeCell ref="AA37:AB37"/>
    <mergeCell ref="BT36:BU36"/>
    <mergeCell ref="BV36:BX36"/>
    <mergeCell ref="BY36:BZ36"/>
    <mergeCell ref="CA36:CC36"/>
    <mergeCell ref="CD36:CG36"/>
    <mergeCell ref="B37:C37"/>
    <mergeCell ref="D37:G37"/>
    <mergeCell ref="I37:J37"/>
    <mergeCell ref="K37:L37"/>
    <mergeCell ref="M37:N37"/>
    <mergeCell ref="BD36:BE36"/>
    <mergeCell ref="BF36:BH36"/>
    <mergeCell ref="BI36:BJ36"/>
    <mergeCell ref="BK36:BL36"/>
    <mergeCell ref="BM36:BP36"/>
    <mergeCell ref="BR36:BS36"/>
    <mergeCell ref="AO36:AQ36"/>
    <mergeCell ref="AR36:AS36"/>
    <mergeCell ref="AT36:AU36"/>
    <mergeCell ref="AV36:AW36"/>
    <mergeCell ref="AX36:AY36"/>
    <mergeCell ref="BB36:BC36"/>
    <mergeCell ref="AC36:AD36"/>
    <mergeCell ref="AE36:AF36"/>
    <mergeCell ref="AG36:AH36"/>
    <mergeCell ref="AI36:AJ36"/>
    <mergeCell ref="AK36:AL36"/>
    <mergeCell ref="AM36:AN36"/>
    <mergeCell ref="O36:P36"/>
    <mergeCell ref="R36:T36"/>
    <mergeCell ref="U36:V36"/>
    <mergeCell ref="W36:X36"/>
    <mergeCell ref="Y36:Z36"/>
    <mergeCell ref="AA36:AB36"/>
    <mergeCell ref="BT35:BU35"/>
    <mergeCell ref="BV35:BX35"/>
    <mergeCell ref="BY35:BZ35"/>
    <mergeCell ref="CA35:CC35"/>
    <mergeCell ref="CD35:CG35"/>
    <mergeCell ref="B36:C36"/>
    <mergeCell ref="D36:G36"/>
    <mergeCell ref="I36:J36"/>
    <mergeCell ref="K36:L36"/>
    <mergeCell ref="M36:N36"/>
    <mergeCell ref="BD35:BE35"/>
    <mergeCell ref="BF35:BH35"/>
    <mergeCell ref="BI35:BJ35"/>
    <mergeCell ref="BK35:BL35"/>
    <mergeCell ref="BM35:BP35"/>
    <mergeCell ref="BR35:BS35"/>
    <mergeCell ref="AO35:AQ35"/>
    <mergeCell ref="AR35:AS35"/>
    <mergeCell ref="AT35:AU35"/>
    <mergeCell ref="AV35:AW35"/>
    <mergeCell ref="AX35:AY35"/>
    <mergeCell ref="BB35:BC35"/>
    <mergeCell ref="AC35:AD35"/>
    <mergeCell ref="AE35:AF35"/>
    <mergeCell ref="AG35:AH35"/>
    <mergeCell ref="AI35:AJ35"/>
    <mergeCell ref="AK35:AL35"/>
    <mergeCell ref="AM35:AN35"/>
    <mergeCell ref="O35:P35"/>
    <mergeCell ref="R35:T35"/>
    <mergeCell ref="U35:V35"/>
    <mergeCell ref="W35:X35"/>
    <mergeCell ref="Y35:Z35"/>
    <mergeCell ref="AA35:AB35"/>
    <mergeCell ref="BT34:BU34"/>
    <mergeCell ref="BV34:BX34"/>
    <mergeCell ref="BY34:BZ34"/>
    <mergeCell ref="CA34:CC34"/>
    <mergeCell ref="CD34:CG34"/>
    <mergeCell ref="B35:C35"/>
    <mergeCell ref="D35:G35"/>
    <mergeCell ref="I35:J35"/>
    <mergeCell ref="K35:L35"/>
    <mergeCell ref="M35:N35"/>
    <mergeCell ref="BD34:BE34"/>
    <mergeCell ref="BF34:BH34"/>
    <mergeCell ref="BI34:BJ34"/>
    <mergeCell ref="BK34:BL34"/>
    <mergeCell ref="BM34:BP34"/>
    <mergeCell ref="BR34:BS34"/>
    <mergeCell ref="AO34:AQ34"/>
    <mergeCell ref="AR34:AS34"/>
    <mergeCell ref="AT34:AU34"/>
    <mergeCell ref="AV34:AW34"/>
    <mergeCell ref="AX34:AY34"/>
    <mergeCell ref="BB34:BC34"/>
    <mergeCell ref="AC34:AD34"/>
    <mergeCell ref="AE34:AF34"/>
    <mergeCell ref="AG34:AH34"/>
    <mergeCell ref="AI34:AJ34"/>
    <mergeCell ref="AK34:AL34"/>
    <mergeCell ref="AM34:AN34"/>
    <mergeCell ref="O34:P34"/>
    <mergeCell ref="R34:T34"/>
    <mergeCell ref="U34:V34"/>
    <mergeCell ref="W34:X34"/>
    <mergeCell ref="Y34:Z34"/>
    <mergeCell ref="AA34:AB34"/>
    <mergeCell ref="BT33:BU33"/>
    <mergeCell ref="BV33:BX33"/>
    <mergeCell ref="BY33:BZ33"/>
    <mergeCell ref="CA33:CC33"/>
    <mergeCell ref="CD33:CG33"/>
    <mergeCell ref="B34:C34"/>
    <mergeCell ref="D34:G34"/>
    <mergeCell ref="I34:J34"/>
    <mergeCell ref="K34:L34"/>
    <mergeCell ref="M34:N34"/>
    <mergeCell ref="BD33:BE33"/>
    <mergeCell ref="BF33:BH33"/>
    <mergeCell ref="BI33:BJ33"/>
    <mergeCell ref="BK33:BL33"/>
    <mergeCell ref="BM33:BP33"/>
    <mergeCell ref="BR33:BS33"/>
    <mergeCell ref="AO33:AQ33"/>
    <mergeCell ref="AR33:AS33"/>
    <mergeCell ref="AT33:AU33"/>
    <mergeCell ref="AV33:AW33"/>
    <mergeCell ref="AX33:AY33"/>
    <mergeCell ref="BB33:BC33"/>
    <mergeCell ref="AC33:AD33"/>
    <mergeCell ref="AE33:AF33"/>
    <mergeCell ref="B33:C33"/>
    <mergeCell ref="D33:G33"/>
    <mergeCell ref="I33:J33"/>
    <mergeCell ref="K33:L33"/>
    <mergeCell ref="M33:N33"/>
    <mergeCell ref="BD32:BE32"/>
    <mergeCell ref="BF32:BH32"/>
    <mergeCell ref="BI32:BJ32"/>
    <mergeCell ref="BK32:BL32"/>
    <mergeCell ref="BM32:BP32"/>
    <mergeCell ref="BR32:BS32"/>
    <mergeCell ref="AO32:AQ32"/>
    <mergeCell ref="AR32:AS32"/>
    <mergeCell ref="AT32:AU32"/>
    <mergeCell ref="AV32:AW32"/>
    <mergeCell ref="AX32:AY32"/>
    <mergeCell ref="BB32:BC32"/>
    <mergeCell ref="AI32:AJ32"/>
    <mergeCell ref="AK32:AL32"/>
    <mergeCell ref="AM32:AN32"/>
    <mergeCell ref="O32:P32"/>
    <mergeCell ref="R32:T32"/>
    <mergeCell ref="U32:V32"/>
    <mergeCell ref="W32:X32"/>
    <mergeCell ref="Y32:Z32"/>
    <mergeCell ref="AA32:AB32"/>
    <mergeCell ref="B32:C32"/>
    <mergeCell ref="D32:G32"/>
    <mergeCell ref="I32:J32"/>
    <mergeCell ref="K32:L32"/>
    <mergeCell ref="M32:N32"/>
    <mergeCell ref="BY31:BZ31"/>
    <mergeCell ref="CA31:CC31"/>
    <mergeCell ref="CD31:CG31"/>
    <mergeCell ref="AG33:AH33"/>
    <mergeCell ref="AI33:AJ33"/>
    <mergeCell ref="AK33:AL33"/>
    <mergeCell ref="AM33:AN33"/>
    <mergeCell ref="O33:P33"/>
    <mergeCell ref="R33:T33"/>
    <mergeCell ref="U33:V33"/>
    <mergeCell ref="W33:X33"/>
    <mergeCell ref="Y33:Z33"/>
    <mergeCell ref="AA33:AB33"/>
    <mergeCell ref="BT32:BU32"/>
    <mergeCell ref="BV32:BX32"/>
    <mergeCell ref="BY32:BZ32"/>
    <mergeCell ref="CA32:CC32"/>
    <mergeCell ref="CD32:CG32"/>
    <mergeCell ref="BD31:BE31"/>
    <mergeCell ref="BF31:BH31"/>
    <mergeCell ref="BI31:BJ31"/>
    <mergeCell ref="BK31:BL31"/>
    <mergeCell ref="BM31:BP31"/>
    <mergeCell ref="BR31:BS31"/>
    <mergeCell ref="AO31:AQ31"/>
    <mergeCell ref="AR31:AS31"/>
    <mergeCell ref="AT31:AU31"/>
    <mergeCell ref="AV31:AW31"/>
    <mergeCell ref="AX31:AY31"/>
    <mergeCell ref="BB31:BC31"/>
    <mergeCell ref="AC31:AD31"/>
    <mergeCell ref="AE31:AF31"/>
    <mergeCell ref="AG31:AH31"/>
    <mergeCell ref="AI31:AJ31"/>
    <mergeCell ref="AK31:AL31"/>
    <mergeCell ref="AM31:AN31"/>
    <mergeCell ref="O31:P31"/>
    <mergeCell ref="R31:T31"/>
    <mergeCell ref="U31:V31"/>
    <mergeCell ref="W31:X31"/>
    <mergeCell ref="Y31:Z31"/>
    <mergeCell ref="AA31:AB31"/>
    <mergeCell ref="AC32:AD32"/>
    <mergeCell ref="AE32:AF32"/>
    <mergeCell ref="AG32:AH32"/>
    <mergeCell ref="BT30:BU30"/>
    <mergeCell ref="BV30:BX30"/>
    <mergeCell ref="BT31:BU31"/>
    <mergeCell ref="BV31:BX31"/>
    <mergeCell ref="BY30:BZ30"/>
    <mergeCell ref="CA30:CC30"/>
    <mergeCell ref="CD30:CG30"/>
    <mergeCell ref="B31:C31"/>
    <mergeCell ref="D31:G31"/>
    <mergeCell ref="I31:J31"/>
    <mergeCell ref="K31:L31"/>
    <mergeCell ref="M31:N31"/>
    <mergeCell ref="BD30:BE30"/>
    <mergeCell ref="BF30:BH30"/>
    <mergeCell ref="BI30:BJ30"/>
    <mergeCell ref="BK30:BL30"/>
    <mergeCell ref="BM30:BP30"/>
    <mergeCell ref="BR30:BS30"/>
    <mergeCell ref="AO30:AQ30"/>
    <mergeCell ref="AR30:AS30"/>
    <mergeCell ref="AT30:AU30"/>
    <mergeCell ref="AV30:AW30"/>
    <mergeCell ref="AX30:AY30"/>
    <mergeCell ref="BB30:BC30"/>
    <mergeCell ref="AC30:AD30"/>
    <mergeCell ref="AE30:AF30"/>
    <mergeCell ref="AG30:AH30"/>
    <mergeCell ref="AI30:AJ30"/>
    <mergeCell ref="AK30:AL30"/>
    <mergeCell ref="AM30:AN30"/>
    <mergeCell ref="O30:P30"/>
    <mergeCell ref="R30:T30"/>
    <mergeCell ref="U30:V30"/>
    <mergeCell ref="W30:X30"/>
    <mergeCell ref="Y30:Z30"/>
    <mergeCell ref="AA30:AB30"/>
    <mergeCell ref="BT29:BU29"/>
    <mergeCell ref="BV29:BX29"/>
    <mergeCell ref="BY29:BZ29"/>
    <mergeCell ref="CA29:CC29"/>
    <mergeCell ref="CD29:CG29"/>
    <mergeCell ref="B30:C30"/>
    <mergeCell ref="D30:G30"/>
    <mergeCell ref="I30:J30"/>
    <mergeCell ref="K30:L30"/>
    <mergeCell ref="M30:N30"/>
    <mergeCell ref="BD29:BE29"/>
    <mergeCell ref="BF29:BH29"/>
    <mergeCell ref="BI29:BJ29"/>
    <mergeCell ref="BK29:BL29"/>
    <mergeCell ref="BM29:BP29"/>
    <mergeCell ref="BR29:BS29"/>
    <mergeCell ref="AO29:AQ29"/>
    <mergeCell ref="AR29:AS29"/>
    <mergeCell ref="AT29:AU29"/>
    <mergeCell ref="AV29:AW29"/>
    <mergeCell ref="AX29:AY29"/>
    <mergeCell ref="BB29:BC29"/>
    <mergeCell ref="AC29:AD29"/>
    <mergeCell ref="AE29:AF29"/>
    <mergeCell ref="AG29:AH29"/>
    <mergeCell ref="AI29:AJ29"/>
    <mergeCell ref="AK29:AL29"/>
    <mergeCell ref="AM29:AN29"/>
    <mergeCell ref="O29:P29"/>
    <mergeCell ref="R29:T29"/>
    <mergeCell ref="U29:V29"/>
    <mergeCell ref="W29:X29"/>
    <mergeCell ref="Y29:Z29"/>
    <mergeCell ref="AA29:AB29"/>
    <mergeCell ref="BT28:BU28"/>
    <mergeCell ref="BV28:BX28"/>
    <mergeCell ref="BY28:BZ28"/>
    <mergeCell ref="CA28:CC28"/>
    <mergeCell ref="CD28:CG28"/>
    <mergeCell ref="B29:C29"/>
    <mergeCell ref="D29:G29"/>
    <mergeCell ref="I29:J29"/>
    <mergeCell ref="K29:L29"/>
    <mergeCell ref="M29:N29"/>
    <mergeCell ref="BD28:BE28"/>
    <mergeCell ref="BF28:BH28"/>
    <mergeCell ref="BI28:BJ28"/>
    <mergeCell ref="BK28:BL28"/>
    <mergeCell ref="BM28:BP28"/>
    <mergeCell ref="BR28:BS28"/>
    <mergeCell ref="AO28:AQ28"/>
    <mergeCell ref="AR28:AS28"/>
    <mergeCell ref="AT28:AU28"/>
    <mergeCell ref="AV28:AW28"/>
    <mergeCell ref="AX28:AY28"/>
    <mergeCell ref="BB28:BC28"/>
    <mergeCell ref="AC28:AD28"/>
    <mergeCell ref="AE28:AF28"/>
    <mergeCell ref="AG28:AH28"/>
    <mergeCell ref="AI28:AJ28"/>
    <mergeCell ref="AK28:AL28"/>
    <mergeCell ref="AM28:AN28"/>
    <mergeCell ref="O28:P28"/>
    <mergeCell ref="R28:T28"/>
    <mergeCell ref="U28:V28"/>
    <mergeCell ref="W28:X28"/>
    <mergeCell ref="Y28:Z28"/>
    <mergeCell ref="AA28:AB28"/>
    <mergeCell ref="BT27:BU27"/>
    <mergeCell ref="BV27:BX27"/>
    <mergeCell ref="BY27:BZ27"/>
    <mergeCell ref="CA27:CC27"/>
    <mergeCell ref="CD27:CG27"/>
    <mergeCell ref="B28:C28"/>
    <mergeCell ref="D28:G28"/>
    <mergeCell ref="I28:J28"/>
    <mergeCell ref="K28:L28"/>
    <mergeCell ref="M28:N28"/>
    <mergeCell ref="BD27:BE27"/>
    <mergeCell ref="BF27:BH27"/>
    <mergeCell ref="BI27:BJ27"/>
    <mergeCell ref="BK27:BL27"/>
    <mergeCell ref="BM27:BP27"/>
    <mergeCell ref="BR27:BS27"/>
    <mergeCell ref="AO27:AQ27"/>
    <mergeCell ref="AR27:AS27"/>
    <mergeCell ref="AT27:AU27"/>
    <mergeCell ref="AV27:AW27"/>
    <mergeCell ref="AX27:AY27"/>
    <mergeCell ref="BB27:BC27"/>
    <mergeCell ref="AC27:AD27"/>
    <mergeCell ref="AE27:AF27"/>
    <mergeCell ref="AG27:AH27"/>
    <mergeCell ref="AI27:AJ27"/>
    <mergeCell ref="AK27:AL27"/>
    <mergeCell ref="AM27:AN27"/>
    <mergeCell ref="O27:P27"/>
    <mergeCell ref="R27:T27"/>
    <mergeCell ref="U27:V27"/>
    <mergeCell ref="W27:X27"/>
    <mergeCell ref="Y27:Z27"/>
    <mergeCell ref="AA27:AB27"/>
    <mergeCell ref="BT26:BU26"/>
    <mergeCell ref="BV26:BX26"/>
    <mergeCell ref="BY26:BZ26"/>
    <mergeCell ref="CA26:CC26"/>
    <mergeCell ref="CD26:CG26"/>
    <mergeCell ref="B27:C27"/>
    <mergeCell ref="D27:G27"/>
    <mergeCell ref="I27:J27"/>
    <mergeCell ref="K27:L27"/>
    <mergeCell ref="M27:N27"/>
    <mergeCell ref="BD26:BE26"/>
    <mergeCell ref="BF26:BH26"/>
    <mergeCell ref="BI26:BJ26"/>
    <mergeCell ref="BK26:BL26"/>
    <mergeCell ref="BM26:BP26"/>
    <mergeCell ref="BR26:BS26"/>
    <mergeCell ref="AO26:AQ26"/>
    <mergeCell ref="AR26:AS26"/>
    <mergeCell ref="AT26:AU26"/>
    <mergeCell ref="AV26:AW26"/>
    <mergeCell ref="AX26:AY26"/>
    <mergeCell ref="BB26:BC26"/>
    <mergeCell ref="AC26:AD26"/>
    <mergeCell ref="AE26:AF26"/>
    <mergeCell ref="B26:C26"/>
    <mergeCell ref="D26:G26"/>
    <mergeCell ref="I26:J26"/>
    <mergeCell ref="K26:L26"/>
    <mergeCell ref="M26:N26"/>
    <mergeCell ref="BD25:BE25"/>
    <mergeCell ref="BF25:BH25"/>
    <mergeCell ref="BI25:BJ25"/>
    <mergeCell ref="BK25:BL25"/>
    <mergeCell ref="BM25:BP25"/>
    <mergeCell ref="BR25:BS25"/>
    <mergeCell ref="AO25:AQ25"/>
    <mergeCell ref="AR25:AS25"/>
    <mergeCell ref="AT25:AU25"/>
    <mergeCell ref="AV25:AW25"/>
    <mergeCell ref="AX25:AY25"/>
    <mergeCell ref="BB25:BC25"/>
    <mergeCell ref="AI25:AJ25"/>
    <mergeCell ref="AK25:AL25"/>
    <mergeCell ref="AM25:AN25"/>
    <mergeCell ref="O25:P25"/>
    <mergeCell ref="R25:T25"/>
    <mergeCell ref="U25:V25"/>
    <mergeCell ref="W25:X25"/>
    <mergeCell ref="Y25:Z25"/>
    <mergeCell ref="AA25:AB25"/>
    <mergeCell ref="BT24:BU24"/>
    <mergeCell ref="BV24:BX24"/>
    <mergeCell ref="BY24:BZ24"/>
    <mergeCell ref="CA24:CC24"/>
    <mergeCell ref="CD24:CG24"/>
    <mergeCell ref="AG26:AH26"/>
    <mergeCell ref="AI26:AJ26"/>
    <mergeCell ref="AK26:AL26"/>
    <mergeCell ref="AM26:AN26"/>
    <mergeCell ref="O26:P26"/>
    <mergeCell ref="R26:T26"/>
    <mergeCell ref="U26:V26"/>
    <mergeCell ref="W26:X26"/>
    <mergeCell ref="Y26:Z26"/>
    <mergeCell ref="AA26:AB26"/>
    <mergeCell ref="BT25:BU25"/>
    <mergeCell ref="BV25:BX25"/>
    <mergeCell ref="BY25:BZ25"/>
    <mergeCell ref="CA25:CC25"/>
    <mergeCell ref="CD25:CG25"/>
    <mergeCell ref="B25:C25"/>
    <mergeCell ref="D25:G25"/>
    <mergeCell ref="I25:J25"/>
    <mergeCell ref="K25:L25"/>
    <mergeCell ref="M25:N25"/>
    <mergeCell ref="BD24:BE24"/>
    <mergeCell ref="BF24:BH24"/>
    <mergeCell ref="BI24:BJ24"/>
    <mergeCell ref="BK24:BL24"/>
    <mergeCell ref="BM24:BP24"/>
    <mergeCell ref="BR24:BS24"/>
    <mergeCell ref="AO24:AQ24"/>
    <mergeCell ref="AR24:AS24"/>
    <mergeCell ref="AT24:AU24"/>
    <mergeCell ref="AV24:AW24"/>
    <mergeCell ref="AX24:AY24"/>
    <mergeCell ref="BB24:BC24"/>
    <mergeCell ref="AC24:AD24"/>
    <mergeCell ref="AE24:AF24"/>
    <mergeCell ref="AG24:AH24"/>
    <mergeCell ref="AI24:AJ24"/>
    <mergeCell ref="AK24:AL24"/>
    <mergeCell ref="AM24:AN24"/>
    <mergeCell ref="O24:P24"/>
    <mergeCell ref="R24:T24"/>
    <mergeCell ref="U24:V24"/>
    <mergeCell ref="W24:X24"/>
    <mergeCell ref="Y24:Z24"/>
    <mergeCell ref="AA24:AB24"/>
    <mergeCell ref="AC25:AD25"/>
    <mergeCell ref="AE25:AF25"/>
    <mergeCell ref="AG25:AH25"/>
    <mergeCell ref="BT23:BU23"/>
    <mergeCell ref="BV23:BX23"/>
    <mergeCell ref="BY23:BZ23"/>
    <mergeCell ref="CA23:CC23"/>
    <mergeCell ref="CD23:CG23"/>
    <mergeCell ref="B24:C24"/>
    <mergeCell ref="D24:G24"/>
    <mergeCell ref="I24:J24"/>
    <mergeCell ref="K24:L24"/>
    <mergeCell ref="M24:N24"/>
    <mergeCell ref="BD23:BE23"/>
    <mergeCell ref="BF23:BH23"/>
    <mergeCell ref="BI23:BJ23"/>
    <mergeCell ref="BK23:BL23"/>
    <mergeCell ref="BM23:BP23"/>
    <mergeCell ref="BR23:BS23"/>
    <mergeCell ref="AO23:AQ23"/>
    <mergeCell ref="AR23:AS23"/>
    <mergeCell ref="AT23:AU23"/>
    <mergeCell ref="AV23:AW23"/>
    <mergeCell ref="AX23:AY23"/>
    <mergeCell ref="BB23:BC23"/>
    <mergeCell ref="AC23:AD23"/>
    <mergeCell ref="AE23:AF23"/>
    <mergeCell ref="AG23:AH23"/>
    <mergeCell ref="AI23:AJ23"/>
    <mergeCell ref="AK23:AL23"/>
    <mergeCell ref="AM23:AN23"/>
    <mergeCell ref="O23:P23"/>
    <mergeCell ref="R23:T23"/>
    <mergeCell ref="U23:V23"/>
    <mergeCell ref="W23:X23"/>
    <mergeCell ref="Y23:Z23"/>
    <mergeCell ref="AA23:AB23"/>
    <mergeCell ref="BT22:BU22"/>
    <mergeCell ref="BV22:BX22"/>
    <mergeCell ref="BY22:BZ22"/>
    <mergeCell ref="CA22:CC22"/>
    <mergeCell ref="CD22:CG22"/>
    <mergeCell ref="B23:C23"/>
    <mergeCell ref="D23:G23"/>
    <mergeCell ref="I23:J23"/>
    <mergeCell ref="K23:L23"/>
    <mergeCell ref="M23:N23"/>
    <mergeCell ref="BD22:BE22"/>
    <mergeCell ref="BF22:BH22"/>
    <mergeCell ref="BI22:BJ22"/>
    <mergeCell ref="BK22:BL22"/>
    <mergeCell ref="BM22:BP22"/>
    <mergeCell ref="BR22:BS22"/>
    <mergeCell ref="AO22:AQ22"/>
    <mergeCell ref="AR22:AS22"/>
    <mergeCell ref="AT22:AU22"/>
    <mergeCell ref="AV22:AW22"/>
    <mergeCell ref="AX22:AY22"/>
    <mergeCell ref="BB22:BC22"/>
    <mergeCell ref="AC22:AD22"/>
    <mergeCell ref="AE22:AF22"/>
    <mergeCell ref="AG22:AH22"/>
    <mergeCell ref="AI22:AJ22"/>
    <mergeCell ref="AK22:AL22"/>
    <mergeCell ref="AM22:AN22"/>
    <mergeCell ref="O22:P22"/>
    <mergeCell ref="R22:T22"/>
    <mergeCell ref="U22:V22"/>
    <mergeCell ref="W22:X22"/>
    <mergeCell ref="Y22:Z22"/>
    <mergeCell ref="AA22:AB22"/>
    <mergeCell ref="BT21:BU21"/>
    <mergeCell ref="BV21:BX21"/>
    <mergeCell ref="BY21:BZ21"/>
    <mergeCell ref="CA21:CC21"/>
    <mergeCell ref="CD21:CG21"/>
    <mergeCell ref="B22:C22"/>
    <mergeCell ref="D22:G22"/>
    <mergeCell ref="I22:J22"/>
    <mergeCell ref="K22:L22"/>
    <mergeCell ref="M22:N22"/>
    <mergeCell ref="BD21:BE21"/>
    <mergeCell ref="BF21:BH21"/>
    <mergeCell ref="BI21:BJ21"/>
    <mergeCell ref="BK21:BL21"/>
    <mergeCell ref="BM21:BP21"/>
    <mergeCell ref="BR21:BS21"/>
    <mergeCell ref="AO21:AQ21"/>
    <mergeCell ref="AR21:AS21"/>
    <mergeCell ref="AT21:AU21"/>
    <mergeCell ref="AV21:AW21"/>
    <mergeCell ref="AX21:AY21"/>
    <mergeCell ref="BB21:BC21"/>
    <mergeCell ref="AC21:AD21"/>
    <mergeCell ref="AE21:AF21"/>
    <mergeCell ref="AG21:AH21"/>
    <mergeCell ref="AI21:AJ21"/>
    <mergeCell ref="AK21:AL21"/>
    <mergeCell ref="AM21:AN21"/>
    <mergeCell ref="O21:P21"/>
    <mergeCell ref="R21:T21"/>
    <mergeCell ref="U21:V21"/>
    <mergeCell ref="W21:X21"/>
    <mergeCell ref="Y21:Z21"/>
    <mergeCell ref="AA21:AB21"/>
    <mergeCell ref="BT20:BU20"/>
    <mergeCell ref="BV20:BX20"/>
    <mergeCell ref="BY20:BZ20"/>
    <mergeCell ref="CA20:CC20"/>
    <mergeCell ref="CD20:CG20"/>
    <mergeCell ref="B21:C21"/>
    <mergeCell ref="D21:G21"/>
    <mergeCell ref="I21:J21"/>
    <mergeCell ref="K21:L21"/>
    <mergeCell ref="M21:N21"/>
    <mergeCell ref="BD20:BE20"/>
    <mergeCell ref="BF20:BH20"/>
    <mergeCell ref="BI20:BJ20"/>
    <mergeCell ref="BK20:BL20"/>
    <mergeCell ref="BM20:BP20"/>
    <mergeCell ref="BR20:BS20"/>
    <mergeCell ref="AO20:AQ20"/>
    <mergeCell ref="AR20:AS20"/>
    <mergeCell ref="AT20:AU20"/>
    <mergeCell ref="AV20:AW20"/>
    <mergeCell ref="AX20:AY20"/>
    <mergeCell ref="BB20:BC20"/>
    <mergeCell ref="AC20:AD20"/>
    <mergeCell ref="AE20:AF20"/>
    <mergeCell ref="AG20:AH20"/>
    <mergeCell ref="AI20:AJ20"/>
    <mergeCell ref="AK20:AL20"/>
    <mergeCell ref="AM20:AN20"/>
    <mergeCell ref="O20:P20"/>
    <mergeCell ref="R20:T20"/>
    <mergeCell ref="U20:V20"/>
    <mergeCell ref="W20:X20"/>
    <mergeCell ref="Y20:Z20"/>
    <mergeCell ref="AA20:AB20"/>
    <mergeCell ref="BT19:BU19"/>
    <mergeCell ref="BV19:BX19"/>
    <mergeCell ref="BY19:BZ19"/>
    <mergeCell ref="CA19:CC19"/>
    <mergeCell ref="CD19:CG19"/>
    <mergeCell ref="B20:C20"/>
    <mergeCell ref="D20:G20"/>
    <mergeCell ref="I20:J20"/>
    <mergeCell ref="K20:L20"/>
    <mergeCell ref="M20:N20"/>
    <mergeCell ref="BD19:BE19"/>
    <mergeCell ref="BF19:BH19"/>
    <mergeCell ref="BI19:BJ19"/>
    <mergeCell ref="BK19:BL19"/>
    <mergeCell ref="BM19:BP19"/>
    <mergeCell ref="BR19:BS19"/>
    <mergeCell ref="AO19:AQ19"/>
    <mergeCell ref="AR19:AS19"/>
    <mergeCell ref="AT19:AU19"/>
    <mergeCell ref="AV19:AW19"/>
    <mergeCell ref="AX19:AY19"/>
    <mergeCell ref="BB19:BC19"/>
    <mergeCell ref="AC19:AD19"/>
    <mergeCell ref="AE19:AF19"/>
    <mergeCell ref="B19:C19"/>
    <mergeCell ref="D19:G19"/>
    <mergeCell ref="I19:J19"/>
    <mergeCell ref="K19:L19"/>
    <mergeCell ref="M19:N19"/>
    <mergeCell ref="BD18:BE18"/>
    <mergeCell ref="BF18:BH18"/>
    <mergeCell ref="BI18:BJ18"/>
    <mergeCell ref="BK18:BL18"/>
    <mergeCell ref="BM18:BP18"/>
    <mergeCell ref="BR18:BS18"/>
    <mergeCell ref="AO18:AQ18"/>
    <mergeCell ref="AR18:AS18"/>
    <mergeCell ref="AT18:AU18"/>
    <mergeCell ref="AV18:AW18"/>
    <mergeCell ref="AX18:AY18"/>
    <mergeCell ref="BB18:BC18"/>
    <mergeCell ref="AI18:AJ18"/>
    <mergeCell ref="AK18:AL18"/>
    <mergeCell ref="AM18:AN18"/>
    <mergeCell ref="O18:P18"/>
    <mergeCell ref="R18:T18"/>
    <mergeCell ref="U18:V18"/>
    <mergeCell ref="W18:X18"/>
    <mergeCell ref="Y18:Z18"/>
    <mergeCell ref="AA18:AB18"/>
    <mergeCell ref="B18:C18"/>
    <mergeCell ref="D18:G18"/>
    <mergeCell ref="I18:J18"/>
    <mergeCell ref="K18:L18"/>
    <mergeCell ref="M18:N18"/>
    <mergeCell ref="BY17:BZ17"/>
    <mergeCell ref="CA17:CC17"/>
    <mergeCell ref="CD17:CG17"/>
    <mergeCell ref="AG19:AH19"/>
    <mergeCell ref="AI19:AJ19"/>
    <mergeCell ref="AK19:AL19"/>
    <mergeCell ref="AM19:AN19"/>
    <mergeCell ref="O19:P19"/>
    <mergeCell ref="R19:T19"/>
    <mergeCell ref="U19:V19"/>
    <mergeCell ref="W19:X19"/>
    <mergeCell ref="Y19:Z19"/>
    <mergeCell ref="AA19:AB19"/>
    <mergeCell ref="BT18:BU18"/>
    <mergeCell ref="BV18:BX18"/>
    <mergeCell ref="BY18:BZ18"/>
    <mergeCell ref="CA18:CC18"/>
    <mergeCell ref="CD18:CG18"/>
    <mergeCell ref="BD17:BE17"/>
    <mergeCell ref="BF17:BH17"/>
    <mergeCell ref="BI17:BJ17"/>
    <mergeCell ref="BK17:BL17"/>
    <mergeCell ref="BM17:BP17"/>
    <mergeCell ref="BR17:BS17"/>
    <mergeCell ref="AO17:AQ17"/>
    <mergeCell ref="AR17:AS17"/>
    <mergeCell ref="AT17:AU17"/>
    <mergeCell ref="AV17:AW17"/>
    <mergeCell ref="AX17:AY17"/>
    <mergeCell ref="BB17:BC17"/>
    <mergeCell ref="AC17:AD17"/>
    <mergeCell ref="AE17:AF17"/>
    <mergeCell ref="AG17:AH17"/>
    <mergeCell ref="AI17:AJ17"/>
    <mergeCell ref="AK17:AL17"/>
    <mergeCell ref="AM17:AN17"/>
    <mergeCell ref="O17:P17"/>
    <mergeCell ref="R17:T17"/>
    <mergeCell ref="U17:V17"/>
    <mergeCell ref="W17:X17"/>
    <mergeCell ref="Y17:Z17"/>
    <mergeCell ref="AA17:AB17"/>
    <mergeCell ref="AC18:AD18"/>
    <mergeCell ref="AE18:AF18"/>
    <mergeCell ref="AG18:AH18"/>
    <mergeCell ref="BT16:BU16"/>
    <mergeCell ref="BV16:BX16"/>
    <mergeCell ref="BT17:BU17"/>
    <mergeCell ref="BV17:BX17"/>
    <mergeCell ref="BY16:BZ16"/>
    <mergeCell ref="CA16:CC16"/>
    <mergeCell ref="CD16:CG16"/>
    <mergeCell ref="B17:C17"/>
    <mergeCell ref="D17:G17"/>
    <mergeCell ref="I17:J17"/>
    <mergeCell ref="K17:L17"/>
    <mergeCell ref="M17:N17"/>
    <mergeCell ref="BD16:BE16"/>
    <mergeCell ref="BF16:BH16"/>
    <mergeCell ref="BI16:BJ16"/>
    <mergeCell ref="BK16:BL16"/>
    <mergeCell ref="BM16:BP16"/>
    <mergeCell ref="BR16:BS16"/>
    <mergeCell ref="AO16:AQ16"/>
    <mergeCell ref="AR16:AS16"/>
    <mergeCell ref="AT16:AU16"/>
    <mergeCell ref="AV16:AW16"/>
    <mergeCell ref="AX16:AY16"/>
    <mergeCell ref="BB16:BC16"/>
    <mergeCell ref="AC16:AD16"/>
    <mergeCell ref="AE16:AF16"/>
    <mergeCell ref="AG16:AH16"/>
    <mergeCell ref="AI16:AJ16"/>
    <mergeCell ref="AK16:AL16"/>
    <mergeCell ref="AM16:AN16"/>
    <mergeCell ref="O16:P16"/>
    <mergeCell ref="R16:T16"/>
    <mergeCell ref="U16:V16"/>
    <mergeCell ref="W16:X16"/>
    <mergeCell ref="Y16:Z16"/>
    <mergeCell ref="AA16:AB16"/>
    <mergeCell ref="BT15:BU15"/>
    <mergeCell ref="BV15:BX15"/>
    <mergeCell ref="BY15:BZ15"/>
    <mergeCell ref="CA15:CC15"/>
    <mergeCell ref="CD15:CG15"/>
    <mergeCell ref="B16:C16"/>
    <mergeCell ref="D16:G16"/>
    <mergeCell ref="I16:J16"/>
    <mergeCell ref="K16:L16"/>
    <mergeCell ref="M16:N16"/>
    <mergeCell ref="BD15:BE15"/>
    <mergeCell ref="BF15:BH15"/>
    <mergeCell ref="BI15:BJ15"/>
    <mergeCell ref="BK15:BL15"/>
    <mergeCell ref="BM15:BP15"/>
    <mergeCell ref="BR15:BS15"/>
    <mergeCell ref="AO15:AQ15"/>
    <mergeCell ref="AR15:AS15"/>
    <mergeCell ref="AT15:AU15"/>
    <mergeCell ref="AV15:AW15"/>
    <mergeCell ref="AX15:AY15"/>
    <mergeCell ref="BB15:BC15"/>
    <mergeCell ref="AC15:AD15"/>
    <mergeCell ref="AE15:AF15"/>
    <mergeCell ref="AG15:AH15"/>
    <mergeCell ref="AI15:AJ15"/>
    <mergeCell ref="AK15:AL15"/>
    <mergeCell ref="AM15:AN15"/>
    <mergeCell ref="O15:P15"/>
    <mergeCell ref="R15:T15"/>
    <mergeCell ref="U15:V15"/>
    <mergeCell ref="W15:X15"/>
    <mergeCell ref="Y15:Z15"/>
    <mergeCell ref="AA15:AB15"/>
    <mergeCell ref="BT14:BU14"/>
    <mergeCell ref="BV14:BX14"/>
    <mergeCell ref="BY14:BZ14"/>
    <mergeCell ref="CA14:CC14"/>
    <mergeCell ref="CD14:CG14"/>
    <mergeCell ref="B15:C15"/>
    <mergeCell ref="D15:G15"/>
    <mergeCell ref="I15:J15"/>
    <mergeCell ref="K15:L15"/>
    <mergeCell ref="M15:N15"/>
    <mergeCell ref="BD14:BE14"/>
    <mergeCell ref="BF14:BH14"/>
    <mergeCell ref="BI14:BJ14"/>
    <mergeCell ref="BK14:BL14"/>
    <mergeCell ref="BM14:BP14"/>
    <mergeCell ref="BR14:BS14"/>
    <mergeCell ref="AO14:AQ14"/>
    <mergeCell ref="AR14:AS14"/>
    <mergeCell ref="AT14:AU14"/>
    <mergeCell ref="AV14:AW14"/>
    <mergeCell ref="AX14:AY14"/>
    <mergeCell ref="BB14:BC14"/>
    <mergeCell ref="AC14:AD14"/>
    <mergeCell ref="AE14:AF14"/>
    <mergeCell ref="AG14:AH14"/>
    <mergeCell ref="AI14:AJ14"/>
    <mergeCell ref="AK14:AL14"/>
    <mergeCell ref="AM14:AN14"/>
    <mergeCell ref="O14:P14"/>
    <mergeCell ref="R14:T14"/>
    <mergeCell ref="U14:V14"/>
    <mergeCell ref="W14:X14"/>
    <mergeCell ref="Y14:Z14"/>
    <mergeCell ref="AA14:AB14"/>
    <mergeCell ref="BT13:BU13"/>
    <mergeCell ref="BV13:BX13"/>
    <mergeCell ref="BY13:BZ13"/>
    <mergeCell ref="CA13:CC13"/>
    <mergeCell ref="CD13:CG13"/>
    <mergeCell ref="B14:C14"/>
    <mergeCell ref="D14:G14"/>
    <mergeCell ref="I14:J14"/>
    <mergeCell ref="K14:L14"/>
    <mergeCell ref="M14:N14"/>
    <mergeCell ref="BD13:BE13"/>
    <mergeCell ref="BF13:BH13"/>
    <mergeCell ref="BI13:BJ13"/>
    <mergeCell ref="BK13:BL13"/>
    <mergeCell ref="BM13:BP13"/>
    <mergeCell ref="BR13:BS13"/>
    <mergeCell ref="AO13:AQ13"/>
    <mergeCell ref="AR13:AS13"/>
    <mergeCell ref="AT13:AU13"/>
    <mergeCell ref="AV13:AW13"/>
    <mergeCell ref="AX13:AY13"/>
    <mergeCell ref="BB13:BC13"/>
    <mergeCell ref="AC13:AD13"/>
    <mergeCell ref="AE13:AF13"/>
    <mergeCell ref="AG13:AH13"/>
    <mergeCell ref="AI13:AJ13"/>
    <mergeCell ref="AK13:AL13"/>
    <mergeCell ref="AM13:AN13"/>
    <mergeCell ref="O13:P13"/>
    <mergeCell ref="R13:T13"/>
    <mergeCell ref="U13:V13"/>
    <mergeCell ref="W13:X13"/>
    <mergeCell ref="Y13:Z13"/>
    <mergeCell ref="AA13:AB13"/>
    <mergeCell ref="BT12:BU12"/>
    <mergeCell ref="BV12:BX12"/>
    <mergeCell ref="BY12:BZ12"/>
    <mergeCell ref="CA12:CC12"/>
    <mergeCell ref="CD12:CG12"/>
    <mergeCell ref="B13:C13"/>
    <mergeCell ref="D13:G13"/>
    <mergeCell ref="I13:J13"/>
    <mergeCell ref="K13:L13"/>
    <mergeCell ref="M13:N13"/>
    <mergeCell ref="BD12:BE12"/>
    <mergeCell ref="BF12:BH12"/>
    <mergeCell ref="BI12:BJ12"/>
    <mergeCell ref="BK12:BL12"/>
    <mergeCell ref="BM12:BP12"/>
    <mergeCell ref="BR12:BS12"/>
    <mergeCell ref="AO12:AQ12"/>
    <mergeCell ref="AR12:AS12"/>
    <mergeCell ref="AT12:AU12"/>
    <mergeCell ref="AV12:AW12"/>
    <mergeCell ref="AX12:AY12"/>
    <mergeCell ref="BB12:BC12"/>
    <mergeCell ref="AC12:AD12"/>
    <mergeCell ref="AE12:AF12"/>
    <mergeCell ref="B12:C12"/>
    <mergeCell ref="D12:G12"/>
    <mergeCell ref="I12:J12"/>
    <mergeCell ref="K12:L12"/>
    <mergeCell ref="M12:N12"/>
    <mergeCell ref="BD11:BE11"/>
    <mergeCell ref="BF11:BH11"/>
    <mergeCell ref="BI11:BJ11"/>
    <mergeCell ref="BK11:BL11"/>
    <mergeCell ref="BM11:BP11"/>
    <mergeCell ref="BR11:BS11"/>
    <mergeCell ref="AO11:AQ11"/>
    <mergeCell ref="AR11:AS11"/>
    <mergeCell ref="AT11:AU11"/>
    <mergeCell ref="AV11:AW11"/>
    <mergeCell ref="AX11:AY11"/>
    <mergeCell ref="BB11:BC11"/>
    <mergeCell ref="AI11:AJ11"/>
    <mergeCell ref="AK11:AL11"/>
    <mergeCell ref="AM11:AN11"/>
    <mergeCell ref="O11:P11"/>
    <mergeCell ref="R11:T11"/>
    <mergeCell ref="U11:V11"/>
    <mergeCell ref="W11:X11"/>
    <mergeCell ref="Y11:Z11"/>
    <mergeCell ref="AA11:AB11"/>
    <mergeCell ref="AG11:AH11"/>
    <mergeCell ref="BV10:BX10"/>
    <mergeCell ref="BY10:BZ10"/>
    <mergeCell ref="CA10:CC10"/>
    <mergeCell ref="CD10:CG10"/>
    <mergeCell ref="AG12:AH12"/>
    <mergeCell ref="AI12:AJ12"/>
    <mergeCell ref="AK12:AL12"/>
    <mergeCell ref="AM12:AN12"/>
    <mergeCell ref="O12:P12"/>
    <mergeCell ref="R12:T12"/>
    <mergeCell ref="U12:V12"/>
    <mergeCell ref="W12:X12"/>
    <mergeCell ref="Y12:Z12"/>
    <mergeCell ref="AA12:AB12"/>
    <mergeCell ref="BT11:BU11"/>
    <mergeCell ref="BV11:BX11"/>
    <mergeCell ref="BY11:BZ11"/>
    <mergeCell ref="CA11:CC11"/>
    <mergeCell ref="CD11:CG11"/>
    <mergeCell ref="BT10:BU10"/>
    <mergeCell ref="B11:C11"/>
    <mergeCell ref="D11:G11"/>
    <mergeCell ref="I11:J11"/>
    <mergeCell ref="K11:L11"/>
    <mergeCell ref="M11:N11"/>
    <mergeCell ref="BD10:BE10"/>
    <mergeCell ref="BF10:BH10"/>
    <mergeCell ref="BI10:BJ10"/>
    <mergeCell ref="BK10:BL10"/>
    <mergeCell ref="BM10:BP10"/>
    <mergeCell ref="BR10:BS10"/>
    <mergeCell ref="AO10:AQ10"/>
    <mergeCell ref="AR10:AS10"/>
    <mergeCell ref="AT10:AU10"/>
    <mergeCell ref="AV10:AW10"/>
    <mergeCell ref="AX10:AY10"/>
    <mergeCell ref="BB10:BC10"/>
    <mergeCell ref="AC10:AD10"/>
    <mergeCell ref="AE10:AF10"/>
    <mergeCell ref="AG10:AH10"/>
    <mergeCell ref="AI10:AJ10"/>
    <mergeCell ref="AK10:AL10"/>
    <mergeCell ref="AM10:AN10"/>
    <mergeCell ref="O10:P10"/>
    <mergeCell ref="R10:T10"/>
    <mergeCell ref="U10:V10"/>
    <mergeCell ref="W10:X10"/>
    <mergeCell ref="Y10:Z10"/>
    <mergeCell ref="AA10:AB10"/>
    <mergeCell ref="AC11:AD11"/>
    <mergeCell ref="AE11:AF11"/>
    <mergeCell ref="BT9:BU9"/>
    <mergeCell ref="BV9:BX9"/>
    <mergeCell ref="BY9:BZ9"/>
    <mergeCell ref="CA9:CC9"/>
    <mergeCell ref="CD9:CG9"/>
    <mergeCell ref="B10:C10"/>
    <mergeCell ref="D10:G10"/>
    <mergeCell ref="I10:J10"/>
    <mergeCell ref="K10:L10"/>
    <mergeCell ref="M10:N10"/>
    <mergeCell ref="BD9:BE9"/>
    <mergeCell ref="BF9:BH9"/>
    <mergeCell ref="BI9:BJ9"/>
    <mergeCell ref="BK9:BL9"/>
    <mergeCell ref="BM9:BP9"/>
    <mergeCell ref="BR9:BS9"/>
    <mergeCell ref="AO9:AQ9"/>
    <mergeCell ref="AR9:AS9"/>
    <mergeCell ref="AT9:AU9"/>
    <mergeCell ref="AV9:AW9"/>
    <mergeCell ref="AX9:AY9"/>
    <mergeCell ref="BB9:BC9"/>
    <mergeCell ref="AC9:AD9"/>
    <mergeCell ref="AE9:AF9"/>
    <mergeCell ref="AG9:AH9"/>
    <mergeCell ref="AI9:AJ9"/>
    <mergeCell ref="AK9:AL9"/>
    <mergeCell ref="AM9:AN9"/>
    <mergeCell ref="O9:P9"/>
    <mergeCell ref="R9:T9"/>
    <mergeCell ref="U9:V9"/>
    <mergeCell ref="W9:X9"/>
    <mergeCell ref="CD8:CG8"/>
    <mergeCell ref="U8:V8"/>
    <mergeCell ref="W8:X8"/>
    <mergeCell ref="Y8:Z8"/>
    <mergeCell ref="AA8:AB8"/>
    <mergeCell ref="Y9:Z9"/>
    <mergeCell ref="AA9:AB9"/>
    <mergeCell ref="BT8:BU8"/>
    <mergeCell ref="BV8:BX8"/>
    <mergeCell ref="BY8:BZ8"/>
    <mergeCell ref="CA8:CC8"/>
    <mergeCell ref="B9:C9"/>
    <mergeCell ref="D9:G9"/>
    <mergeCell ref="I9:J9"/>
    <mergeCell ref="K9:L9"/>
    <mergeCell ref="M9:N9"/>
    <mergeCell ref="BD8:BE8"/>
    <mergeCell ref="BF8:BH8"/>
    <mergeCell ref="BI8:BJ8"/>
    <mergeCell ref="BK8:BL8"/>
    <mergeCell ref="BM8:BP8"/>
    <mergeCell ref="BR8:BS8"/>
    <mergeCell ref="AO8:AQ8"/>
    <mergeCell ref="AR8:AS8"/>
    <mergeCell ref="AT8:AU8"/>
    <mergeCell ref="AV8:AW8"/>
    <mergeCell ref="AX8:AY8"/>
    <mergeCell ref="BB8:BC8"/>
    <mergeCell ref="AC8:AD8"/>
    <mergeCell ref="AE8:AF8"/>
    <mergeCell ref="AG8:AH8"/>
    <mergeCell ref="AI8:AJ8"/>
    <mergeCell ref="B8:C8"/>
    <mergeCell ref="D8:G8"/>
    <mergeCell ref="I8:J8"/>
    <mergeCell ref="K8:L8"/>
    <mergeCell ref="M8:N8"/>
    <mergeCell ref="BD7:BE7"/>
    <mergeCell ref="BF7:BH7"/>
    <mergeCell ref="BI7:BJ7"/>
    <mergeCell ref="BK7:BL7"/>
    <mergeCell ref="BM7:BP7"/>
    <mergeCell ref="BR7:BS7"/>
    <mergeCell ref="AO7:AQ7"/>
    <mergeCell ref="AR7:AS7"/>
    <mergeCell ref="AT7:AU7"/>
    <mergeCell ref="AV7:AW7"/>
    <mergeCell ref="AX7:AY7"/>
    <mergeCell ref="BB7:BC7"/>
    <mergeCell ref="AC7:AD7"/>
    <mergeCell ref="AE7:AF7"/>
    <mergeCell ref="AG7:AH7"/>
    <mergeCell ref="AI7:AJ7"/>
    <mergeCell ref="AK7:AL7"/>
    <mergeCell ref="AM7:AN7"/>
    <mergeCell ref="AK8:AL8"/>
    <mergeCell ref="AM8:AN8"/>
    <mergeCell ref="O8:P8"/>
    <mergeCell ref="R8:T8"/>
    <mergeCell ref="A2:CI2"/>
    <mergeCell ref="A3:CI3"/>
    <mergeCell ref="A4:CI4"/>
    <mergeCell ref="A1:CI1"/>
    <mergeCell ref="CH6:CI7"/>
    <mergeCell ref="BV6:CG6"/>
    <mergeCell ref="I7:J7"/>
    <mergeCell ref="K7:L7"/>
    <mergeCell ref="M7:N7"/>
    <mergeCell ref="O7:P7"/>
    <mergeCell ref="R7:T7"/>
    <mergeCell ref="U7:V7"/>
    <mergeCell ref="W7:X7"/>
    <mergeCell ref="Y7:Z7"/>
    <mergeCell ref="AA7:AB7"/>
    <mergeCell ref="Y6:AF6"/>
    <mergeCell ref="AG6:AN6"/>
    <mergeCell ref="AO6:AW6"/>
    <mergeCell ref="AX6:BC6"/>
    <mergeCell ref="BD6:BL6"/>
    <mergeCell ref="BM6:BU6"/>
    <mergeCell ref="A6:A7"/>
    <mergeCell ref="B6:C7"/>
    <mergeCell ref="D6:G7"/>
    <mergeCell ref="H6:H7"/>
    <mergeCell ref="I6:P6"/>
    <mergeCell ref="Q6:X6"/>
    <mergeCell ref="BT7:BU7"/>
    <mergeCell ref="BV7:BX7"/>
    <mergeCell ref="BY7:BZ7"/>
    <mergeCell ref="CA7:CC7"/>
    <mergeCell ref="CD7:CG7"/>
  </mergeCells>
  <pageMargins left="0.7" right="0.7" top="0.75" bottom="0.75" header="0.3" footer="0.3"/>
  <pageSetup paperSize="9" scale="44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14" workbookViewId="0">
      <selection activeCell="D5" sqref="D5"/>
    </sheetView>
  </sheetViews>
  <sheetFormatPr defaultRowHeight="15"/>
  <cols>
    <col min="1" max="1" width="5.1640625" style="492" customWidth="1"/>
    <col min="2" max="2" width="82" style="492" customWidth="1"/>
    <col min="3" max="16384" width="9.33203125" style="492"/>
  </cols>
  <sheetData>
    <row r="1" spans="1:2" ht="21">
      <c r="A1" s="1663" t="s">
        <v>560</v>
      </c>
      <c r="B1" s="1663"/>
    </row>
    <row r="2" spans="1:2" ht="21">
      <c r="A2" s="1663" t="s">
        <v>876</v>
      </c>
      <c r="B2" s="1663"/>
    </row>
    <row r="3" spans="1:2" ht="21">
      <c r="A3" s="1664" t="s">
        <v>877</v>
      </c>
      <c r="B3" s="1664"/>
    </row>
    <row r="4" spans="1:2" ht="18.75">
      <c r="A4" s="517" t="s">
        <v>0</v>
      </c>
      <c r="B4" s="513" t="s">
        <v>520</v>
      </c>
    </row>
    <row r="5" spans="1:2" ht="30" customHeight="1">
      <c r="A5" s="518">
        <v>1</v>
      </c>
      <c r="B5" s="519" t="s">
        <v>878</v>
      </c>
    </row>
    <row r="6" spans="1:2" ht="30" customHeight="1">
      <c r="A6" s="518">
        <v>2</v>
      </c>
      <c r="B6" s="519" t="s">
        <v>879</v>
      </c>
    </row>
    <row r="7" spans="1:2" ht="30" customHeight="1">
      <c r="A7" s="518">
        <v>3</v>
      </c>
      <c r="B7" s="519" t="s">
        <v>880</v>
      </c>
    </row>
    <row r="8" spans="1:2" ht="30" customHeight="1">
      <c r="A8" s="518">
        <v>4</v>
      </c>
      <c r="B8" s="519" t="s">
        <v>881</v>
      </c>
    </row>
    <row r="9" spans="1:2" ht="30" customHeight="1">
      <c r="A9" s="518">
        <v>5</v>
      </c>
      <c r="B9" s="520" t="s">
        <v>882</v>
      </c>
    </row>
    <row r="10" spans="1:2" ht="30" customHeight="1">
      <c r="A10" s="518">
        <v>6</v>
      </c>
      <c r="B10" s="519" t="s">
        <v>883</v>
      </c>
    </row>
    <row r="11" spans="1:2" ht="30" customHeight="1">
      <c r="A11" s="518">
        <v>7</v>
      </c>
      <c r="B11" s="519" t="s">
        <v>884</v>
      </c>
    </row>
    <row r="12" spans="1:2" ht="30" customHeight="1">
      <c r="A12" s="518">
        <v>8</v>
      </c>
      <c r="B12" s="519" t="s">
        <v>885</v>
      </c>
    </row>
    <row r="13" spans="1:2" ht="30" customHeight="1">
      <c r="A13" s="518">
        <v>9</v>
      </c>
      <c r="B13" s="519" t="s">
        <v>886</v>
      </c>
    </row>
    <row r="14" spans="1:2" ht="30" customHeight="1">
      <c r="A14" s="518">
        <v>10</v>
      </c>
      <c r="B14" s="519" t="s">
        <v>887</v>
      </c>
    </row>
    <row r="15" spans="1:2" ht="30" customHeight="1">
      <c r="A15" s="518">
        <v>11</v>
      </c>
      <c r="B15" s="519" t="s">
        <v>888</v>
      </c>
    </row>
    <row r="16" spans="1:2" ht="30" customHeight="1">
      <c r="A16" s="518">
        <v>12</v>
      </c>
      <c r="B16" s="519" t="s">
        <v>889</v>
      </c>
    </row>
    <row r="17" spans="1:2" ht="30" customHeight="1">
      <c r="A17" s="518">
        <v>13</v>
      </c>
      <c r="B17" s="519" t="s">
        <v>890</v>
      </c>
    </row>
    <row r="18" spans="1:2" ht="30" customHeight="1">
      <c r="A18" s="518">
        <v>14</v>
      </c>
      <c r="B18" s="519" t="s">
        <v>891</v>
      </c>
    </row>
    <row r="19" spans="1:2" ht="30" customHeight="1">
      <c r="A19" s="1665"/>
      <c r="B19" s="1666"/>
    </row>
    <row r="20" spans="1:2" ht="21">
      <c r="A20" s="516">
        <f>COUNTA(A5:A18)</f>
        <v>14</v>
      </c>
      <c r="B20" s="557"/>
    </row>
  </sheetData>
  <mergeCells count="4">
    <mergeCell ref="A1:B1"/>
    <mergeCell ref="A2:B2"/>
    <mergeCell ref="A3:B3"/>
    <mergeCell ref="A19:B19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3"/>
  <sheetViews>
    <sheetView view="pageBreakPreview" zoomScale="60" workbookViewId="0">
      <selection activeCell="DB5" sqref="DB5:DG6"/>
    </sheetView>
  </sheetViews>
  <sheetFormatPr defaultRowHeight="12.75"/>
  <cols>
    <col min="1" max="5" width="9.33203125" style="4"/>
    <col min="6" max="6" width="35.6640625" style="4" customWidth="1"/>
    <col min="7" max="93" width="0" style="4" hidden="1" customWidth="1"/>
    <col min="94" max="99" width="9.33203125" style="62"/>
    <col min="100" max="101" width="9.33203125" style="4"/>
    <col min="102" max="105" width="0" style="4" hidden="1" customWidth="1"/>
    <col min="106" max="106" width="39" style="4" customWidth="1"/>
    <col min="107" max="16384" width="9.33203125" style="4"/>
  </cols>
  <sheetData>
    <row r="1" spans="1:111" ht="45">
      <c r="A1" s="1439" t="s">
        <v>409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  <c r="U1" s="1440"/>
      <c r="V1" s="1440"/>
      <c r="W1" s="1440"/>
      <c r="X1" s="1440"/>
      <c r="Y1" s="1440"/>
      <c r="Z1" s="1440"/>
      <c r="AA1" s="1440"/>
      <c r="AB1" s="1440"/>
      <c r="AC1" s="1440"/>
      <c r="AD1" s="1440"/>
      <c r="AE1" s="1440"/>
      <c r="AF1" s="1440"/>
      <c r="AG1" s="1440"/>
      <c r="AH1" s="1440"/>
      <c r="AI1" s="1440"/>
      <c r="AJ1" s="1440"/>
      <c r="AK1" s="1440"/>
      <c r="AL1" s="1440"/>
      <c r="AM1" s="1440"/>
      <c r="AN1" s="1440"/>
      <c r="AO1" s="1440"/>
      <c r="AP1" s="1440"/>
      <c r="AQ1" s="1440"/>
      <c r="AR1" s="1440"/>
      <c r="AS1" s="1440"/>
      <c r="AT1" s="1440"/>
      <c r="AU1" s="1440"/>
      <c r="AV1" s="1440"/>
      <c r="AW1" s="1440"/>
      <c r="AX1" s="1440"/>
      <c r="AY1" s="1440"/>
      <c r="AZ1" s="1440"/>
      <c r="BA1" s="1440"/>
      <c r="BB1" s="1440"/>
      <c r="BC1" s="1440"/>
      <c r="BD1" s="1440"/>
      <c r="BE1" s="1440"/>
      <c r="BF1" s="1440"/>
      <c r="BG1" s="1440"/>
      <c r="BH1" s="1440"/>
      <c r="BI1" s="1440"/>
      <c r="BJ1" s="1440"/>
      <c r="BK1" s="1440"/>
      <c r="BL1" s="1440"/>
      <c r="BM1" s="1440"/>
      <c r="BN1" s="1440"/>
      <c r="BO1" s="1440"/>
      <c r="BP1" s="1440"/>
      <c r="BQ1" s="1440"/>
      <c r="BR1" s="1440"/>
      <c r="BS1" s="1440"/>
      <c r="BT1" s="1440"/>
      <c r="BU1" s="1440"/>
      <c r="BV1" s="1440"/>
      <c r="BW1" s="1440"/>
      <c r="BX1" s="1440"/>
      <c r="BY1" s="1440"/>
      <c r="BZ1" s="1440"/>
      <c r="CA1" s="1440"/>
      <c r="CB1" s="1440"/>
      <c r="CC1" s="1440"/>
      <c r="CD1" s="1440"/>
      <c r="CE1" s="1440"/>
      <c r="CF1" s="1440"/>
      <c r="CG1" s="1440"/>
      <c r="CH1" s="1440"/>
      <c r="CI1" s="1440"/>
      <c r="CJ1" s="1440"/>
      <c r="CK1" s="1440"/>
      <c r="CL1" s="1440"/>
      <c r="CM1" s="1440"/>
      <c r="CN1" s="1440"/>
      <c r="CO1" s="1440"/>
      <c r="CP1" s="1440"/>
      <c r="CQ1" s="1440"/>
      <c r="CR1" s="1440"/>
      <c r="CS1" s="1440"/>
      <c r="CT1" s="1440"/>
      <c r="CU1" s="1440"/>
      <c r="CV1" s="1440"/>
      <c r="CW1" s="1440"/>
      <c r="CX1" s="1440"/>
      <c r="CY1" s="1440"/>
      <c r="CZ1" s="1440"/>
      <c r="DA1" s="1440"/>
      <c r="DB1" s="1440"/>
      <c r="DC1" s="1440"/>
      <c r="DD1" s="1440"/>
      <c r="DE1" s="1440"/>
      <c r="DF1" s="1440"/>
      <c r="DG1" s="1441"/>
    </row>
    <row r="2" spans="1:111" ht="45.75" customHeight="1">
      <c r="A2" s="1442" t="s">
        <v>522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6"/>
      <c r="AC2" s="1366"/>
      <c r="AD2" s="1366"/>
      <c r="AE2" s="1366"/>
      <c r="AF2" s="1366"/>
      <c r="AG2" s="1366"/>
      <c r="AH2" s="1366"/>
      <c r="AI2" s="1366"/>
      <c r="AJ2" s="1366"/>
      <c r="AK2" s="1366"/>
      <c r="AL2" s="1366"/>
      <c r="AM2" s="1366"/>
      <c r="AN2" s="1366"/>
      <c r="AO2" s="1366"/>
      <c r="AP2" s="1366"/>
      <c r="AQ2" s="1366"/>
      <c r="AR2" s="1366"/>
      <c r="AS2" s="1366"/>
      <c r="AT2" s="1366"/>
      <c r="AU2" s="1366"/>
      <c r="AV2" s="1366"/>
      <c r="AW2" s="1366"/>
      <c r="AX2" s="1366"/>
      <c r="AY2" s="1366"/>
      <c r="AZ2" s="1366"/>
      <c r="BA2" s="1366"/>
      <c r="BB2" s="1366"/>
      <c r="BC2" s="1366"/>
      <c r="BD2" s="1366"/>
      <c r="BE2" s="1366"/>
      <c r="BF2" s="1366"/>
      <c r="BG2" s="1366"/>
      <c r="BH2" s="1366"/>
      <c r="BI2" s="1366"/>
      <c r="BJ2" s="1366"/>
      <c r="BK2" s="1366"/>
      <c r="BL2" s="1366"/>
      <c r="BM2" s="1366"/>
      <c r="BN2" s="1366"/>
      <c r="BO2" s="1366"/>
      <c r="BP2" s="1366"/>
      <c r="BQ2" s="1366"/>
      <c r="BR2" s="1366"/>
      <c r="BS2" s="1366"/>
      <c r="BT2" s="1366"/>
      <c r="BU2" s="1366"/>
      <c r="BV2" s="1366"/>
      <c r="BW2" s="1366"/>
      <c r="BX2" s="1366"/>
      <c r="BY2" s="1366"/>
      <c r="BZ2" s="1366"/>
      <c r="CA2" s="1366"/>
      <c r="CB2" s="1366"/>
      <c r="CC2" s="1366"/>
      <c r="CD2" s="1366"/>
      <c r="CE2" s="1366"/>
      <c r="CF2" s="1366"/>
      <c r="CG2" s="1366"/>
      <c r="CH2" s="1366"/>
      <c r="CI2" s="1366"/>
      <c r="CJ2" s="1366"/>
      <c r="CK2" s="1366"/>
      <c r="CL2" s="1366"/>
      <c r="CM2" s="1366"/>
      <c r="CN2" s="1366"/>
      <c r="CO2" s="1366"/>
      <c r="CP2" s="1366"/>
      <c r="CQ2" s="1366"/>
      <c r="CR2" s="1366"/>
      <c r="CS2" s="1366"/>
      <c r="CT2" s="1366"/>
      <c r="CU2" s="1366"/>
      <c r="CV2" s="1366"/>
      <c r="CW2" s="1366"/>
      <c r="CX2" s="1366"/>
      <c r="CY2" s="1366"/>
      <c r="CZ2" s="1366"/>
      <c r="DA2" s="1366"/>
      <c r="DB2" s="1366"/>
      <c r="DC2" s="1366"/>
      <c r="DD2" s="1366"/>
      <c r="DE2" s="1366"/>
      <c r="DF2" s="1366"/>
      <c r="DG2" s="1443"/>
    </row>
    <row r="3" spans="1:111" ht="45.75" customHeight="1">
      <c r="A3" s="1442" t="s">
        <v>523</v>
      </c>
      <c r="B3" s="1366"/>
      <c r="C3" s="1366"/>
      <c r="D3" s="1366"/>
      <c r="E3" s="1366"/>
      <c r="F3" s="1366"/>
      <c r="G3" s="1366"/>
      <c r="H3" s="1366"/>
      <c r="I3" s="1366"/>
      <c r="J3" s="1366"/>
      <c r="K3" s="1366"/>
      <c r="L3" s="1366"/>
      <c r="M3" s="1366"/>
      <c r="N3" s="1366"/>
      <c r="O3" s="1366"/>
      <c r="P3" s="1366"/>
      <c r="Q3" s="1366"/>
      <c r="R3" s="1366"/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6"/>
      <c r="AD3" s="1366"/>
      <c r="AE3" s="1366"/>
      <c r="AF3" s="1366"/>
      <c r="AG3" s="1366"/>
      <c r="AH3" s="1366"/>
      <c r="AI3" s="1366"/>
      <c r="AJ3" s="1366"/>
      <c r="AK3" s="1366"/>
      <c r="AL3" s="1366"/>
      <c r="AM3" s="1366"/>
      <c r="AN3" s="1366"/>
      <c r="AO3" s="1366"/>
      <c r="AP3" s="1366"/>
      <c r="AQ3" s="1366"/>
      <c r="AR3" s="1366"/>
      <c r="AS3" s="1366"/>
      <c r="AT3" s="1366"/>
      <c r="AU3" s="1366"/>
      <c r="AV3" s="1366"/>
      <c r="AW3" s="1366"/>
      <c r="AX3" s="1366"/>
      <c r="AY3" s="1366"/>
      <c r="AZ3" s="1366"/>
      <c r="BA3" s="1366"/>
      <c r="BB3" s="1366"/>
      <c r="BC3" s="1366"/>
      <c r="BD3" s="1366"/>
      <c r="BE3" s="1366"/>
      <c r="BF3" s="1366"/>
      <c r="BG3" s="1366"/>
      <c r="BH3" s="1366"/>
      <c r="BI3" s="1366"/>
      <c r="BJ3" s="1366"/>
      <c r="BK3" s="1366"/>
      <c r="BL3" s="1366"/>
      <c r="BM3" s="1366"/>
      <c r="BN3" s="1366"/>
      <c r="BO3" s="1366"/>
      <c r="BP3" s="1366"/>
      <c r="BQ3" s="1366"/>
      <c r="BR3" s="1366"/>
      <c r="BS3" s="1366"/>
      <c r="BT3" s="1366"/>
      <c r="BU3" s="1366"/>
      <c r="BV3" s="1366"/>
      <c r="BW3" s="1366"/>
      <c r="BX3" s="1366"/>
      <c r="BY3" s="1366"/>
      <c r="BZ3" s="1366"/>
      <c r="CA3" s="1366"/>
      <c r="CB3" s="1366"/>
      <c r="CC3" s="1366"/>
      <c r="CD3" s="1366"/>
      <c r="CE3" s="1366"/>
      <c r="CF3" s="1366"/>
      <c r="CG3" s="1366"/>
      <c r="CH3" s="1366"/>
      <c r="CI3" s="1366"/>
      <c r="CJ3" s="1366"/>
      <c r="CK3" s="1366"/>
      <c r="CL3" s="1366"/>
      <c r="CM3" s="1366"/>
      <c r="CN3" s="1366"/>
      <c r="CO3" s="1366"/>
      <c r="CP3" s="1366"/>
      <c r="CQ3" s="1366"/>
      <c r="CR3" s="1366"/>
      <c r="CS3" s="1366"/>
      <c r="CT3" s="1366"/>
      <c r="CU3" s="1366"/>
      <c r="CV3" s="1366"/>
      <c r="CW3" s="1366"/>
      <c r="CX3" s="1366"/>
      <c r="CY3" s="1366"/>
      <c r="CZ3" s="1366"/>
      <c r="DA3" s="1366"/>
      <c r="DB3" s="1366"/>
      <c r="DC3" s="1366"/>
      <c r="DD3" s="1366"/>
      <c r="DE3" s="1366"/>
      <c r="DF3" s="1366"/>
      <c r="DG3" s="1443"/>
    </row>
    <row r="4" spans="1:111" ht="45">
      <c r="A4" s="1444" t="s">
        <v>16</v>
      </c>
      <c r="B4" s="1363"/>
      <c r="C4" s="1363"/>
      <c r="D4" s="1363"/>
      <c r="E4" s="1363"/>
      <c r="F4" s="1363"/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1363"/>
      <c r="S4" s="1363"/>
      <c r="T4" s="1363"/>
      <c r="U4" s="1363"/>
      <c r="V4" s="1363"/>
      <c r="W4" s="1363"/>
      <c r="X4" s="1363"/>
      <c r="Y4" s="1363"/>
      <c r="Z4" s="1363"/>
      <c r="AA4" s="1363"/>
      <c r="AB4" s="1363"/>
      <c r="AC4" s="1363"/>
      <c r="AD4" s="1363"/>
      <c r="AE4" s="1363"/>
      <c r="AF4" s="1363"/>
      <c r="AG4" s="1363"/>
      <c r="AH4" s="1363"/>
      <c r="AI4" s="1363"/>
      <c r="AJ4" s="1363"/>
      <c r="AK4" s="1363"/>
      <c r="AL4" s="1363"/>
      <c r="AM4" s="1363"/>
      <c r="AN4" s="1363"/>
      <c r="AO4" s="1363"/>
      <c r="AP4" s="1363"/>
      <c r="AQ4" s="1363"/>
      <c r="AR4" s="1363"/>
      <c r="AS4" s="1363"/>
      <c r="AT4" s="1363"/>
      <c r="AU4" s="1363"/>
      <c r="AV4" s="1363"/>
      <c r="AW4" s="1363"/>
      <c r="AX4" s="1363"/>
      <c r="AY4" s="1363"/>
      <c r="AZ4" s="1363"/>
      <c r="BA4" s="1363"/>
      <c r="BB4" s="1363"/>
      <c r="BC4" s="1363"/>
      <c r="BD4" s="1363"/>
      <c r="BE4" s="1363"/>
      <c r="BF4" s="1363"/>
      <c r="BG4" s="1363"/>
      <c r="BH4" s="1363"/>
      <c r="BI4" s="1363"/>
      <c r="BJ4" s="1363"/>
      <c r="BK4" s="1363"/>
      <c r="BL4" s="1363"/>
      <c r="BM4" s="1363"/>
      <c r="BN4" s="1363"/>
      <c r="BO4" s="1363"/>
      <c r="BP4" s="1363"/>
      <c r="BQ4" s="1363"/>
      <c r="BR4" s="1363"/>
      <c r="BS4" s="1363"/>
      <c r="BT4" s="1363"/>
      <c r="BU4" s="1363"/>
      <c r="BV4" s="1363"/>
      <c r="BW4" s="1363"/>
      <c r="BX4" s="1363"/>
      <c r="BY4" s="1363"/>
      <c r="BZ4" s="1363"/>
      <c r="CA4" s="1363"/>
      <c r="CB4" s="1363"/>
      <c r="CC4" s="1363"/>
      <c r="CD4" s="1363"/>
      <c r="CE4" s="1363"/>
      <c r="CF4" s="1363"/>
      <c r="CG4" s="1363"/>
      <c r="CH4" s="1363"/>
      <c r="CI4" s="1363"/>
      <c r="CJ4" s="1363"/>
      <c r="CK4" s="1363"/>
      <c r="CL4" s="1363"/>
      <c r="CM4" s="1363"/>
      <c r="CN4" s="1363"/>
      <c r="CO4" s="1363"/>
      <c r="CP4" s="1363"/>
      <c r="CQ4" s="1363"/>
      <c r="CR4" s="1363"/>
      <c r="CS4" s="1363"/>
      <c r="CT4" s="1363"/>
      <c r="CU4" s="1363"/>
      <c r="CV4" s="1363"/>
      <c r="CW4" s="1363"/>
      <c r="CX4" s="1363"/>
      <c r="CY4" s="1363"/>
      <c r="CZ4" s="1363"/>
      <c r="DA4" s="1363"/>
      <c r="DB4" s="1363"/>
      <c r="DC4" s="1363"/>
      <c r="DD4" s="1363"/>
      <c r="DE4" s="1363"/>
      <c r="DF4" s="1363"/>
      <c r="DG4" s="1445"/>
    </row>
    <row r="5" spans="1:111" ht="18" customHeight="1">
      <c r="A5" s="1687" t="s">
        <v>0</v>
      </c>
      <c r="B5" s="874" t="s">
        <v>408</v>
      </c>
      <c r="C5" s="875"/>
      <c r="D5" s="875"/>
      <c r="E5" s="875"/>
      <c r="F5" s="876"/>
      <c r="G5" s="880" t="s">
        <v>29</v>
      </c>
      <c r="H5" s="881"/>
      <c r="I5" s="882"/>
      <c r="J5" s="880" t="s">
        <v>30</v>
      </c>
      <c r="K5" s="882"/>
      <c r="L5" s="859" t="s">
        <v>1</v>
      </c>
      <c r="M5" s="860"/>
      <c r="N5" s="860"/>
      <c r="O5" s="860"/>
      <c r="P5" s="860"/>
      <c r="Q5" s="860"/>
      <c r="R5" s="860"/>
      <c r="S5" s="861"/>
      <c r="T5" s="859" t="s">
        <v>2</v>
      </c>
      <c r="U5" s="860"/>
      <c r="V5" s="860"/>
      <c r="W5" s="860"/>
      <c r="X5" s="860"/>
      <c r="Y5" s="860"/>
      <c r="Z5" s="860"/>
      <c r="AA5" s="860"/>
      <c r="AB5" s="861"/>
      <c r="AC5" s="859" t="s">
        <v>3</v>
      </c>
      <c r="AD5" s="860"/>
      <c r="AE5" s="860"/>
      <c r="AF5" s="860"/>
      <c r="AG5" s="860"/>
      <c r="AH5" s="860"/>
      <c r="AI5" s="860"/>
      <c r="AJ5" s="861"/>
      <c r="AK5" s="886" t="s">
        <v>31</v>
      </c>
      <c r="AL5" s="887"/>
      <c r="AM5" s="887"/>
      <c r="AN5" s="887"/>
      <c r="AO5" s="887"/>
      <c r="AP5" s="887"/>
      <c r="AQ5" s="887"/>
      <c r="AR5" s="887"/>
      <c r="AS5" s="887"/>
      <c r="AT5" s="887"/>
      <c r="AU5" s="888"/>
      <c r="AV5" s="859" t="s">
        <v>4</v>
      </c>
      <c r="AW5" s="860"/>
      <c r="AX5" s="860"/>
      <c r="AY5" s="860"/>
      <c r="AZ5" s="860"/>
      <c r="BA5" s="861"/>
      <c r="BB5" s="859" t="s">
        <v>5</v>
      </c>
      <c r="BC5" s="860"/>
      <c r="BD5" s="860"/>
      <c r="BE5" s="860"/>
      <c r="BF5" s="860"/>
      <c r="BG5" s="860"/>
      <c r="BH5" s="860"/>
      <c r="BI5" s="860"/>
      <c r="BJ5" s="861"/>
      <c r="BK5" s="859" t="s">
        <v>6</v>
      </c>
      <c r="BL5" s="860"/>
      <c r="BM5" s="860"/>
      <c r="BN5" s="860"/>
      <c r="BO5" s="860"/>
      <c r="BP5" s="860"/>
      <c r="BQ5" s="860"/>
      <c r="BR5" s="860"/>
      <c r="BS5" s="861"/>
      <c r="BT5" s="862" t="s">
        <v>32</v>
      </c>
      <c r="BU5" s="863"/>
      <c r="BV5" s="863"/>
      <c r="BW5" s="863"/>
      <c r="BX5" s="863"/>
      <c r="BY5" s="863"/>
      <c r="BZ5" s="863"/>
      <c r="CA5" s="863"/>
      <c r="CB5" s="863"/>
      <c r="CC5" s="867"/>
      <c r="CD5" s="1688" t="s">
        <v>25</v>
      </c>
      <c r="CE5" s="1689"/>
      <c r="CF5" s="1689"/>
      <c r="CG5" s="1689"/>
      <c r="CH5" s="1689"/>
      <c r="CI5" s="1689"/>
      <c r="CJ5" s="1689"/>
      <c r="CK5" s="1689"/>
      <c r="CL5" s="1689"/>
      <c r="CM5" s="1689"/>
      <c r="CN5" s="1689"/>
      <c r="CO5" s="1690"/>
      <c r="CP5" s="862" t="s">
        <v>412</v>
      </c>
      <c r="CQ5" s="863"/>
      <c r="CR5" s="863"/>
      <c r="CS5" s="863"/>
      <c r="CT5" s="863"/>
      <c r="CU5" s="863"/>
      <c r="CV5" s="863"/>
      <c r="CW5" s="867"/>
      <c r="CX5" s="1691" t="s">
        <v>33</v>
      </c>
      <c r="CY5" s="1692"/>
      <c r="CZ5" s="1692"/>
      <c r="DA5" s="1692"/>
      <c r="DB5" s="1680" t="s">
        <v>545</v>
      </c>
      <c r="DC5" s="1681"/>
      <c r="DD5" s="1681"/>
      <c r="DE5" s="1681"/>
      <c r="DF5" s="1681"/>
      <c r="DG5" s="1682"/>
    </row>
    <row r="6" spans="1:111" ht="28.5" customHeight="1">
      <c r="A6" s="1086"/>
      <c r="B6" s="877"/>
      <c r="C6" s="878"/>
      <c r="D6" s="878"/>
      <c r="E6" s="878"/>
      <c r="F6" s="879"/>
      <c r="G6" s="883"/>
      <c r="H6" s="884"/>
      <c r="I6" s="885"/>
      <c r="J6" s="883"/>
      <c r="K6" s="885"/>
      <c r="L6" s="816" t="s">
        <v>8</v>
      </c>
      <c r="M6" s="818"/>
      <c r="N6" s="816" t="s">
        <v>9</v>
      </c>
      <c r="O6" s="818"/>
      <c r="P6" s="1082" t="s">
        <v>10</v>
      </c>
      <c r="Q6" s="1084"/>
      <c r="R6" s="1080" t="s">
        <v>11</v>
      </c>
      <c r="S6" s="1081"/>
      <c r="T6" s="816" t="s">
        <v>8</v>
      </c>
      <c r="U6" s="818"/>
      <c r="V6" s="830" t="s">
        <v>9</v>
      </c>
      <c r="W6" s="831"/>
      <c r="X6" s="832"/>
      <c r="Y6" s="830" t="s">
        <v>10</v>
      </c>
      <c r="Z6" s="832"/>
      <c r="AA6" s="830" t="s">
        <v>11</v>
      </c>
      <c r="AB6" s="832"/>
      <c r="AC6" s="816" t="s">
        <v>8</v>
      </c>
      <c r="AD6" s="818"/>
      <c r="AE6" s="830" t="s">
        <v>9</v>
      </c>
      <c r="AF6" s="832"/>
      <c r="AG6" s="830" t="s">
        <v>10</v>
      </c>
      <c r="AH6" s="832"/>
      <c r="AI6" s="1080" t="s">
        <v>11</v>
      </c>
      <c r="AJ6" s="1081"/>
      <c r="AK6" s="816" t="s">
        <v>8</v>
      </c>
      <c r="AL6" s="818"/>
      <c r="AM6" s="1082" t="s">
        <v>9</v>
      </c>
      <c r="AN6" s="1084"/>
      <c r="AO6" s="830" t="s">
        <v>10</v>
      </c>
      <c r="AP6" s="831"/>
      <c r="AQ6" s="831"/>
      <c r="AR6" s="832"/>
      <c r="AS6" s="830" t="s">
        <v>11</v>
      </c>
      <c r="AT6" s="831"/>
      <c r="AU6" s="832"/>
      <c r="AV6" s="14" t="s">
        <v>8</v>
      </c>
      <c r="AW6" s="830" t="s">
        <v>9</v>
      </c>
      <c r="AX6" s="832"/>
      <c r="AY6" s="830" t="s">
        <v>10</v>
      </c>
      <c r="AZ6" s="832"/>
      <c r="BA6" s="27" t="s">
        <v>11</v>
      </c>
      <c r="BB6" s="1082" t="s">
        <v>8</v>
      </c>
      <c r="BC6" s="1084"/>
      <c r="BD6" s="816" t="s">
        <v>9</v>
      </c>
      <c r="BE6" s="818"/>
      <c r="BF6" s="816" t="s">
        <v>10</v>
      </c>
      <c r="BG6" s="817"/>
      <c r="BH6" s="818"/>
      <c r="BI6" s="830" t="s">
        <v>11</v>
      </c>
      <c r="BJ6" s="832"/>
      <c r="BK6" s="830" t="s">
        <v>8</v>
      </c>
      <c r="BL6" s="832"/>
      <c r="BM6" s="830" t="s">
        <v>9</v>
      </c>
      <c r="BN6" s="831"/>
      <c r="BO6" s="831"/>
      <c r="BP6" s="832"/>
      <c r="BQ6" s="8" t="s">
        <v>10</v>
      </c>
      <c r="BR6" s="816" t="s">
        <v>11</v>
      </c>
      <c r="BS6" s="818"/>
      <c r="BT6" s="1082" t="s">
        <v>8</v>
      </c>
      <c r="BU6" s="1084"/>
      <c r="BV6" s="1080" t="s">
        <v>9</v>
      </c>
      <c r="BW6" s="1096"/>
      <c r="BX6" s="1081"/>
      <c r="BY6" s="830" t="s">
        <v>10</v>
      </c>
      <c r="BZ6" s="832"/>
      <c r="CA6" s="1080" t="s">
        <v>11</v>
      </c>
      <c r="CB6" s="1096"/>
      <c r="CC6" s="1081"/>
      <c r="CD6" s="830" t="s">
        <v>8</v>
      </c>
      <c r="CE6" s="831"/>
      <c r="CF6" s="832"/>
      <c r="CG6" s="830" t="s">
        <v>9</v>
      </c>
      <c r="CH6" s="831"/>
      <c r="CI6" s="832"/>
      <c r="CJ6" s="1080" t="s">
        <v>10</v>
      </c>
      <c r="CK6" s="1096"/>
      <c r="CL6" s="1081"/>
      <c r="CM6" s="830" t="s">
        <v>11</v>
      </c>
      <c r="CN6" s="831"/>
      <c r="CO6" s="832"/>
      <c r="CP6" s="830" t="s">
        <v>9</v>
      </c>
      <c r="CQ6" s="831"/>
      <c r="CR6" s="832"/>
      <c r="CS6" s="830" t="s">
        <v>10</v>
      </c>
      <c r="CT6" s="831"/>
      <c r="CU6" s="832"/>
      <c r="CV6" s="830" t="s">
        <v>421</v>
      </c>
      <c r="CW6" s="832"/>
      <c r="CX6" s="1693"/>
      <c r="CY6" s="1694"/>
      <c r="CZ6" s="1694"/>
      <c r="DA6" s="1694"/>
      <c r="DB6" s="1683"/>
      <c r="DC6" s="1684"/>
      <c r="DD6" s="1684"/>
      <c r="DE6" s="1684"/>
      <c r="DF6" s="1684"/>
      <c r="DG6" s="1685"/>
    </row>
    <row r="7" spans="1:111" ht="23.25">
      <c r="A7" s="252">
        <v>1</v>
      </c>
      <c r="B7" s="1385" t="s">
        <v>120</v>
      </c>
      <c r="C7" s="1386"/>
      <c r="D7" s="1386"/>
      <c r="E7" s="1386"/>
      <c r="F7" s="1387"/>
      <c r="G7" s="1379" t="s">
        <v>121</v>
      </c>
      <c r="H7" s="1381"/>
      <c r="I7" s="1380"/>
      <c r="J7" s="1671">
        <v>8</v>
      </c>
      <c r="K7" s="1672"/>
      <c r="L7" s="1673">
        <v>5</v>
      </c>
      <c r="M7" s="1674"/>
      <c r="N7" s="1673">
        <v>96</v>
      </c>
      <c r="O7" s="1674"/>
      <c r="P7" s="1675">
        <v>94</v>
      </c>
      <c r="Q7" s="1676"/>
      <c r="R7" s="1673">
        <v>190</v>
      </c>
      <c r="S7" s="1674"/>
      <c r="T7" s="1673">
        <v>5</v>
      </c>
      <c r="U7" s="1674"/>
      <c r="V7" s="1677">
        <v>79</v>
      </c>
      <c r="W7" s="1678"/>
      <c r="X7" s="1679"/>
      <c r="Y7" s="1677">
        <v>94</v>
      </c>
      <c r="Z7" s="1679"/>
      <c r="AA7" s="1677">
        <v>173</v>
      </c>
      <c r="AB7" s="1679"/>
      <c r="AC7" s="1673">
        <v>5</v>
      </c>
      <c r="AD7" s="1674"/>
      <c r="AE7" s="1677">
        <v>80</v>
      </c>
      <c r="AF7" s="1679"/>
      <c r="AG7" s="1677">
        <v>84</v>
      </c>
      <c r="AH7" s="1679"/>
      <c r="AI7" s="1673">
        <v>164</v>
      </c>
      <c r="AJ7" s="1674"/>
      <c r="AK7" s="1673">
        <v>15</v>
      </c>
      <c r="AL7" s="1674"/>
      <c r="AM7" s="1675">
        <v>255</v>
      </c>
      <c r="AN7" s="1676"/>
      <c r="AO7" s="1677">
        <v>272</v>
      </c>
      <c r="AP7" s="1678"/>
      <c r="AQ7" s="1678"/>
      <c r="AR7" s="1679"/>
      <c r="AS7" s="1677">
        <v>527</v>
      </c>
      <c r="AT7" s="1678"/>
      <c r="AU7" s="1679"/>
      <c r="AV7" s="182">
        <v>0</v>
      </c>
      <c r="AW7" s="1677">
        <v>0</v>
      </c>
      <c r="AX7" s="1679"/>
      <c r="AY7" s="1677">
        <v>0</v>
      </c>
      <c r="AZ7" s="1679"/>
      <c r="BA7" s="183">
        <v>0</v>
      </c>
      <c r="BB7" s="1675">
        <v>0</v>
      </c>
      <c r="BC7" s="1676"/>
      <c r="BD7" s="1673">
        <v>0</v>
      </c>
      <c r="BE7" s="1674"/>
      <c r="BF7" s="1673">
        <v>0</v>
      </c>
      <c r="BG7" s="1686"/>
      <c r="BH7" s="1674"/>
      <c r="BI7" s="1677">
        <v>0</v>
      </c>
      <c r="BJ7" s="1679"/>
      <c r="BK7" s="1677">
        <v>0</v>
      </c>
      <c r="BL7" s="1679"/>
      <c r="BM7" s="1677">
        <v>0</v>
      </c>
      <c r="BN7" s="1678"/>
      <c r="BO7" s="1678"/>
      <c r="BP7" s="1679"/>
      <c r="BQ7" s="181">
        <v>0</v>
      </c>
      <c r="BR7" s="1673">
        <v>0</v>
      </c>
      <c r="BS7" s="1674"/>
      <c r="BT7" s="1675">
        <v>0</v>
      </c>
      <c r="BU7" s="1676"/>
      <c r="BV7" s="1695">
        <v>0</v>
      </c>
      <c r="BW7" s="1696"/>
      <c r="BX7" s="1697"/>
      <c r="BY7" s="1677">
        <v>0</v>
      </c>
      <c r="BZ7" s="1679"/>
      <c r="CA7" s="1695">
        <v>0</v>
      </c>
      <c r="CB7" s="1696"/>
      <c r="CC7" s="1697"/>
      <c r="CD7" s="1677">
        <v>15</v>
      </c>
      <c r="CE7" s="1678"/>
      <c r="CF7" s="1679"/>
      <c r="CG7" s="1677">
        <v>255</v>
      </c>
      <c r="CH7" s="1678"/>
      <c r="CI7" s="1679"/>
      <c r="CJ7" s="1673">
        <v>272</v>
      </c>
      <c r="CK7" s="1686"/>
      <c r="CL7" s="1674"/>
      <c r="CM7" s="1677">
        <v>527</v>
      </c>
      <c r="CN7" s="1678"/>
      <c r="CO7" s="1679"/>
      <c r="CP7" s="1409">
        <v>255</v>
      </c>
      <c r="CQ7" s="1410"/>
      <c r="CR7" s="1410"/>
      <c r="CS7" s="1409">
        <v>272</v>
      </c>
      <c r="CT7" s="1410"/>
      <c r="CU7" s="1410"/>
      <c r="CV7" s="1677">
        <f>SUM(CP7:CU7)</f>
        <v>527</v>
      </c>
      <c r="CW7" s="1679"/>
      <c r="CX7" s="1379" t="s">
        <v>35</v>
      </c>
      <c r="CY7" s="1381"/>
      <c r="CZ7" s="1381"/>
      <c r="DA7" s="1381"/>
      <c r="DB7" s="1667">
        <f>IF(CL38&lt;1001,30000 * 3,50000*3)</f>
        <v>90000</v>
      </c>
      <c r="DC7" s="1667"/>
      <c r="DD7" s="1667"/>
      <c r="DE7" s="1667"/>
      <c r="DF7" s="1667"/>
      <c r="DG7" s="1668"/>
    </row>
    <row r="8" spans="1:111" ht="23.25">
      <c r="A8" s="252">
        <v>2</v>
      </c>
      <c r="B8" s="1385" t="s">
        <v>122</v>
      </c>
      <c r="C8" s="1386"/>
      <c r="D8" s="1386"/>
      <c r="E8" s="1386"/>
      <c r="F8" s="1387"/>
      <c r="G8" s="1379" t="s">
        <v>121</v>
      </c>
      <c r="H8" s="1381"/>
      <c r="I8" s="1380"/>
      <c r="J8" s="1671">
        <v>9</v>
      </c>
      <c r="K8" s="1672"/>
      <c r="L8" s="1673">
        <v>4</v>
      </c>
      <c r="M8" s="1674"/>
      <c r="N8" s="1673">
        <v>216</v>
      </c>
      <c r="O8" s="1674"/>
      <c r="P8" s="1675">
        <v>151</v>
      </c>
      <c r="Q8" s="1676"/>
      <c r="R8" s="1673">
        <v>367</v>
      </c>
      <c r="S8" s="1674"/>
      <c r="T8" s="1673">
        <v>3</v>
      </c>
      <c r="U8" s="1674"/>
      <c r="V8" s="1677">
        <v>99</v>
      </c>
      <c r="W8" s="1678"/>
      <c r="X8" s="1679"/>
      <c r="Y8" s="1677">
        <v>81</v>
      </c>
      <c r="Z8" s="1679"/>
      <c r="AA8" s="1677">
        <v>180</v>
      </c>
      <c r="AB8" s="1679"/>
      <c r="AC8" s="1673">
        <v>2</v>
      </c>
      <c r="AD8" s="1674"/>
      <c r="AE8" s="1677">
        <v>48</v>
      </c>
      <c r="AF8" s="1679"/>
      <c r="AG8" s="1677">
        <v>47</v>
      </c>
      <c r="AH8" s="1679"/>
      <c r="AI8" s="1673">
        <v>95</v>
      </c>
      <c r="AJ8" s="1674"/>
      <c r="AK8" s="1673">
        <v>9</v>
      </c>
      <c r="AL8" s="1674"/>
      <c r="AM8" s="1675">
        <v>363</v>
      </c>
      <c r="AN8" s="1676"/>
      <c r="AO8" s="1677">
        <v>279</v>
      </c>
      <c r="AP8" s="1678"/>
      <c r="AQ8" s="1678"/>
      <c r="AR8" s="1679"/>
      <c r="AS8" s="1677">
        <v>642</v>
      </c>
      <c r="AT8" s="1678"/>
      <c r="AU8" s="1679"/>
      <c r="AV8" s="182">
        <v>0</v>
      </c>
      <c r="AW8" s="1677">
        <v>0</v>
      </c>
      <c r="AX8" s="1679"/>
      <c r="AY8" s="1677">
        <v>0</v>
      </c>
      <c r="AZ8" s="1679"/>
      <c r="BA8" s="183">
        <v>0</v>
      </c>
      <c r="BB8" s="1675">
        <v>0</v>
      </c>
      <c r="BC8" s="1676"/>
      <c r="BD8" s="1673">
        <v>0</v>
      </c>
      <c r="BE8" s="1674"/>
      <c r="BF8" s="1673">
        <v>0</v>
      </c>
      <c r="BG8" s="1686"/>
      <c r="BH8" s="1674"/>
      <c r="BI8" s="1677">
        <v>0</v>
      </c>
      <c r="BJ8" s="1679"/>
      <c r="BK8" s="1677">
        <v>0</v>
      </c>
      <c r="BL8" s="1679"/>
      <c r="BM8" s="1677">
        <v>0</v>
      </c>
      <c r="BN8" s="1678"/>
      <c r="BO8" s="1678"/>
      <c r="BP8" s="1679"/>
      <c r="BQ8" s="181">
        <v>0</v>
      </c>
      <c r="BR8" s="1673">
        <v>0</v>
      </c>
      <c r="BS8" s="1674"/>
      <c r="BT8" s="1675">
        <v>0</v>
      </c>
      <c r="BU8" s="1676"/>
      <c r="BV8" s="1695">
        <v>0</v>
      </c>
      <c r="BW8" s="1696"/>
      <c r="BX8" s="1697"/>
      <c r="BY8" s="1677">
        <v>0</v>
      </c>
      <c r="BZ8" s="1679"/>
      <c r="CA8" s="1695">
        <v>0</v>
      </c>
      <c r="CB8" s="1696"/>
      <c r="CC8" s="1697"/>
      <c r="CD8" s="1677">
        <v>9</v>
      </c>
      <c r="CE8" s="1678"/>
      <c r="CF8" s="1679"/>
      <c r="CG8" s="1677">
        <v>363</v>
      </c>
      <c r="CH8" s="1678"/>
      <c r="CI8" s="1679"/>
      <c r="CJ8" s="1673">
        <v>279</v>
      </c>
      <c r="CK8" s="1686"/>
      <c r="CL8" s="1674"/>
      <c r="CM8" s="1677">
        <v>642</v>
      </c>
      <c r="CN8" s="1678"/>
      <c r="CO8" s="1679"/>
      <c r="CP8" s="1409">
        <v>363</v>
      </c>
      <c r="CQ8" s="1410"/>
      <c r="CR8" s="1410"/>
      <c r="CS8" s="1409">
        <v>279</v>
      </c>
      <c r="CT8" s="1410"/>
      <c r="CU8" s="1410"/>
      <c r="CV8" s="1677">
        <f t="shared" ref="CV8:CV19" si="0">SUM(CP8:CU8)</f>
        <v>642</v>
      </c>
      <c r="CW8" s="1679"/>
      <c r="CX8" s="1379" t="s">
        <v>35</v>
      </c>
      <c r="CY8" s="1381"/>
      <c r="CZ8" s="1381"/>
      <c r="DA8" s="1381"/>
      <c r="DB8" s="1667">
        <f t="shared" ref="DB8:DB19" si="1">IF(CL39&lt;1001,30000 * 3,50000*3)</f>
        <v>90000</v>
      </c>
      <c r="DC8" s="1667"/>
      <c r="DD8" s="1667"/>
      <c r="DE8" s="1667"/>
      <c r="DF8" s="1667"/>
      <c r="DG8" s="1668"/>
    </row>
    <row r="9" spans="1:111" ht="23.25">
      <c r="A9" s="252">
        <v>3</v>
      </c>
      <c r="B9" s="1385" t="s">
        <v>123</v>
      </c>
      <c r="C9" s="1386"/>
      <c r="D9" s="1386"/>
      <c r="E9" s="1386"/>
      <c r="F9" s="1387"/>
      <c r="G9" s="1373" t="s">
        <v>16</v>
      </c>
      <c r="H9" s="1374"/>
      <c r="I9" s="1375"/>
      <c r="J9" s="1671">
        <v>3</v>
      </c>
      <c r="K9" s="1672"/>
      <c r="L9" s="1673">
        <v>2</v>
      </c>
      <c r="M9" s="1674"/>
      <c r="N9" s="1673">
        <v>35</v>
      </c>
      <c r="O9" s="1674"/>
      <c r="P9" s="1675">
        <v>25</v>
      </c>
      <c r="Q9" s="1676"/>
      <c r="R9" s="1673">
        <v>60</v>
      </c>
      <c r="S9" s="1674"/>
      <c r="T9" s="1673">
        <v>2</v>
      </c>
      <c r="U9" s="1674"/>
      <c r="V9" s="1677">
        <v>23</v>
      </c>
      <c r="W9" s="1678"/>
      <c r="X9" s="1679"/>
      <c r="Y9" s="1677">
        <v>26</v>
      </c>
      <c r="Z9" s="1679"/>
      <c r="AA9" s="1677">
        <v>49</v>
      </c>
      <c r="AB9" s="1679"/>
      <c r="AC9" s="1673">
        <v>2</v>
      </c>
      <c r="AD9" s="1674"/>
      <c r="AE9" s="1677">
        <v>32</v>
      </c>
      <c r="AF9" s="1679"/>
      <c r="AG9" s="1677">
        <v>37</v>
      </c>
      <c r="AH9" s="1679"/>
      <c r="AI9" s="1673">
        <v>69</v>
      </c>
      <c r="AJ9" s="1674"/>
      <c r="AK9" s="1673">
        <v>6</v>
      </c>
      <c r="AL9" s="1674"/>
      <c r="AM9" s="1675">
        <v>90</v>
      </c>
      <c r="AN9" s="1676"/>
      <c r="AO9" s="1677">
        <v>88</v>
      </c>
      <c r="AP9" s="1678"/>
      <c r="AQ9" s="1678"/>
      <c r="AR9" s="1679"/>
      <c r="AS9" s="1677">
        <v>178</v>
      </c>
      <c r="AT9" s="1678"/>
      <c r="AU9" s="1679"/>
      <c r="AV9" s="182">
        <v>0</v>
      </c>
      <c r="AW9" s="1677">
        <v>0</v>
      </c>
      <c r="AX9" s="1679"/>
      <c r="AY9" s="1677">
        <v>0</v>
      </c>
      <c r="AZ9" s="1679"/>
      <c r="BA9" s="183">
        <v>0</v>
      </c>
      <c r="BB9" s="1675">
        <v>0</v>
      </c>
      <c r="BC9" s="1676"/>
      <c r="BD9" s="1673">
        <v>0</v>
      </c>
      <c r="BE9" s="1674"/>
      <c r="BF9" s="1673">
        <v>0</v>
      </c>
      <c r="BG9" s="1686"/>
      <c r="BH9" s="1674"/>
      <c r="BI9" s="1677">
        <v>0</v>
      </c>
      <c r="BJ9" s="1679"/>
      <c r="BK9" s="1677">
        <v>0</v>
      </c>
      <c r="BL9" s="1679"/>
      <c r="BM9" s="1677">
        <v>0</v>
      </c>
      <c r="BN9" s="1678"/>
      <c r="BO9" s="1678"/>
      <c r="BP9" s="1679"/>
      <c r="BQ9" s="181">
        <v>0</v>
      </c>
      <c r="BR9" s="1673">
        <v>0</v>
      </c>
      <c r="BS9" s="1674"/>
      <c r="BT9" s="1675">
        <v>0</v>
      </c>
      <c r="BU9" s="1676"/>
      <c r="BV9" s="1695">
        <v>0</v>
      </c>
      <c r="BW9" s="1696"/>
      <c r="BX9" s="1697"/>
      <c r="BY9" s="1677">
        <v>0</v>
      </c>
      <c r="BZ9" s="1679"/>
      <c r="CA9" s="1695">
        <v>0</v>
      </c>
      <c r="CB9" s="1696"/>
      <c r="CC9" s="1697"/>
      <c r="CD9" s="1677">
        <v>6</v>
      </c>
      <c r="CE9" s="1678"/>
      <c r="CF9" s="1679"/>
      <c r="CG9" s="1677">
        <v>90</v>
      </c>
      <c r="CH9" s="1678"/>
      <c r="CI9" s="1679"/>
      <c r="CJ9" s="1673">
        <v>88</v>
      </c>
      <c r="CK9" s="1686"/>
      <c r="CL9" s="1674"/>
      <c r="CM9" s="1677">
        <v>178</v>
      </c>
      <c r="CN9" s="1678"/>
      <c r="CO9" s="1679"/>
      <c r="CP9" s="1409">
        <v>90</v>
      </c>
      <c r="CQ9" s="1410"/>
      <c r="CR9" s="1410"/>
      <c r="CS9" s="1409">
        <v>88</v>
      </c>
      <c r="CT9" s="1410"/>
      <c r="CU9" s="1410"/>
      <c r="CV9" s="1677">
        <f t="shared" si="0"/>
        <v>178</v>
      </c>
      <c r="CW9" s="1679"/>
      <c r="CX9" s="1379" t="s">
        <v>35</v>
      </c>
      <c r="CY9" s="1381"/>
      <c r="CZ9" s="1381"/>
      <c r="DA9" s="1381"/>
      <c r="DB9" s="1667">
        <f t="shared" si="1"/>
        <v>90000</v>
      </c>
      <c r="DC9" s="1667"/>
      <c r="DD9" s="1667"/>
      <c r="DE9" s="1667"/>
      <c r="DF9" s="1667"/>
      <c r="DG9" s="1668"/>
    </row>
    <row r="10" spans="1:111" ht="23.25">
      <c r="A10" s="252">
        <v>4</v>
      </c>
      <c r="B10" s="1373" t="s">
        <v>124</v>
      </c>
      <c r="C10" s="1374"/>
      <c r="D10" s="1374"/>
      <c r="E10" s="1374"/>
      <c r="F10" s="1375"/>
      <c r="G10" s="1379" t="s">
        <v>121</v>
      </c>
      <c r="H10" s="1381"/>
      <c r="I10" s="1380"/>
      <c r="J10" s="1671">
        <v>7</v>
      </c>
      <c r="K10" s="1672"/>
      <c r="L10" s="1673">
        <v>3</v>
      </c>
      <c r="M10" s="1674"/>
      <c r="N10" s="1673">
        <v>57</v>
      </c>
      <c r="O10" s="1674"/>
      <c r="P10" s="1675">
        <v>55</v>
      </c>
      <c r="Q10" s="1676"/>
      <c r="R10" s="1673">
        <v>112</v>
      </c>
      <c r="S10" s="1674"/>
      <c r="T10" s="1673">
        <v>2</v>
      </c>
      <c r="U10" s="1674"/>
      <c r="V10" s="1677">
        <v>28</v>
      </c>
      <c r="W10" s="1678"/>
      <c r="X10" s="1679"/>
      <c r="Y10" s="1677">
        <v>30</v>
      </c>
      <c r="Z10" s="1679"/>
      <c r="AA10" s="1677">
        <v>58</v>
      </c>
      <c r="AB10" s="1679"/>
      <c r="AC10" s="1673">
        <v>2</v>
      </c>
      <c r="AD10" s="1674"/>
      <c r="AE10" s="1677">
        <v>21</v>
      </c>
      <c r="AF10" s="1679"/>
      <c r="AG10" s="1677">
        <v>22</v>
      </c>
      <c r="AH10" s="1679"/>
      <c r="AI10" s="1673">
        <v>43</v>
      </c>
      <c r="AJ10" s="1674"/>
      <c r="AK10" s="1673">
        <v>7</v>
      </c>
      <c r="AL10" s="1674"/>
      <c r="AM10" s="1675">
        <v>106</v>
      </c>
      <c r="AN10" s="1676"/>
      <c r="AO10" s="1677">
        <v>107</v>
      </c>
      <c r="AP10" s="1678"/>
      <c r="AQ10" s="1678"/>
      <c r="AR10" s="1679"/>
      <c r="AS10" s="1677">
        <v>213</v>
      </c>
      <c r="AT10" s="1678"/>
      <c r="AU10" s="1679"/>
      <c r="AV10" s="182">
        <v>0</v>
      </c>
      <c r="AW10" s="1677">
        <v>0</v>
      </c>
      <c r="AX10" s="1679"/>
      <c r="AY10" s="1677">
        <v>0</v>
      </c>
      <c r="AZ10" s="1679"/>
      <c r="BA10" s="183">
        <v>0</v>
      </c>
      <c r="BB10" s="1675">
        <v>0</v>
      </c>
      <c r="BC10" s="1676"/>
      <c r="BD10" s="1673">
        <v>0</v>
      </c>
      <c r="BE10" s="1674"/>
      <c r="BF10" s="1673">
        <v>0</v>
      </c>
      <c r="BG10" s="1686"/>
      <c r="BH10" s="1674"/>
      <c r="BI10" s="1677">
        <v>0</v>
      </c>
      <c r="BJ10" s="1679"/>
      <c r="BK10" s="1677">
        <v>0</v>
      </c>
      <c r="BL10" s="1679"/>
      <c r="BM10" s="1677">
        <v>0</v>
      </c>
      <c r="BN10" s="1678"/>
      <c r="BO10" s="1678"/>
      <c r="BP10" s="1679"/>
      <c r="BQ10" s="181">
        <v>0</v>
      </c>
      <c r="BR10" s="1673">
        <v>0</v>
      </c>
      <c r="BS10" s="1674"/>
      <c r="BT10" s="1675">
        <v>0</v>
      </c>
      <c r="BU10" s="1676"/>
      <c r="BV10" s="1695">
        <v>0</v>
      </c>
      <c r="BW10" s="1696"/>
      <c r="BX10" s="1697"/>
      <c r="BY10" s="1677">
        <v>0</v>
      </c>
      <c r="BZ10" s="1679"/>
      <c r="CA10" s="1695">
        <v>0</v>
      </c>
      <c r="CB10" s="1696"/>
      <c r="CC10" s="1697"/>
      <c r="CD10" s="1677">
        <v>7</v>
      </c>
      <c r="CE10" s="1678"/>
      <c r="CF10" s="1679"/>
      <c r="CG10" s="1677">
        <v>106</v>
      </c>
      <c r="CH10" s="1678"/>
      <c r="CI10" s="1679"/>
      <c r="CJ10" s="1673">
        <v>107</v>
      </c>
      <c r="CK10" s="1686"/>
      <c r="CL10" s="1674"/>
      <c r="CM10" s="1677">
        <v>213</v>
      </c>
      <c r="CN10" s="1678"/>
      <c r="CO10" s="1679"/>
      <c r="CP10" s="1409">
        <v>106</v>
      </c>
      <c r="CQ10" s="1410"/>
      <c r="CR10" s="1410"/>
      <c r="CS10" s="1409">
        <v>107</v>
      </c>
      <c r="CT10" s="1410"/>
      <c r="CU10" s="1410"/>
      <c r="CV10" s="1677">
        <f t="shared" si="0"/>
        <v>213</v>
      </c>
      <c r="CW10" s="1679"/>
      <c r="CX10" s="1379" t="s">
        <v>35</v>
      </c>
      <c r="CY10" s="1381"/>
      <c r="CZ10" s="1381"/>
      <c r="DA10" s="1381"/>
      <c r="DB10" s="1667">
        <f t="shared" si="1"/>
        <v>90000</v>
      </c>
      <c r="DC10" s="1667"/>
      <c r="DD10" s="1667"/>
      <c r="DE10" s="1667"/>
      <c r="DF10" s="1667"/>
      <c r="DG10" s="1668"/>
    </row>
    <row r="11" spans="1:111" ht="23.25">
      <c r="A11" s="252">
        <v>5</v>
      </c>
      <c r="B11" s="1385" t="s">
        <v>125</v>
      </c>
      <c r="C11" s="1386"/>
      <c r="D11" s="1386"/>
      <c r="E11" s="1386"/>
      <c r="F11" s="1387"/>
      <c r="G11" s="1379" t="s">
        <v>121</v>
      </c>
      <c r="H11" s="1381"/>
      <c r="I11" s="1380"/>
      <c r="J11" s="1671">
        <v>8</v>
      </c>
      <c r="K11" s="1672"/>
      <c r="L11" s="1673">
        <v>0</v>
      </c>
      <c r="M11" s="1674"/>
      <c r="N11" s="1673">
        <v>0</v>
      </c>
      <c r="O11" s="1674"/>
      <c r="P11" s="1698">
        <v>0</v>
      </c>
      <c r="Q11" s="1699"/>
      <c r="R11" s="1673">
        <v>0</v>
      </c>
      <c r="S11" s="1674"/>
      <c r="T11" s="1673">
        <v>0</v>
      </c>
      <c r="U11" s="1674"/>
      <c r="V11" s="1677">
        <v>0</v>
      </c>
      <c r="W11" s="1678"/>
      <c r="X11" s="1679"/>
      <c r="Y11" s="1677">
        <v>0</v>
      </c>
      <c r="Z11" s="1679"/>
      <c r="AA11" s="1677">
        <v>0</v>
      </c>
      <c r="AB11" s="1679"/>
      <c r="AC11" s="1673">
        <v>0</v>
      </c>
      <c r="AD11" s="1674"/>
      <c r="AE11" s="1677">
        <v>0</v>
      </c>
      <c r="AF11" s="1679"/>
      <c r="AG11" s="1677">
        <v>0</v>
      </c>
      <c r="AH11" s="1679"/>
      <c r="AI11" s="1673">
        <v>0</v>
      </c>
      <c r="AJ11" s="1674"/>
      <c r="AK11" s="1673">
        <v>0</v>
      </c>
      <c r="AL11" s="1674"/>
      <c r="AM11" s="1675">
        <v>0</v>
      </c>
      <c r="AN11" s="1676"/>
      <c r="AO11" s="1677">
        <v>0</v>
      </c>
      <c r="AP11" s="1678"/>
      <c r="AQ11" s="1678"/>
      <c r="AR11" s="1679"/>
      <c r="AS11" s="1677">
        <v>0</v>
      </c>
      <c r="AT11" s="1678"/>
      <c r="AU11" s="1679"/>
      <c r="AV11" s="182">
        <v>4</v>
      </c>
      <c r="AW11" s="1677">
        <v>84</v>
      </c>
      <c r="AX11" s="1679"/>
      <c r="AY11" s="1677">
        <v>78</v>
      </c>
      <c r="AZ11" s="1679"/>
      <c r="BA11" s="182">
        <v>162</v>
      </c>
      <c r="BB11" s="1675">
        <v>4</v>
      </c>
      <c r="BC11" s="1676"/>
      <c r="BD11" s="1673">
        <v>70</v>
      </c>
      <c r="BE11" s="1674"/>
      <c r="BF11" s="1673">
        <v>78</v>
      </c>
      <c r="BG11" s="1686"/>
      <c r="BH11" s="1674"/>
      <c r="BI11" s="1677">
        <v>148</v>
      </c>
      <c r="BJ11" s="1679"/>
      <c r="BK11" s="1677">
        <v>4</v>
      </c>
      <c r="BL11" s="1679"/>
      <c r="BM11" s="1677">
        <v>38</v>
      </c>
      <c r="BN11" s="1678"/>
      <c r="BO11" s="1678"/>
      <c r="BP11" s="1679"/>
      <c r="BQ11" s="181">
        <v>36</v>
      </c>
      <c r="BR11" s="1673">
        <v>74</v>
      </c>
      <c r="BS11" s="1674"/>
      <c r="BT11" s="1675">
        <v>12</v>
      </c>
      <c r="BU11" s="1676"/>
      <c r="BV11" s="1673">
        <v>192</v>
      </c>
      <c r="BW11" s="1686"/>
      <c r="BX11" s="1674"/>
      <c r="BY11" s="1677">
        <v>192</v>
      </c>
      <c r="BZ11" s="1679"/>
      <c r="CA11" s="1673">
        <v>384</v>
      </c>
      <c r="CB11" s="1686"/>
      <c r="CC11" s="1674"/>
      <c r="CD11" s="1677">
        <v>12</v>
      </c>
      <c r="CE11" s="1678"/>
      <c r="CF11" s="1679"/>
      <c r="CG11" s="1677">
        <v>192</v>
      </c>
      <c r="CH11" s="1678"/>
      <c r="CI11" s="1679"/>
      <c r="CJ11" s="1673">
        <v>192</v>
      </c>
      <c r="CK11" s="1686"/>
      <c r="CL11" s="1674"/>
      <c r="CM11" s="1677">
        <v>384</v>
      </c>
      <c r="CN11" s="1678"/>
      <c r="CO11" s="1679"/>
      <c r="CP11" s="1409">
        <v>192</v>
      </c>
      <c r="CQ11" s="1410"/>
      <c r="CR11" s="1410"/>
      <c r="CS11" s="1409">
        <v>192</v>
      </c>
      <c r="CT11" s="1410"/>
      <c r="CU11" s="1410"/>
      <c r="CV11" s="1677">
        <f t="shared" si="0"/>
        <v>384</v>
      </c>
      <c r="CW11" s="1679"/>
      <c r="CX11" s="1379" t="s">
        <v>35</v>
      </c>
      <c r="CY11" s="1381"/>
      <c r="CZ11" s="1381"/>
      <c r="DA11" s="1381"/>
      <c r="DB11" s="1667">
        <f t="shared" si="1"/>
        <v>90000</v>
      </c>
      <c r="DC11" s="1667"/>
      <c r="DD11" s="1667"/>
      <c r="DE11" s="1667"/>
      <c r="DF11" s="1667"/>
      <c r="DG11" s="1668"/>
    </row>
    <row r="12" spans="1:111" ht="23.25">
      <c r="A12" s="252">
        <v>6</v>
      </c>
      <c r="B12" s="1385" t="s">
        <v>126</v>
      </c>
      <c r="C12" s="1386"/>
      <c r="D12" s="1386"/>
      <c r="E12" s="1386"/>
      <c r="F12" s="1387"/>
      <c r="G12" s="1379" t="s">
        <v>121</v>
      </c>
      <c r="H12" s="1381"/>
      <c r="I12" s="1380"/>
      <c r="J12" s="1671">
        <v>9</v>
      </c>
      <c r="K12" s="1672"/>
      <c r="L12" s="1673">
        <v>0</v>
      </c>
      <c r="M12" s="1674"/>
      <c r="N12" s="1673">
        <v>0</v>
      </c>
      <c r="O12" s="1674"/>
      <c r="P12" s="1698">
        <v>0</v>
      </c>
      <c r="Q12" s="1699"/>
      <c r="R12" s="1673">
        <v>0</v>
      </c>
      <c r="S12" s="1674"/>
      <c r="T12" s="1673">
        <v>0</v>
      </c>
      <c r="U12" s="1674"/>
      <c r="V12" s="1677">
        <v>0</v>
      </c>
      <c r="W12" s="1678"/>
      <c r="X12" s="1679"/>
      <c r="Y12" s="1677">
        <v>0</v>
      </c>
      <c r="Z12" s="1679"/>
      <c r="AA12" s="1677">
        <v>0</v>
      </c>
      <c r="AB12" s="1679"/>
      <c r="AC12" s="1673">
        <v>0</v>
      </c>
      <c r="AD12" s="1674"/>
      <c r="AE12" s="1677">
        <v>0</v>
      </c>
      <c r="AF12" s="1679"/>
      <c r="AG12" s="1677">
        <v>0</v>
      </c>
      <c r="AH12" s="1679"/>
      <c r="AI12" s="1673">
        <v>0</v>
      </c>
      <c r="AJ12" s="1674"/>
      <c r="AK12" s="1673">
        <v>0</v>
      </c>
      <c r="AL12" s="1674"/>
      <c r="AM12" s="1675">
        <v>0</v>
      </c>
      <c r="AN12" s="1676"/>
      <c r="AO12" s="1677">
        <v>0</v>
      </c>
      <c r="AP12" s="1678"/>
      <c r="AQ12" s="1678"/>
      <c r="AR12" s="1679"/>
      <c r="AS12" s="1677">
        <v>0</v>
      </c>
      <c r="AT12" s="1678"/>
      <c r="AU12" s="1679"/>
      <c r="AV12" s="182">
        <v>3</v>
      </c>
      <c r="AW12" s="1677">
        <v>63</v>
      </c>
      <c r="AX12" s="1679"/>
      <c r="AY12" s="1677">
        <v>44</v>
      </c>
      <c r="AZ12" s="1679"/>
      <c r="BA12" s="182">
        <v>107</v>
      </c>
      <c r="BB12" s="1675">
        <v>3</v>
      </c>
      <c r="BC12" s="1676"/>
      <c r="BD12" s="1673">
        <v>81</v>
      </c>
      <c r="BE12" s="1674"/>
      <c r="BF12" s="1673">
        <v>47</v>
      </c>
      <c r="BG12" s="1686"/>
      <c r="BH12" s="1674"/>
      <c r="BI12" s="1677">
        <v>128</v>
      </c>
      <c r="BJ12" s="1679"/>
      <c r="BK12" s="1677">
        <v>3</v>
      </c>
      <c r="BL12" s="1679"/>
      <c r="BM12" s="1677">
        <v>34</v>
      </c>
      <c r="BN12" s="1678"/>
      <c r="BO12" s="1678"/>
      <c r="BP12" s="1679"/>
      <c r="BQ12" s="181">
        <v>41</v>
      </c>
      <c r="BR12" s="1673">
        <v>75</v>
      </c>
      <c r="BS12" s="1674"/>
      <c r="BT12" s="1675">
        <v>9</v>
      </c>
      <c r="BU12" s="1676"/>
      <c r="BV12" s="1673">
        <v>178</v>
      </c>
      <c r="BW12" s="1686"/>
      <c r="BX12" s="1674"/>
      <c r="BY12" s="1677">
        <v>132</v>
      </c>
      <c r="BZ12" s="1679"/>
      <c r="CA12" s="1673">
        <v>310</v>
      </c>
      <c r="CB12" s="1686"/>
      <c r="CC12" s="1674"/>
      <c r="CD12" s="1677">
        <v>9</v>
      </c>
      <c r="CE12" s="1678"/>
      <c r="CF12" s="1679"/>
      <c r="CG12" s="1677">
        <v>178</v>
      </c>
      <c r="CH12" s="1678"/>
      <c r="CI12" s="1679"/>
      <c r="CJ12" s="1673">
        <v>132</v>
      </c>
      <c r="CK12" s="1686"/>
      <c r="CL12" s="1674"/>
      <c r="CM12" s="1677">
        <v>310</v>
      </c>
      <c r="CN12" s="1678"/>
      <c r="CO12" s="1679"/>
      <c r="CP12" s="1409">
        <v>178</v>
      </c>
      <c r="CQ12" s="1410"/>
      <c r="CR12" s="1410"/>
      <c r="CS12" s="1409">
        <v>132</v>
      </c>
      <c r="CT12" s="1410"/>
      <c r="CU12" s="1410"/>
      <c r="CV12" s="1677">
        <f t="shared" si="0"/>
        <v>310</v>
      </c>
      <c r="CW12" s="1679"/>
      <c r="CX12" s="1379" t="s">
        <v>35</v>
      </c>
      <c r="CY12" s="1381"/>
      <c r="CZ12" s="1381"/>
      <c r="DA12" s="1381"/>
      <c r="DB12" s="1667">
        <f t="shared" si="1"/>
        <v>90000</v>
      </c>
      <c r="DC12" s="1667"/>
      <c r="DD12" s="1667"/>
      <c r="DE12" s="1667"/>
      <c r="DF12" s="1667"/>
      <c r="DG12" s="1668"/>
    </row>
    <row r="13" spans="1:111" ht="23.25">
      <c r="A13" s="252">
        <v>7</v>
      </c>
      <c r="B13" s="1385" t="s">
        <v>127</v>
      </c>
      <c r="C13" s="1386"/>
      <c r="D13" s="1386"/>
      <c r="E13" s="1386"/>
      <c r="F13" s="1387"/>
      <c r="G13" s="1379" t="s">
        <v>121</v>
      </c>
      <c r="H13" s="1381"/>
      <c r="I13" s="1380"/>
      <c r="J13" s="1671">
        <v>3</v>
      </c>
      <c r="K13" s="1672"/>
      <c r="L13" s="1673">
        <v>0</v>
      </c>
      <c r="M13" s="1674"/>
      <c r="N13" s="1673">
        <v>0</v>
      </c>
      <c r="O13" s="1674"/>
      <c r="P13" s="1698">
        <v>0</v>
      </c>
      <c r="Q13" s="1699"/>
      <c r="R13" s="1673">
        <v>0</v>
      </c>
      <c r="S13" s="1674"/>
      <c r="T13" s="1673">
        <v>0</v>
      </c>
      <c r="U13" s="1674"/>
      <c r="V13" s="1677">
        <v>0</v>
      </c>
      <c r="W13" s="1678"/>
      <c r="X13" s="1679"/>
      <c r="Y13" s="1677">
        <v>0</v>
      </c>
      <c r="Z13" s="1679"/>
      <c r="AA13" s="1677">
        <v>0</v>
      </c>
      <c r="AB13" s="1679"/>
      <c r="AC13" s="1673">
        <v>0</v>
      </c>
      <c r="AD13" s="1674"/>
      <c r="AE13" s="1677">
        <v>0</v>
      </c>
      <c r="AF13" s="1679"/>
      <c r="AG13" s="1677">
        <v>0</v>
      </c>
      <c r="AH13" s="1679"/>
      <c r="AI13" s="1673">
        <v>0</v>
      </c>
      <c r="AJ13" s="1674"/>
      <c r="AK13" s="1673">
        <v>0</v>
      </c>
      <c r="AL13" s="1674"/>
      <c r="AM13" s="1675">
        <v>0</v>
      </c>
      <c r="AN13" s="1676"/>
      <c r="AO13" s="1677">
        <v>0</v>
      </c>
      <c r="AP13" s="1678"/>
      <c r="AQ13" s="1678"/>
      <c r="AR13" s="1679"/>
      <c r="AS13" s="1677">
        <v>0</v>
      </c>
      <c r="AT13" s="1678"/>
      <c r="AU13" s="1679"/>
      <c r="AV13" s="182">
        <v>2</v>
      </c>
      <c r="AW13" s="1677">
        <v>33</v>
      </c>
      <c r="AX13" s="1679"/>
      <c r="AY13" s="1677">
        <v>33</v>
      </c>
      <c r="AZ13" s="1679"/>
      <c r="BA13" s="182">
        <v>66</v>
      </c>
      <c r="BB13" s="1675">
        <v>2</v>
      </c>
      <c r="BC13" s="1676"/>
      <c r="BD13" s="1673">
        <v>12</v>
      </c>
      <c r="BE13" s="1674"/>
      <c r="BF13" s="1673">
        <v>25</v>
      </c>
      <c r="BG13" s="1686"/>
      <c r="BH13" s="1674"/>
      <c r="BI13" s="1677">
        <v>37</v>
      </c>
      <c r="BJ13" s="1679"/>
      <c r="BK13" s="1677">
        <v>2</v>
      </c>
      <c r="BL13" s="1679"/>
      <c r="BM13" s="1677">
        <v>17</v>
      </c>
      <c r="BN13" s="1678"/>
      <c r="BO13" s="1678"/>
      <c r="BP13" s="1679"/>
      <c r="BQ13" s="181">
        <v>30</v>
      </c>
      <c r="BR13" s="1673">
        <v>47</v>
      </c>
      <c r="BS13" s="1674"/>
      <c r="BT13" s="1675">
        <v>6</v>
      </c>
      <c r="BU13" s="1676"/>
      <c r="BV13" s="1673">
        <v>62</v>
      </c>
      <c r="BW13" s="1686"/>
      <c r="BX13" s="1674"/>
      <c r="BY13" s="1677">
        <v>88</v>
      </c>
      <c r="BZ13" s="1679"/>
      <c r="CA13" s="1673">
        <v>150</v>
      </c>
      <c r="CB13" s="1686"/>
      <c r="CC13" s="1674"/>
      <c r="CD13" s="1677">
        <v>6</v>
      </c>
      <c r="CE13" s="1678"/>
      <c r="CF13" s="1679"/>
      <c r="CG13" s="1677">
        <v>62</v>
      </c>
      <c r="CH13" s="1678"/>
      <c r="CI13" s="1679"/>
      <c r="CJ13" s="1673">
        <v>88</v>
      </c>
      <c r="CK13" s="1686"/>
      <c r="CL13" s="1674"/>
      <c r="CM13" s="1677">
        <v>150</v>
      </c>
      <c r="CN13" s="1678"/>
      <c r="CO13" s="1679"/>
      <c r="CP13" s="1409">
        <v>62</v>
      </c>
      <c r="CQ13" s="1410"/>
      <c r="CR13" s="1410"/>
      <c r="CS13" s="1409">
        <v>88</v>
      </c>
      <c r="CT13" s="1410"/>
      <c r="CU13" s="1410"/>
      <c r="CV13" s="1677">
        <f t="shared" si="0"/>
        <v>150</v>
      </c>
      <c r="CW13" s="1679"/>
      <c r="CX13" s="1379" t="s">
        <v>35</v>
      </c>
      <c r="CY13" s="1381"/>
      <c r="CZ13" s="1381"/>
      <c r="DA13" s="1381"/>
      <c r="DB13" s="1667">
        <f t="shared" si="1"/>
        <v>90000</v>
      </c>
      <c r="DC13" s="1667"/>
      <c r="DD13" s="1667"/>
      <c r="DE13" s="1667"/>
      <c r="DF13" s="1667"/>
      <c r="DG13" s="1668"/>
    </row>
    <row r="14" spans="1:111" ht="23.25">
      <c r="A14" s="252">
        <v>8</v>
      </c>
      <c r="B14" s="1385" t="s">
        <v>128</v>
      </c>
      <c r="C14" s="1386"/>
      <c r="D14" s="1386"/>
      <c r="E14" s="1386"/>
      <c r="F14" s="1387"/>
      <c r="G14" s="1379" t="s">
        <v>121</v>
      </c>
      <c r="H14" s="1381"/>
      <c r="I14" s="1380"/>
      <c r="J14" s="1671">
        <v>7</v>
      </c>
      <c r="K14" s="1672"/>
      <c r="L14" s="1673">
        <v>0</v>
      </c>
      <c r="M14" s="1674"/>
      <c r="N14" s="1673">
        <v>0</v>
      </c>
      <c r="O14" s="1674"/>
      <c r="P14" s="1698">
        <v>0</v>
      </c>
      <c r="Q14" s="1699"/>
      <c r="R14" s="1673">
        <v>0</v>
      </c>
      <c r="S14" s="1674"/>
      <c r="T14" s="1673">
        <v>0</v>
      </c>
      <c r="U14" s="1674"/>
      <c r="V14" s="1677">
        <v>0</v>
      </c>
      <c r="W14" s="1678"/>
      <c r="X14" s="1679"/>
      <c r="Y14" s="1677">
        <v>0</v>
      </c>
      <c r="Z14" s="1679"/>
      <c r="AA14" s="1677">
        <v>0</v>
      </c>
      <c r="AB14" s="1679"/>
      <c r="AC14" s="1673">
        <v>0</v>
      </c>
      <c r="AD14" s="1674"/>
      <c r="AE14" s="1677">
        <v>0</v>
      </c>
      <c r="AF14" s="1679"/>
      <c r="AG14" s="1677">
        <v>0</v>
      </c>
      <c r="AH14" s="1679"/>
      <c r="AI14" s="1673">
        <v>0</v>
      </c>
      <c r="AJ14" s="1674"/>
      <c r="AK14" s="1673">
        <v>0</v>
      </c>
      <c r="AL14" s="1674"/>
      <c r="AM14" s="1675">
        <v>0</v>
      </c>
      <c r="AN14" s="1676"/>
      <c r="AO14" s="1677">
        <v>0</v>
      </c>
      <c r="AP14" s="1678"/>
      <c r="AQ14" s="1678"/>
      <c r="AR14" s="1679"/>
      <c r="AS14" s="1677">
        <v>0</v>
      </c>
      <c r="AT14" s="1678"/>
      <c r="AU14" s="1679"/>
      <c r="AV14" s="182">
        <v>3</v>
      </c>
      <c r="AW14" s="1677">
        <v>38</v>
      </c>
      <c r="AX14" s="1679"/>
      <c r="AY14" s="1677">
        <v>41</v>
      </c>
      <c r="AZ14" s="1679"/>
      <c r="BA14" s="182">
        <v>79</v>
      </c>
      <c r="BB14" s="1675">
        <v>3</v>
      </c>
      <c r="BC14" s="1676"/>
      <c r="BD14" s="1673">
        <v>36</v>
      </c>
      <c r="BE14" s="1674"/>
      <c r="BF14" s="1673">
        <v>34</v>
      </c>
      <c r="BG14" s="1686"/>
      <c r="BH14" s="1674"/>
      <c r="BI14" s="1677">
        <v>70</v>
      </c>
      <c r="BJ14" s="1679"/>
      <c r="BK14" s="1677">
        <v>3</v>
      </c>
      <c r="BL14" s="1679"/>
      <c r="BM14" s="1677">
        <v>21</v>
      </c>
      <c r="BN14" s="1678"/>
      <c r="BO14" s="1678"/>
      <c r="BP14" s="1679"/>
      <c r="BQ14" s="181">
        <v>36</v>
      </c>
      <c r="BR14" s="1673">
        <v>57</v>
      </c>
      <c r="BS14" s="1674"/>
      <c r="BT14" s="1675">
        <v>9</v>
      </c>
      <c r="BU14" s="1676"/>
      <c r="BV14" s="1673">
        <v>95</v>
      </c>
      <c r="BW14" s="1686"/>
      <c r="BX14" s="1674"/>
      <c r="BY14" s="1677">
        <v>111</v>
      </c>
      <c r="BZ14" s="1679"/>
      <c r="CA14" s="1673">
        <v>206</v>
      </c>
      <c r="CB14" s="1686"/>
      <c r="CC14" s="1674"/>
      <c r="CD14" s="1677">
        <v>9</v>
      </c>
      <c r="CE14" s="1678"/>
      <c r="CF14" s="1679"/>
      <c r="CG14" s="1677">
        <v>95</v>
      </c>
      <c r="CH14" s="1678"/>
      <c r="CI14" s="1679"/>
      <c r="CJ14" s="1673">
        <v>111</v>
      </c>
      <c r="CK14" s="1686"/>
      <c r="CL14" s="1674"/>
      <c r="CM14" s="1677">
        <v>206</v>
      </c>
      <c r="CN14" s="1678"/>
      <c r="CO14" s="1679"/>
      <c r="CP14" s="1409">
        <v>95</v>
      </c>
      <c r="CQ14" s="1410"/>
      <c r="CR14" s="1410"/>
      <c r="CS14" s="1409">
        <v>111</v>
      </c>
      <c r="CT14" s="1410"/>
      <c r="CU14" s="1410"/>
      <c r="CV14" s="1677">
        <f t="shared" si="0"/>
        <v>206</v>
      </c>
      <c r="CW14" s="1679"/>
      <c r="CX14" s="1379" t="s">
        <v>35</v>
      </c>
      <c r="CY14" s="1381"/>
      <c r="CZ14" s="1381"/>
      <c r="DA14" s="1381"/>
      <c r="DB14" s="1667">
        <f t="shared" si="1"/>
        <v>90000</v>
      </c>
      <c r="DC14" s="1667"/>
      <c r="DD14" s="1667"/>
      <c r="DE14" s="1667"/>
      <c r="DF14" s="1667"/>
      <c r="DG14" s="1668"/>
    </row>
    <row r="15" spans="1:111" ht="23.25">
      <c r="A15" s="252">
        <v>9</v>
      </c>
      <c r="B15" s="1385" t="s">
        <v>129</v>
      </c>
      <c r="C15" s="1386"/>
      <c r="D15" s="1386"/>
      <c r="E15" s="1386"/>
      <c r="F15" s="1387"/>
      <c r="G15" s="1379" t="s">
        <v>121</v>
      </c>
      <c r="H15" s="1381"/>
      <c r="I15" s="1380"/>
      <c r="J15" s="1671">
        <v>8</v>
      </c>
      <c r="K15" s="1672"/>
      <c r="L15" s="1673">
        <v>1</v>
      </c>
      <c r="M15" s="1674"/>
      <c r="N15" s="1673">
        <v>37</v>
      </c>
      <c r="O15" s="1674"/>
      <c r="P15" s="1675">
        <v>25</v>
      </c>
      <c r="Q15" s="1676"/>
      <c r="R15" s="1673">
        <v>62</v>
      </c>
      <c r="S15" s="1674"/>
      <c r="T15" s="1673">
        <v>1</v>
      </c>
      <c r="U15" s="1674"/>
      <c r="V15" s="1677">
        <v>28</v>
      </c>
      <c r="W15" s="1678"/>
      <c r="X15" s="1679"/>
      <c r="Y15" s="1677">
        <v>21</v>
      </c>
      <c r="Z15" s="1679"/>
      <c r="AA15" s="1677">
        <v>49</v>
      </c>
      <c r="AB15" s="1679"/>
      <c r="AC15" s="1673">
        <v>1</v>
      </c>
      <c r="AD15" s="1674"/>
      <c r="AE15" s="1677">
        <v>22</v>
      </c>
      <c r="AF15" s="1679"/>
      <c r="AG15" s="1677">
        <v>13</v>
      </c>
      <c r="AH15" s="1679"/>
      <c r="AI15" s="1673">
        <v>35</v>
      </c>
      <c r="AJ15" s="1674"/>
      <c r="AK15" s="1673">
        <v>3</v>
      </c>
      <c r="AL15" s="1674"/>
      <c r="AM15" s="1675">
        <v>87</v>
      </c>
      <c r="AN15" s="1676"/>
      <c r="AO15" s="1677">
        <v>59</v>
      </c>
      <c r="AP15" s="1678"/>
      <c r="AQ15" s="1678"/>
      <c r="AR15" s="1679"/>
      <c r="AS15" s="1677">
        <v>146</v>
      </c>
      <c r="AT15" s="1678"/>
      <c r="AU15" s="1679"/>
      <c r="AV15" s="182">
        <v>1</v>
      </c>
      <c r="AW15" s="1677">
        <v>18</v>
      </c>
      <c r="AX15" s="1679"/>
      <c r="AY15" s="1677">
        <v>23</v>
      </c>
      <c r="AZ15" s="1679"/>
      <c r="BA15" s="182">
        <v>41</v>
      </c>
      <c r="BB15" s="1675">
        <v>1</v>
      </c>
      <c r="BC15" s="1676"/>
      <c r="BD15" s="1673">
        <v>6</v>
      </c>
      <c r="BE15" s="1674"/>
      <c r="BF15" s="1673">
        <v>8</v>
      </c>
      <c r="BG15" s="1686"/>
      <c r="BH15" s="1674"/>
      <c r="BI15" s="1677">
        <v>14</v>
      </c>
      <c r="BJ15" s="1679"/>
      <c r="BK15" s="1677">
        <v>1</v>
      </c>
      <c r="BL15" s="1679"/>
      <c r="BM15" s="1677">
        <v>12</v>
      </c>
      <c r="BN15" s="1678"/>
      <c r="BO15" s="1678"/>
      <c r="BP15" s="1679"/>
      <c r="BQ15" s="181">
        <v>16</v>
      </c>
      <c r="BR15" s="1673">
        <v>28</v>
      </c>
      <c r="BS15" s="1674"/>
      <c r="BT15" s="1675">
        <v>3</v>
      </c>
      <c r="BU15" s="1676"/>
      <c r="BV15" s="1673">
        <v>36</v>
      </c>
      <c r="BW15" s="1686"/>
      <c r="BX15" s="1674"/>
      <c r="BY15" s="1677">
        <v>47</v>
      </c>
      <c r="BZ15" s="1679"/>
      <c r="CA15" s="1673">
        <v>83</v>
      </c>
      <c r="CB15" s="1686"/>
      <c r="CC15" s="1674"/>
      <c r="CD15" s="1677">
        <v>6</v>
      </c>
      <c r="CE15" s="1678"/>
      <c r="CF15" s="1679"/>
      <c r="CG15" s="1677">
        <v>123</v>
      </c>
      <c r="CH15" s="1678"/>
      <c r="CI15" s="1679"/>
      <c r="CJ15" s="1673">
        <v>106</v>
      </c>
      <c r="CK15" s="1686"/>
      <c r="CL15" s="1674"/>
      <c r="CM15" s="1677">
        <v>229</v>
      </c>
      <c r="CN15" s="1678"/>
      <c r="CO15" s="1679"/>
      <c r="CP15" s="1409">
        <v>123</v>
      </c>
      <c r="CQ15" s="1410"/>
      <c r="CR15" s="1410"/>
      <c r="CS15" s="1409">
        <v>106</v>
      </c>
      <c r="CT15" s="1410"/>
      <c r="CU15" s="1410"/>
      <c r="CV15" s="1677">
        <f t="shared" si="0"/>
        <v>229</v>
      </c>
      <c r="CW15" s="1679"/>
      <c r="CX15" s="1379" t="s">
        <v>35</v>
      </c>
      <c r="CY15" s="1381"/>
      <c r="CZ15" s="1381"/>
      <c r="DA15" s="1381"/>
      <c r="DB15" s="1667">
        <f t="shared" si="1"/>
        <v>90000</v>
      </c>
      <c r="DC15" s="1667"/>
      <c r="DD15" s="1667"/>
      <c r="DE15" s="1667"/>
      <c r="DF15" s="1667"/>
      <c r="DG15" s="1668"/>
    </row>
    <row r="16" spans="1:111" ht="23.25">
      <c r="A16" s="252">
        <v>10</v>
      </c>
      <c r="B16" s="1385" t="s">
        <v>130</v>
      </c>
      <c r="C16" s="1386"/>
      <c r="D16" s="1386"/>
      <c r="E16" s="1386"/>
      <c r="F16" s="1387"/>
      <c r="G16" s="1373" t="s">
        <v>16</v>
      </c>
      <c r="H16" s="1374"/>
      <c r="I16" s="1375"/>
      <c r="J16" s="1671">
        <v>2</v>
      </c>
      <c r="K16" s="1672"/>
      <c r="L16" s="1673">
        <v>2</v>
      </c>
      <c r="M16" s="1674"/>
      <c r="N16" s="1673">
        <v>29</v>
      </c>
      <c r="O16" s="1674"/>
      <c r="P16" s="1675">
        <v>17</v>
      </c>
      <c r="Q16" s="1676"/>
      <c r="R16" s="1673">
        <v>46</v>
      </c>
      <c r="S16" s="1674"/>
      <c r="T16" s="1673">
        <v>2</v>
      </c>
      <c r="U16" s="1674"/>
      <c r="V16" s="1677">
        <v>28</v>
      </c>
      <c r="W16" s="1678"/>
      <c r="X16" s="1679"/>
      <c r="Y16" s="1677">
        <v>23</v>
      </c>
      <c r="Z16" s="1679"/>
      <c r="AA16" s="1677">
        <v>51</v>
      </c>
      <c r="AB16" s="1679"/>
      <c r="AC16" s="1673">
        <v>2</v>
      </c>
      <c r="AD16" s="1674"/>
      <c r="AE16" s="1677">
        <v>21</v>
      </c>
      <c r="AF16" s="1679"/>
      <c r="AG16" s="1677">
        <v>16</v>
      </c>
      <c r="AH16" s="1679"/>
      <c r="AI16" s="1673">
        <v>37</v>
      </c>
      <c r="AJ16" s="1674"/>
      <c r="AK16" s="1673">
        <v>6</v>
      </c>
      <c r="AL16" s="1674"/>
      <c r="AM16" s="1675">
        <v>78</v>
      </c>
      <c r="AN16" s="1676"/>
      <c r="AO16" s="1677">
        <v>56</v>
      </c>
      <c r="AP16" s="1678"/>
      <c r="AQ16" s="1678"/>
      <c r="AR16" s="1679"/>
      <c r="AS16" s="1677">
        <v>134</v>
      </c>
      <c r="AT16" s="1678"/>
      <c r="AU16" s="1679"/>
      <c r="AV16" s="182">
        <v>2</v>
      </c>
      <c r="AW16" s="1677">
        <v>18</v>
      </c>
      <c r="AX16" s="1679"/>
      <c r="AY16" s="1677">
        <v>23</v>
      </c>
      <c r="AZ16" s="1679"/>
      <c r="BA16" s="182">
        <v>41</v>
      </c>
      <c r="BB16" s="1675">
        <v>2</v>
      </c>
      <c r="BC16" s="1676"/>
      <c r="BD16" s="1673">
        <v>23</v>
      </c>
      <c r="BE16" s="1674"/>
      <c r="BF16" s="1673">
        <v>16</v>
      </c>
      <c r="BG16" s="1686"/>
      <c r="BH16" s="1674"/>
      <c r="BI16" s="1677">
        <v>39</v>
      </c>
      <c r="BJ16" s="1679"/>
      <c r="BK16" s="1677">
        <v>2</v>
      </c>
      <c r="BL16" s="1679"/>
      <c r="BM16" s="1677">
        <v>8</v>
      </c>
      <c r="BN16" s="1678"/>
      <c r="BO16" s="1678"/>
      <c r="BP16" s="1679"/>
      <c r="BQ16" s="181">
        <v>15</v>
      </c>
      <c r="BR16" s="1673">
        <v>23</v>
      </c>
      <c r="BS16" s="1674"/>
      <c r="BT16" s="1675">
        <v>6</v>
      </c>
      <c r="BU16" s="1676"/>
      <c r="BV16" s="1673">
        <v>49</v>
      </c>
      <c r="BW16" s="1686"/>
      <c r="BX16" s="1674"/>
      <c r="BY16" s="1677">
        <v>54</v>
      </c>
      <c r="BZ16" s="1679"/>
      <c r="CA16" s="1673">
        <v>103</v>
      </c>
      <c r="CB16" s="1686"/>
      <c r="CC16" s="1674"/>
      <c r="CD16" s="1677">
        <v>12</v>
      </c>
      <c r="CE16" s="1678"/>
      <c r="CF16" s="1679"/>
      <c r="CG16" s="1677">
        <v>127</v>
      </c>
      <c r="CH16" s="1678"/>
      <c r="CI16" s="1679"/>
      <c r="CJ16" s="1673">
        <v>110</v>
      </c>
      <c r="CK16" s="1686"/>
      <c r="CL16" s="1674"/>
      <c r="CM16" s="1677">
        <v>237</v>
      </c>
      <c r="CN16" s="1678"/>
      <c r="CO16" s="1679"/>
      <c r="CP16" s="1409">
        <v>127</v>
      </c>
      <c r="CQ16" s="1410"/>
      <c r="CR16" s="1410"/>
      <c r="CS16" s="1409">
        <v>110</v>
      </c>
      <c r="CT16" s="1410"/>
      <c r="CU16" s="1410"/>
      <c r="CV16" s="1677">
        <f t="shared" si="0"/>
        <v>237</v>
      </c>
      <c r="CW16" s="1679"/>
      <c r="CX16" s="1379" t="s">
        <v>35</v>
      </c>
      <c r="CY16" s="1381"/>
      <c r="CZ16" s="1381"/>
      <c r="DA16" s="1381"/>
      <c r="DB16" s="1667">
        <f t="shared" si="1"/>
        <v>90000</v>
      </c>
      <c r="DC16" s="1667"/>
      <c r="DD16" s="1667"/>
      <c r="DE16" s="1667"/>
      <c r="DF16" s="1667"/>
      <c r="DG16" s="1668"/>
    </row>
    <row r="17" spans="1:111" ht="23.25">
      <c r="A17" s="252">
        <v>11</v>
      </c>
      <c r="B17" s="1385" t="s">
        <v>131</v>
      </c>
      <c r="C17" s="1386"/>
      <c r="D17" s="1386"/>
      <c r="E17" s="1386"/>
      <c r="F17" s="1387"/>
      <c r="G17" s="1379" t="s">
        <v>121</v>
      </c>
      <c r="H17" s="1381"/>
      <c r="I17" s="1380"/>
      <c r="J17" s="1671">
        <v>10</v>
      </c>
      <c r="K17" s="1672"/>
      <c r="L17" s="1673">
        <v>2</v>
      </c>
      <c r="M17" s="1674"/>
      <c r="N17" s="1673">
        <v>52</v>
      </c>
      <c r="O17" s="1674"/>
      <c r="P17" s="1675">
        <v>31</v>
      </c>
      <c r="Q17" s="1676"/>
      <c r="R17" s="1673">
        <v>83</v>
      </c>
      <c r="S17" s="1674"/>
      <c r="T17" s="1673">
        <v>2</v>
      </c>
      <c r="U17" s="1674"/>
      <c r="V17" s="1677">
        <v>58</v>
      </c>
      <c r="W17" s="1678"/>
      <c r="X17" s="1679"/>
      <c r="Y17" s="1677">
        <v>51</v>
      </c>
      <c r="Z17" s="1679"/>
      <c r="AA17" s="1677">
        <v>109</v>
      </c>
      <c r="AB17" s="1679"/>
      <c r="AC17" s="1673">
        <v>2</v>
      </c>
      <c r="AD17" s="1674"/>
      <c r="AE17" s="1677">
        <v>44</v>
      </c>
      <c r="AF17" s="1679"/>
      <c r="AG17" s="1677">
        <v>39</v>
      </c>
      <c r="AH17" s="1679"/>
      <c r="AI17" s="1673">
        <v>83</v>
      </c>
      <c r="AJ17" s="1674"/>
      <c r="AK17" s="1673">
        <v>6</v>
      </c>
      <c r="AL17" s="1674"/>
      <c r="AM17" s="1675">
        <v>154</v>
      </c>
      <c r="AN17" s="1676"/>
      <c r="AO17" s="1677">
        <v>121</v>
      </c>
      <c r="AP17" s="1678"/>
      <c r="AQ17" s="1678"/>
      <c r="AR17" s="1679"/>
      <c r="AS17" s="1677">
        <v>275</v>
      </c>
      <c r="AT17" s="1678"/>
      <c r="AU17" s="1679"/>
      <c r="AV17" s="182">
        <v>3</v>
      </c>
      <c r="AW17" s="1677">
        <v>53</v>
      </c>
      <c r="AX17" s="1679"/>
      <c r="AY17" s="1677">
        <v>40</v>
      </c>
      <c r="AZ17" s="1679"/>
      <c r="BA17" s="182">
        <v>93</v>
      </c>
      <c r="BB17" s="1675">
        <v>3</v>
      </c>
      <c r="BC17" s="1676"/>
      <c r="BD17" s="1673">
        <v>33</v>
      </c>
      <c r="BE17" s="1674"/>
      <c r="BF17" s="1673">
        <v>40</v>
      </c>
      <c r="BG17" s="1686"/>
      <c r="BH17" s="1674"/>
      <c r="BI17" s="1677">
        <v>73</v>
      </c>
      <c r="BJ17" s="1679"/>
      <c r="BK17" s="1677">
        <v>3</v>
      </c>
      <c r="BL17" s="1679"/>
      <c r="BM17" s="1677">
        <v>22</v>
      </c>
      <c r="BN17" s="1678"/>
      <c r="BO17" s="1678"/>
      <c r="BP17" s="1679"/>
      <c r="BQ17" s="181">
        <v>24</v>
      </c>
      <c r="BR17" s="1673">
        <v>46</v>
      </c>
      <c r="BS17" s="1674"/>
      <c r="BT17" s="1675">
        <v>9</v>
      </c>
      <c r="BU17" s="1676"/>
      <c r="BV17" s="1673">
        <v>108</v>
      </c>
      <c r="BW17" s="1686"/>
      <c r="BX17" s="1674"/>
      <c r="BY17" s="1677">
        <v>104</v>
      </c>
      <c r="BZ17" s="1679"/>
      <c r="CA17" s="1673">
        <v>212</v>
      </c>
      <c r="CB17" s="1686"/>
      <c r="CC17" s="1674"/>
      <c r="CD17" s="1677">
        <v>15</v>
      </c>
      <c r="CE17" s="1678"/>
      <c r="CF17" s="1679"/>
      <c r="CG17" s="1677">
        <v>262</v>
      </c>
      <c r="CH17" s="1678"/>
      <c r="CI17" s="1679"/>
      <c r="CJ17" s="1673">
        <v>225</v>
      </c>
      <c r="CK17" s="1686"/>
      <c r="CL17" s="1674"/>
      <c r="CM17" s="1677">
        <v>487</v>
      </c>
      <c r="CN17" s="1678"/>
      <c r="CO17" s="1679"/>
      <c r="CP17" s="1409">
        <v>262</v>
      </c>
      <c r="CQ17" s="1410"/>
      <c r="CR17" s="1410"/>
      <c r="CS17" s="1409">
        <v>225</v>
      </c>
      <c r="CT17" s="1410"/>
      <c r="CU17" s="1410"/>
      <c r="CV17" s="1677">
        <f t="shared" si="0"/>
        <v>487</v>
      </c>
      <c r="CW17" s="1679"/>
      <c r="CX17" s="1379" t="s">
        <v>35</v>
      </c>
      <c r="CY17" s="1381"/>
      <c r="CZ17" s="1381"/>
      <c r="DA17" s="1381"/>
      <c r="DB17" s="1667">
        <f t="shared" si="1"/>
        <v>90000</v>
      </c>
      <c r="DC17" s="1667"/>
      <c r="DD17" s="1667"/>
      <c r="DE17" s="1667"/>
      <c r="DF17" s="1667"/>
      <c r="DG17" s="1668"/>
    </row>
    <row r="18" spans="1:111" ht="23.25">
      <c r="A18" s="252">
        <v>12</v>
      </c>
      <c r="B18" s="1373" t="s">
        <v>132</v>
      </c>
      <c r="C18" s="1374"/>
      <c r="D18" s="1374"/>
      <c r="E18" s="1374"/>
      <c r="F18" s="1375"/>
      <c r="G18" s="1373" t="s">
        <v>16</v>
      </c>
      <c r="H18" s="1374"/>
      <c r="I18" s="1375"/>
      <c r="J18" s="1671">
        <v>1</v>
      </c>
      <c r="K18" s="1672"/>
      <c r="L18" s="1673">
        <v>2</v>
      </c>
      <c r="M18" s="1674"/>
      <c r="N18" s="1673">
        <v>52</v>
      </c>
      <c r="O18" s="1674"/>
      <c r="P18" s="1675">
        <v>49</v>
      </c>
      <c r="Q18" s="1676"/>
      <c r="R18" s="1673">
        <v>101</v>
      </c>
      <c r="S18" s="1674"/>
      <c r="T18" s="1673">
        <v>2</v>
      </c>
      <c r="U18" s="1674"/>
      <c r="V18" s="1677">
        <v>41</v>
      </c>
      <c r="W18" s="1678"/>
      <c r="X18" s="1679"/>
      <c r="Y18" s="1677">
        <v>39</v>
      </c>
      <c r="Z18" s="1679"/>
      <c r="AA18" s="1677">
        <v>80</v>
      </c>
      <c r="AB18" s="1679"/>
      <c r="AC18" s="1673">
        <v>2</v>
      </c>
      <c r="AD18" s="1674"/>
      <c r="AE18" s="1677">
        <v>28</v>
      </c>
      <c r="AF18" s="1679"/>
      <c r="AG18" s="1677">
        <v>17</v>
      </c>
      <c r="AH18" s="1679"/>
      <c r="AI18" s="1673">
        <v>45</v>
      </c>
      <c r="AJ18" s="1674"/>
      <c r="AK18" s="1673">
        <v>6</v>
      </c>
      <c r="AL18" s="1674"/>
      <c r="AM18" s="1675">
        <v>121</v>
      </c>
      <c r="AN18" s="1676"/>
      <c r="AO18" s="1677">
        <v>105</v>
      </c>
      <c r="AP18" s="1678"/>
      <c r="AQ18" s="1678"/>
      <c r="AR18" s="1679"/>
      <c r="AS18" s="1677">
        <v>226</v>
      </c>
      <c r="AT18" s="1678"/>
      <c r="AU18" s="1679"/>
      <c r="AV18" s="182">
        <v>2</v>
      </c>
      <c r="AW18" s="1677">
        <v>38</v>
      </c>
      <c r="AX18" s="1679"/>
      <c r="AY18" s="1677">
        <v>35</v>
      </c>
      <c r="AZ18" s="1679"/>
      <c r="BA18" s="182">
        <v>73</v>
      </c>
      <c r="BB18" s="1675">
        <v>2</v>
      </c>
      <c r="BC18" s="1676"/>
      <c r="BD18" s="1673">
        <v>14</v>
      </c>
      <c r="BE18" s="1674"/>
      <c r="BF18" s="1673">
        <v>11</v>
      </c>
      <c r="BG18" s="1686"/>
      <c r="BH18" s="1674"/>
      <c r="BI18" s="1677">
        <v>25</v>
      </c>
      <c r="BJ18" s="1679"/>
      <c r="BK18" s="1677">
        <v>2</v>
      </c>
      <c r="BL18" s="1679"/>
      <c r="BM18" s="1677">
        <v>26</v>
      </c>
      <c r="BN18" s="1678"/>
      <c r="BO18" s="1678"/>
      <c r="BP18" s="1679"/>
      <c r="BQ18" s="181">
        <v>23</v>
      </c>
      <c r="BR18" s="1673">
        <v>49</v>
      </c>
      <c r="BS18" s="1674"/>
      <c r="BT18" s="1675">
        <v>6</v>
      </c>
      <c r="BU18" s="1676"/>
      <c r="BV18" s="1673">
        <v>78</v>
      </c>
      <c r="BW18" s="1686"/>
      <c r="BX18" s="1674"/>
      <c r="BY18" s="1677">
        <v>69</v>
      </c>
      <c r="BZ18" s="1679"/>
      <c r="CA18" s="1673">
        <v>147</v>
      </c>
      <c r="CB18" s="1686"/>
      <c r="CC18" s="1674"/>
      <c r="CD18" s="1677">
        <v>12</v>
      </c>
      <c r="CE18" s="1678"/>
      <c r="CF18" s="1679"/>
      <c r="CG18" s="1677">
        <v>199</v>
      </c>
      <c r="CH18" s="1678"/>
      <c r="CI18" s="1679"/>
      <c r="CJ18" s="1673">
        <v>174</v>
      </c>
      <c r="CK18" s="1686"/>
      <c r="CL18" s="1674"/>
      <c r="CM18" s="1677">
        <v>373</v>
      </c>
      <c r="CN18" s="1678"/>
      <c r="CO18" s="1679"/>
      <c r="CP18" s="1409">
        <v>199</v>
      </c>
      <c r="CQ18" s="1410"/>
      <c r="CR18" s="1410"/>
      <c r="CS18" s="1409">
        <v>174</v>
      </c>
      <c r="CT18" s="1410"/>
      <c r="CU18" s="1410"/>
      <c r="CV18" s="1677">
        <f t="shared" si="0"/>
        <v>373</v>
      </c>
      <c r="CW18" s="1679"/>
      <c r="CX18" s="1379" t="s">
        <v>35</v>
      </c>
      <c r="CY18" s="1381"/>
      <c r="CZ18" s="1381"/>
      <c r="DA18" s="1381"/>
      <c r="DB18" s="1667">
        <f t="shared" si="1"/>
        <v>90000</v>
      </c>
      <c r="DC18" s="1667"/>
      <c r="DD18" s="1667"/>
      <c r="DE18" s="1667"/>
      <c r="DF18" s="1667"/>
      <c r="DG18" s="1668"/>
    </row>
    <row r="19" spans="1:111" ht="23.25">
      <c r="A19" s="252">
        <v>13</v>
      </c>
      <c r="B19" s="1385" t="s">
        <v>133</v>
      </c>
      <c r="C19" s="1386"/>
      <c r="D19" s="1386"/>
      <c r="E19" s="1386"/>
      <c r="F19" s="1387"/>
      <c r="G19" s="1373" t="s">
        <v>16</v>
      </c>
      <c r="H19" s="1374"/>
      <c r="I19" s="1375"/>
      <c r="J19" s="1671">
        <v>4</v>
      </c>
      <c r="K19" s="1672"/>
      <c r="L19" s="1673">
        <v>1</v>
      </c>
      <c r="M19" s="1674"/>
      <c r="N19" s="1673">
        <v>24</v>
      </c>
      <c r="O19" s="1674"/>
      <c r="P19" s="1675">
        <v>19</v>
      </c>
      <c r="Q19" s="1676"/>
      <c r="R19" s="1673">
        <v>43</v>
      </c>
      <c r="S19" s="1674"/>
      <c r="T19" s="1673">
        <v>1</v>
      </c>
      <c r="U19" s="1674"/>
      <c r="V19" s="1677">
        <v>24</v>
      </c>
      <c r="W19" s="1678"/>
      <c r="X19" s="1679"/>
      <c r="Y19" s="1677">
        <v>24</v>
      </c>
      <c r="Z19" s="1679"/>
      <c r="AA19" s="1677">
        <v>48</v>
      </c>
      <c r="AB19" s="1679"/>
      <c r="AC19" s="1673">
        <v>1</v>
      </c>
      <c r="AD19" s="1674"/>
      <c r="AE19" s="1677">
        <v>33</v>
      </c>
      <c r="AF19" s="1679"/>
      <c r="AG19" s="1677">
        <v>30</v>
      </c>
      <c r="AH19" s="1679"/>
      <c r="AI19" s="1673">
        <v>63</v>
      </c>
      <c r="AJ19" s="1674"/>
      <c r="AK19" s="1673">
        <v>3</v>
      </c>
      <c r="AL19" s="1674"/>
      <c r="AM19" s="1675">
        <v>81</v>
      </c>
      <c r="AN19" s="1676"/>
      <c r="AO19" s="1677">
        <v>73</v>
      </c>
      <c r="AP19" s="1678"/>
      <c r="AQ19" s="1678"/>
      <c r="AR19" s="1679"/>
      <c r="AS19" s="1677">
        <v>154</v>
      </c>
      <c r="AT19" s="1678"/>
      <c r="AU19" s="1679"/>
      <c r="AV19" s="182">
        <v>1</v>
      </c>
      <c r="AW19" s="1677">
        <v>15</v>
      </c>
      <c r="AX19" s="1679"/>
      <c r="AY19" s="1677">
        <v>9</v>
      </c>
      <c r="AZ19" s="1679"/>
      <c r="BA19" s="182">
        <v>24</v>
      </c>
      <c r="BB19" s="1675">
        <v>1</v>
      </c>
      <c r="BC19" s="1676"/>
      <c r="BD19" s="1673">
        <v>25</v>
      </c>
      <c r="BE19" s="1674"/>
      <c r="BF19" s="1673">
        <v>15</v>
      </c>
      <c r="BG19" s="1686"/>
      <c r="BH19" s="1674"/>
      <c r="BI19" s="1677">
        <v>40</v>
      </c>
      <c r="BJ19" s="1679"/>
      <c r="BK19" s="1677">
        <v>1</v>
      </c>
      <c r="BL19" s="1679"/>
      <c r="BM19" s="1677">
        <v>11</v>
      </c>
      <c r="BN19" s="1678"/>
      <c r="BO19" s="1678"/>
      <c r="BP19" s="1679"/>
      <c r="BQ19" s="181">
        <v>10</v>
      </c>
      <c r="BR19" s="1673">
        <v>21</v>
      </c>
      <c r="BS19" s="1674"/>
      <c r="BT19" s="1675">
        <v>3</v>
      </c>
      <c r="BU19" s="1676"/>
      <c r="BV19" s="1673">
        <v>51</v>
      </c>
      <c r="BW19" s="1686"/>
      <c r="BX19" s="1674"/>
      <c r="BY19" s="1677">
        <v>34</v>
      </c>
      <c r="BZ19" s="1679"/>
      <c r="CA19" s="1673">
        <v>85</v>
      </c>
      <c r="CB19" s="1686"/>
      <c r="CC19" s="1674"/>
      <c r="CD19" s="1677">
        <v>6</v>
      </c>
      <c r="CE19" s="1678"/>
      <c r="CF19" s="1679"/>
      <c r="CG19" s="1677">
        <v>132</v>
      </c>
      <c r="CH19" s="1678"/>
      <c r="CI19" s="1679"/>
      <c r="CJ19" s="1673">
        <v>107</v>
      </c>
      <c r="CK19" s="1686"/>
      <c r="CL19" s="1674"/>
      <c r="CM19" s="1677">
        <v>239</v>
      </c>
      <c r="CN19" s="1678"/>
      <c r="CO19" s="1679"/>
      <c r="CP19" s="1409">
        <v>132</v>
      </c>
      <c r="CQ19" s="1410"/>
      <c r="CR19" s="1410"/>
      <c r="CS19" s="1409">
        <v>107</v>
      </c>
      <c r="CT19" s="1410"/>
      <c r="CU19" s="1410"/>
      <c r="CV19" s="1677">
        <f t="shared" si="0"/>
        <v>239</v>
      </c>
      <c r="CW19" s="1679"/>
      <c r="CX19" s="1379" t="s">
        <v>35</v>
      </c>
      <c r="CY19" s="1381"/>
      <c r="CZ19" s="1381"/>
      <c r="DA19" s="1381"/>
      <c r="DB19" s="1667">
        <f t="shared" si="1"/>
        <v>90000</v>
      </c>
      <c r="DC19" s="1667"/>
      <c r="DD19" s="1667"/>
      <c r="DE19" s="1667"/>
      <c r="DF19" s="1667"/>
      <c r="DG19" s="1668"/>
    </row>
    <row r="20" spans="1:111" ht="23.25">
      <c r="A20" s="253"/>
      <c r="B20" s="1700" t="s">
        <v>413</v>
      </c>
      <c r="C20" s="1701"/>
      <c r="D20" s="1701"/>
      <c r="E20" s="1701"/>
      <c r="F20" s="1395"/>
      <c r="G20" s="1702"/>
      <c r="H20" s="1703"/>
      <c r="I20" s="1704"/>
      <c r="J20" s="1702"/>
      <c r="K20" s="1704"/>
      <c r="L20" s="1705">
        <v>22</v>
      </c>
      <c r="M20" s="1706"/>
      <c r="N20" s="1705">
        <v>598</v>
      </c>
      <c r="O20" s="1706"/>
      <c r="P20" s="1707">
        <v>466</v>
      </c>
      <c r="Q20" s="1708"/>
      <c r="R20" s="1705">
        <v>1064</v>
      </c>
      <c r="S20" s="1706"/>
      <c r="T20" s="1705">
        <v>20</v>
      </c>
      <c r="U20" s="1706"/>
      <c r="V20" s="1709">
        <v>408</v>
      </c>
      <c r="W20" s="1711"/>
      <c r="X20" s="1710"/>
      <c r="Y20" s="1709">
        <v>389</v>
      </c>
      <c r="Z20" s="1710"/>
      <c r="AA20" s="1709">
        <v>797</v>
      </c>
      <c r="AB20" s="1710"/>
      <c r="AC20" s="1705">
        <v>19</v>
      </c>
      <c r="AD20" s="1706"/>
      <c r="AE20" s="1709">
        <v>329</v>
      </c>
      <c r="AF20" s="1710"/>
      <c r="AG20" s="1709">
        <v>305</v>
      </c>
      <c r="AH20" s="1710"/>
      <c r="AI20" s="1705">
        <v>634</v>
      </c>
      <c r="AJ20" s="1706"/>
      <c r="AK20" s="1705">
        <v>61</v>
      </c>
      <c r="AL20" s="1706"/>
      <c r="AM20" s="1707">
        <v>1335</v>
      </c>
      <c r="AN20" s="1708"/>
      <c r="AO20" s="1709">
        <v>1160</v>
      </c>
      <c r="AP20" s="1711"/>
      <c r="AQ20" s="1711"/>
      <c r="AR20" s="1710"/>
      <c r="AS20" s="1709">
        <v>2495</v>
      </c>
      <c r="AT20" s="1711"/>
      <c r="AU20" s="1710"/>
      <c r="AV20" s="184">
        <v>21</v>
      </c>
      <c r="AW20" s="1709">
        <v>360</v>
      </c>
      <c r="AX20" s="1710"/>
      <c r="AY20" s="1709">
        <v>326</v>
      </c>
      <c r="AZ20" s="1710"/>
      <c r="BA20" s="184">
        <v>686</v>
      </c>
      <c r="BB20" s="1707">
        <v>21</v>
      </c>
      <c r="BC20" s="1708"/>
      <c r="BD20" s="1705">
        <v>300</v>
      </c>
      <c r="BE20" s="1706"/>
      <c r="BF20" s="1705">
        <v>274</v>
      </c>
      <c r="BG20" s="1712"/>
      <c r="BH20" s="1706"/>
      <c r="BI20" s="1709">
        <v>574</v>
      </c>
      <c r="BJ20" s="1710"/>
      <c r="BK20" s="1709">
        <v>21</v>
      </c>
      <c r="BL20" s="1710"/>
      <c r="BM20" s="1709">
        <v>189</v>
      </c>
      <c r="BN20" s="1711"/>
      <c r="BO20" s="1711"/>
      <c r="BP20" s="1710"/>
      <c r="BQ20" s="185">
        <v>231</v>
      </c>
      <c r="BR20" s="1705">
        <v>420</v>
      </c>
      <c r="BS20" s="1706"/>
      <c r="BT20" s="1707">
        <v>63</v>
      </c>
      <c r="BU20" s="1708"/>
      <c r="BV20" s="1705">
        <v>849</v>
      </c>
      <c r="BW20" s="1712"/>
      <c r="BX20" s="1706"/>
      <c r="BY20" s="1709">
        <v>831</v>
      </c>
      <c r="BZ20" s="1710"/>
      <c r="CA20" s="1705">
        <v>1680</v>
      </c>
      <c r="CB20" s="1712"/>
      <c r="CC20" s="1706"/>
      <c r="CD20" s="1709">
        <v>124</v>
      </c>
      <c r="CE20" s="1711"/>
      <c r="CF20" s="1710"/>
      <c r="CG20" s="1709">
        <v>2184</v>
      </c>
      <c r="CH20" s="1711"/>
      <c r="CI20" s="1710"/>
      <c r="CJ20" s="1705">
        <v>1991</v>
      </c>
      <c r="CK20" s="1712"/>
      <c r="CL20" s="1706"/>
      <c r="CM20" s="1709">
        <v>4175</v>
      </c>
      <c r="CN20" s="1711"/>
      <c r="CO20" s="1710"/>
      <c r="CP20" s="1709">
        <f>SUM(CP7:CR19)</f>
        <v>2184</v>
      </c>
      <c r="CQ20" s="1711"/>
      <c r="CR20" s="1710"/>
      <c r="CS20" s="1709">
        <f>SUM(CS7:CU19)</f>
        <v>1991</v>
      </c>
      <c r="CT20" s="1711"/>
      <c r="CU20" s="1710"/>
      <c r="CV20" s="1709">
        <f>SUM(CV7:CW19)</f>
        <v>4175</v>
      </c>
      <c r="CW20" s="1710"/>
      <c r="CX20" s="1709">
        <v>13</v>
      </c>
      <c r="CY20" s="1711"/>
      <c r="CZ20" s="1711"/>
      <c r="DA20" s="1711"/>
      <c r="DB20" s="1667">
        <f>SUM(DB7:DB19)</f>
        <v>1170000</v>
      </c>
      <c r="DC20" s="1667"/>
      <c r="DD20" s="1667"/>
      <c r="DE20" s="1667"/>
      <c r="DF20" s="1667"/>
      <c r="DG20" s="1668"/>
    </row>
    <row r="21" spans="1:111" ht="23.25">
      <c r="A21" s="254"/>
      <c r="B21" s="102" t="s">
        <v>431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86">
        <f>CC20*8</f>
        <v>0</v>
      </c>
      <c r="CG21" s="187"/>
      <c r="CH21" s="187"/>
      <c r="CI21" s="187"/>
      <c r="CJ21" s="187"/>
      <c r="CK21" s="187"/>
      <c r="CL21" s="187"/>
      <c r="CM21" s="187"/>
      <c r="CN21" s="187"/>
      <c r="CO21" s="187"/>
      <c r="CP21" s="188"/>
      <c r="CQ21" s="188"/>
      <c r="CR21" s="188"/>
      <c r="CS21" s="188"/>
      <c r="CT21" s="188"/>
      <c r="CU21" s="188"/>
      <c r="CV21" s="187"/>
      <c r="CW21" s="187"/>
      <c r="CX21" s="187"/>
      <c r="CY21" s="187"/>
      <c r="CZ21" s="187"/>
      <c r="DA21" s="187"/>
      <c r="DB21" s="1667">
        <f>CV20*20</f>
        <v>83500</v>
      </c>
      <c r="DC21" s="1667"/>
      <c r="DD21" s="1667"/>
      <c r="DE21" s="1667"/>
      <c r="DF21" s="1667"/>
      <c r="DG21" s="1668"/>
    </row>
    <row r="22" spans="1:111" ht="33">
      <c r="A22" s="255" t="s">
        <v>533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47">
        <f>CF20+CF21</f>
        <v>0</v>
      </c>
      <c r="CG22" s="125"/>
      <c r="CH22" s="125"/>
      <c r="CI22" s="125"/>
      <c r="CJ22" s="125"/>
      <c r="CK22" s="125"/>
      <c r="CL22" s="125"/>
      <c r="CM22" s="125"/>
      <c r="CN22" s="125"/>
      <c r="CO22" s="125"/>
      <c r="CP22" s="126"/>
      <c r="CQ22" s="126"/>
      <c r="CR22" s="126"/>
      <c r="CS22" s="126"/>
      <c r="CT22" s="126"/>
      <c r="CU22" s="126"/>
      <c r="CV22" s="125"/>
      <c r="CW22" s="125"/>
      <c r="CX22" s="127"/>
      <c r="CY22" s="127"/>
      <c r="CZ22" s="127"/>
      <c r="DA22" s="127"/>
      <c r="DB22" s="1669">
        <f>DB21+DB20</f>
        <v>1253500</v>
      </c>
      <c r="DC22" s="1669"/>
      <c r="DD22" s="1669"/>
      <c r="DE22" s="1669"/>
      <c r="DF22" s="1669"/>
      <c r="DG22" s="1670"/>
    </row>
    <row r="23" spans="1:111" ht="46.5" customHeight="1" thickBot="1">
      <c r="A23" s="256"/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7"/>
      <c r="BD23" s="257"/>
      <c r="BE23" s="257"/>
      <c r="BF23" s="257"/>
      <c r="BG23" s="257"/>
      <c r="BH23" s="257"/>
      <c r="BI23" s="257"/>
      <c r="BJ23" s="257"/>
      <c r="BK23" s="257"/>
      <c r="BL23" s="257"/>
      <c r="BM23" s="257"/>
      <c r="BN23" s="257"/>
      <c r="BO23" s="257"/>
      <c r="BP23" s="257"/>
      <c r="BQ23" s="257"/>
      <c r="BR23" s="257"/>
      <c r="BS23" s="257"/>
      <c r="BT23" s="257"/>
      <c r="BU23" s="257"/>
      <c r="BV23" s="257"/>
      <c r="BW23" s="257"/>
      <c r="BX23" s="257"/>
      <c r="BY23" s="257"/>
      <c r="BZ23" s="257"/>
      <c r="CA23" s="257"/>
      <c r="CB23" s="257"/>
      <c r="CC23" s="257"/>
      <c r="CD23" s="257"/>
      <c r="CE23" s="257"/>
      <c r="CF23" s="257"/>
      <c r="CG23" s="257"/>
      <c r="CH23" s="257"/>
      <c r="CI23" s="257"/>
      <c r="CJ23" s="257"/>
      <c r="CK23" s="257"/>
      <c r="CL23" s="257"/>
      <c r="CM23" s="257"/>
      <c r="CN23" s="257"/>
      <c r="CO23" s="257"/>
      <c r="CP23" s="258">
        <f>COUNTIF(CV7:CW19, "&lt;1000")</f>
        <v>13</v>
      </c>
      <c r="CQ23" s="258">
        <f>COUNTIF(CV7:CW19, "&gt;1000")</f>
        <v>0</v>
      </c>
      <c r="CR23" s="259"/>
      <c r="CS23" s="259"/>
      <c r="CT23" s="259"/>
      <c r="CU23" s="259"/>
      <c r="CV23" s="257"/>
      <c r="CW23" s="257"/>
      <c r="CX23" s="257"/>
      <c r="CY23" s="257"/>
      <c r="CZ23" s="257"/>
      <c r="DA23" s="257"/>
      <c r="DB23" s="257"/>
      <c r="DC23" s="257"/>
      <c r="DD23" s="257"/>
      <c r="DE23" s="257"/>
      <c r="DF23" s="257"/>
      <c r="DG23" s="260"/>
    </row>
  </sheetData>
  <mergeCells count="632">
    <mergeCell ref="CP19:CR19"/>
    <mergeCell ref="CS19:CU19"/>
    <mergeCell ref="CV19:CW19"/>
    <mergeCell ref="CX19:DA19"/>
    <mergeCell ref="CG19:CI19"/>
    <mergeCell ref="CJ19:CL19"/>
    <mergeCell ref="CM19:CO19"/>
    <mergeCell ref="CP18:CR18"/>
    <mergeCell ref="CS18:CU18"/>
    <mergeCell ref="CV18:CW18"/>
    <mergeCell ref="CX18:DA18"/>
    <mergeCell ref="CG18:CI18"/>
    <mergeCell ref="CJ18:CL18"/>
    <mergeCell ref="CP20:CR20"/>
    <mergeCell ref="CS20:CU20"/>
    <mergeCell ref="CV20:CW20"/>
    <mergeCell ref="CX20:DA20"/>
    <mergeCell ref="BY20:BZ20"/>
    <mergeCell ref="CA20:CC20"/>
    <mergeCell ref="CD20:CF20"/>
    <mergeCell ref="CG20:CI20"/>
    <mergeCell ref="CJ20:CL20"/>
    <mergeCell ref="CM20:CO20"/>
    <mergeCell ref="BI20:BJ20"/>
    <mergeCell ref="BK20:BL20"/>
    <mergeCell ref="BM20:BP20"/>
    <mergeCell ref="BR20:BS20"/>
    <mergeCell ref="BT20:BU20"/>
    <mergeCell ref="BV20:BX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AM20:AN20"/>
    <mergeCell ref="AO20:AR20"/>
    <mergeCell ref="R20:S20"/>
    <mergeCell ref="T20:U20"/>
    <mergeCell ref="V20:X20"/>
    <mergeCell ref="Y20:Z20"/>
    <mergeCell ref="AA20:AB20"/>
    <mergeCell ref="AC20:AD20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BY19:BZ19"/>
    <mergeCell ref="CA19:CC19"/>
    <mergeCell ref="CD19:CF19"/>
    <mergeCell ref="BI19:BJ19"/>
    <mergeCell ref="BK19:BL19"/>
    <mergeCell ref="BM19:BP19"/>
    <mergeCell ref="BR19:BS19"/>
    <mergeCell ref="BT19:BU19"/>
    <mergeCell ref="BV19:BX19"/>
    <mergeCell ref="B20:F20"/>
    <mergeCell ref="G20:I20"/>
    <mergeCell ref="J20:K20"/>
    <mergeCell ref="L20:M20"/>
    <mergeCell ref="N20:O20"/>
    <mergeCell ref="P20:Q20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AE18:AF18"/>
    <mergeCell ref="AG18:AH18"/>
    <mergeCell ref="AI18:AJ18"/>
    <mergeCell ref="AK18:AL18"/>
    <mergeCell ref="AM18:AN18"/>
    <mergeCell ref="AO18:AR18"/>
    <mergeCell ref="BK18:BL18"/>
    <mergeCell ref="BM18:BP18"/>
    <mergeCell ref="BR18:BS18"/>
    <mergeCell ref="BT18:BU18"/>
    <mergeCell ref="BV18:BX18"/>
    <mergeCell ref="AS18:AU18"/>
    <mergeCell ref="AW18:AX18"/>
    <mergeCell ref="AY18:AZ18"/>
    <mergeCell ref="BB18:BC18"/>
    <mergeCell ref="BD18:BE18"/>
    <mergeCell ref="BF18:BH18"/>
    <mergeCell ref="R18:S18"/>
    <mergeCell ref="T18:U18"/>
    <mergeCell ref="V18:X18"/>
    <mergeCell ref="Y18:Z18"/>
    <mergeCell ref="AA18:AB18"/>
    <mergeCell ref="AC18:AD18"/>
    <mergeCell ref="AK19:AL19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CV17:CW17"/>
    <mergeCell ref="CX17:DA17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CG17:CI17"/>
    <mergeCell ref="CJ17:CL17"/>
    <mergeCell ref="CM17:CO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CM18:CO18"/>
    <mergeCell ref="BI18:BJ18"/>
    <mergeCell ref="BF17:BH17"/>
    <mergeCell ref="AE17:AF17"/>
    <mergeCell ref="AG17:AH17"/>
    <mergeCell ref="AI17:AJ17"/>
    <mergeCell ref="AK17:AL17"/>
    <mergeCell ref="AM17:AN17"/>
    <mergeCell ref="AO17:AR17"/>
    <mergeCell ref="CP17:CR17"/>
    <mergeCell ref="CS17:CU17"/>
    <mergeCell ref="CP16:CR16"/>
    <mergeCell ref="CS16:CU16"/>
    <mergeCell ref="CV16:CW16"/>
    <mergeCell ref="BF16:BH16"/>
    <mergeCell ref="AE16:AF16"/>
    <mergeCell ref="AG16:AH16"/>
    <mergeCell ref="AI16:AJ16"/>
    <mergeCell ref="AK16:AL16"/>
    <mergeCell ref="AM16:AN16"/>
    <mergeCell ref="AO16:AR16"/>
    <mergeCell ref="CJ16:CL16"/>
    <mergeCell ref="CM16:CO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R17:S17"/>
    <mergeCell ref="T17:U17"/>
    <mergeCell ref="V17:X17"/>
    <mergeCell ref="Y17:Z17"/>
    <mergeCell ref="AA17:AB17"/>
    <mergeCell ref="AC17:AD17"/>
    <mergeCell ref="R16:S16"/>
    <mergeCell ref="T16:U16"/>
    <mergeCell ref="V16:X16"/>
    <mergeCell ref="Y16:Z16"/>
    <mergeCell ref="AA16:AB16"/>
    <mergeCell ref="AC16:AD16"/>
    <mergeCell ref="AY17:AZ17"/>
    <mergeCell ref="BB17:BC17"/>
    <mergeCell ref="BD17:BE17"/>
    <mergeCell ref="CV15:CW15"/>
    <mergeCell ref="CX15:DA15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CX16:DA16"/>
    <mergeCell ref="CG16:CI16"/>
    <mergeCell ref="BF15:BH15"/>
    <mergeCell ref="AE15:AF15"/>
    <mergeCell ref="AG15:AH15"/>
    <mergeCell ref="AI15:AJ15"/>
    <mergeCell ref="AK15:AL15"/>
    <mergeCell ref="AM15:AN15"/>
    <mergeCell ref="AO15:AR15"/>
    <mergeCell ref="CP15:CR15"/>
    <mergeCell ref="CS15:CU15"/>
    <mergeCell ref="CP14:CR14"/>
    <mergeCell ref="CS14:CU14"/>
    <mergeCell ref="CV14:CW14"/>
    <mergeCell ref="BF14:BH14"/>
    <mergeCell ref="AE14:AF14"/>
    <mergeCell ref="AG14:AH14"/>
    <mergeCell ref="AI14:AJ14"/>
    <mergeCell ref="AK14:AL14"/>
    <mergeCell ref="AM14:AN14"/>
    <mergeCell ref="AO14:AR14"/>
    <mergeCell ref="CJ14:CL14"/>
    <mergeCell ref="CM14:CO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R15:S15"/>
    <mergeCell ref="T15:U15"/>
    <mergeCell ref="V15:X15"/>
    <mergeCell ref="Y15:Z15"/>
    <mergeCell ref="AA15:AB15"/>
    <mergeCell ref="AC15:AD15"/>
    <mergeCell ref="R14:S14"/>
    <mergeCell ref="T14:U14"/>
    <mergeCell ref="V14:X14"/>
    <mergeCell ref="Y14:Z14"/>
    <mergeCell ref="AA14:AB14"/>
    <mergeCell ref="AC14:AD14"/>
    <mergeCell ref="AY15:AZ15"/>
    <mergeCell ref="BB15:BC15"/>
    <mergeCell ref="BD15:BE15"/>
    <mergeCell ref="CV13:CW13"/>
    <mergeCell ref="CX13:DA13"/>
    <mergeCell ref="B14:F14"/>
    <mergeCell ref="G14:I14"/>
    <mergeCell ref="J14:K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CX14:DA14"/>
    <mergeCell ref="CG14:CI14"/>
    <mergeCell ref="AE13:AF13"/>
    <mergeCell ref="AG13:AH13"/>
    <mergeCell ref="AI13:AJ13"/>
    <mergeCell ref="AK13:AL13"/>
    <mergeCell ref="AM13:AN13"/>
    <mergeCell ref="AO13:AR13"/>
    <mergeCell ref="CP13:CR13"/>
    <mergeCell ref="CS13:CU13"/>
    <mergeCell ref="BD13:BE13"/>
    <mergeCell ref="CS12:CU12"/>
    <mergeCell ref="CV12:CW12"/>
    <mergeCell ref="BF12:BH12"/>
    <mergeCell ref="AE12:AF12"/>
    <mergeCell ref="AG12:AH12"/>
    <mergeCell ref="AI12:AJ12"/>
    <mergeCell ref="AK12:AL12"/>
    <mergeCell ref="AM12:AN12"/>
    <mergeCell ref="AO12:AR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AS12:AU12"/>
    <mergeCell ref="AW12:AX12"/>
    <mergeCell ref="AY12:AZ12"/>
    <mergeCell ref="BB12:BC12"/>
    <mergeCell ref="BD12:BE12"/>
    <mergeCell ref="CG12:CI12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R13:S13"/>
    <mergeCell ref="T13:U13"/>
    <mergeCell ref="V13:X13"/>
    <mergeCell ref="Y13:Z13"/>
    <mergeCell ref="AA13:AB13"/>
    <mergeCell ref="AC13:AD13"/>
    <mergeCell ref="R12:S12"/>
    <mergeCell ref="T12:U12"/>
    <mergeCell ref="V12:X12"/>
    <mergeCell ref="Y12:Z12"/>
    <mergeCell ref="AA12:AB12"/>
    <mergeCell ref="AC12:AD12"/>
    <mergeCell ref="AY13:AZ13"/>
    <mergeCell ref="BB13:BC13"/>
    <mergeCell ref="BF13:BH13"/>
    <mergeCell ref="CV11:CW11"/>
    <mergeCell ref="CX11:DA11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CX12:DA12"/>
    <mergeCell ref="CP12:CR12"/>
    <mergeCell ref="AG11:AH11"/>
    <mergeCell ref="AI11:AJ11"/>
    <mergeCell ref="AK11:AL11"/>
    <mergeCell ref="AM11:AN11"/>
    <mergeCell ref="AO11:AR11"/>
    <mergeCell ref="CP11:CR11"/>
    <mergeCell ref="BB11:BC11"/>
    <mergeCell ref="BD11:BE11"/>
    <mergeCell ref="CS11:CU11"/>
    <mergeCell ref="CS10:CU10"/>
    <mergeCell ref="CV10:CW10"/>
    <mergeCell ref="BF10:BH10"/>
    <mergeCell ref="AE10:AF10"/>
    <mergeCell ref="AG10:AH10"/>
    <mergeCell ref="AI10:AJ10"/>
    <mergeCell ref="AK10:AL10"/>
    <mergeCell ref="AM10:AN10"/>
    <mergeCell ref="AO10:AR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CP10:CR10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R11:S11"/>
    <mergeCell ref="T11:U11"/>
    <mergeCell ref="V11:X11"/>
    <mergeCell ref="Y11:Z11"/>
    <mergeCell ref="AA11:AB11"/>
    <mergeCell ref="AC11:AD11"/>
    <mergeCell ref="R10:S10"/>
    <mergeCell ref="T10:U10"/>
    <mergeCell ref="V10:X10"/>
    <mergeCell ref="Y10:Z10"/>
    <mergeCell ref="AA10:AB10"/>
    <mergeCell ref="AC10:AD10"/>
    <mergeCell ref="AY11:AZ11"/>
    <mergeCell ref="BF11:BH11"/>
    <mergeCell ref="AE11:AF11"/>
    <mergeCell ref="CV9:CW9"/>
    <mergeCell ref="CX9:DA9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CX10:DA10"/>
    <mergeCell ref="CG10:CI10"/>
    <mergeCell ref="BF9:BH9"/>
    <mergeCell ref="AE9:AF9"/>
    <mergeCell ref="AG9:AH9"/>
    <mergeCell ref="AI9:AJ9"/>
    <mergeCell ref="AK9:AL9"/>
    <mergeCell ref="AM9:AN9"/>
    <mergeCell ref="AO9:AR9"/>
    <mergeCell ref="CP9:CR9"/>
    <mergeCell ref="CS9:CU9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R9:S9"/>
    <mergeCell ref="T9:U9"/>
    <mergeCell ref="V9:X9"/>
    <mergeCell ref="Y9:Z9"/>
    <mergeCell ref="AA9:AB9"/>
    <mergeCell ref="AC9:AD9"/>
    <mergeCell ref="R8:S8"/>
    <mergeCell ref="T8:U8"/>
    <mergeCell ref="V8:X8"/>
    <mergeCell ref="Y8:Z8"/>
    <mergeCell ref="AA8:AB8"/>
    <mergeCell ref="AC8:AD8"/>
    <mergeCell ref="AY9:AZ9"/>
    <mergeCell ref="BB9:BC9"/>
    <mergeCell ref="BD9:BE9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CG8:CI8"/>
    <mergeCell ref="BF8:BH8"/>
    <mergeCell ref="AE8:AF8"/>
    <mergeCell ref="AG8:AH8"/>
    <mergeCell ref="AI8:AJ8"/>
    <mergeCell ref="AK8:AL8"/>
    <mergeCell ref="AM8:AN8"/>
    <mergeCell ref="AO8:AR8"/>
    <mergeCell ref="AK6:AL6"/>
    <mergeCell ref="AM6:AN6"/>
    <mergeCell ref="AY7:AZ7"/>
    <mergeCell ref="BB7:BC7"/>
    <mergeCell ref="BD7:BE7"/>
    <mergeCell ref="BF7:BH7"/>
    <mergeCell ref="AE7:AF7"/>
    <mergeCell ref="AG7:AH7"/>
    <mergeCell ref="AI7:AJ7"/>
    <mergeCell ref="AK7:AL7"/>
    <mergeCell ref="AM7:AN7"/>
    <mergeCell ref="AO7:AR7"/>
    <mergeCell ref="R6:S6"/>
    <mergeCell ref="T6:U6"/>
    <mergeCell ref="V6:X6"/>
    <mergeCell ref="Y6:Z6"/>
    <mergeCell ref="AC5:AJ5"/>
    <mergeCell ref="AK5:AU5"/>
    <mergeCell ref="AV5:BA5"/>
    <mergeCell ref="CA6:CC6"/>
    <mergeCell ref="BF6:BH6"/>
    <mergeCell ref="BI6:BJ6"/>
    <mergeCell ref="BK6:BL6"/>
    <mergeCell ref="BM6:BP6"/>
    <mergeCell ref="BR6:BS6"/>
    <mergeCell ref="BT6:BU6"/>
    <mergeCell ref="AO6:AR6"/>
    <mergeCell ref="AS6:AU6"/>
    <mergeCell ref="AW6:AX6"/>
    <mergeCell ref="AY6:AZ6"/>
    <mergeCell ref="BB6:BC6"/>
    <mergeCell ref="BD6:BE6"/>
    <mergeCell ref="AC6:AD6"/>
    <mergeCell ref="AE6:AF6"/>
    <mergeCell ref="AG6:AH6"/>
    <mergeCell ref="AI6:AJ6"/>
    <mergeCell ref="BB5:BJ5"/>
    <mergeCell ref="BK5:BS5"/>
    <mergeCell ref="BT5:CC5"/>
    <mergeCell ref="CV6:CW6"/>
    <mergeCell ref="CD6:CF6"/>
    <mergeCell ref="CG6:CI6"/>
    <mergeCell ref="CJ6:CL6"/>
    <mergeCell ref="A1:DG1"/>
    <mergeCell ref="A2:DG2"/>
    <mergeCell ref="A3:DG3"/>
    <mergeCell ref="A4:DG4"/>
    <mergeCell ref="A5:A6"/>
    <mergeCell ref="B5:F6"/>
    <mergeCell ref="G5:I6"/>
    <mergeCell ref="J5:K6"/>
    <mergeCell ref="L5:S5"/>
    <mergeCell ref="T5:AB5"/>
    <mergeCell ref="AA6:AB6"/>
    <mergeCell ref="CD5:CO5"/>
    <mergeCell ref="CP5:CW5"/>
    <mergeCell ref="CX5:DA6"/>
    <mergeCell ref="L6:M6"/>
    <mergeCell ref="N6:O6"/>
    <mergeCell ref="P6:Q6"/>
    <mergeCell ref="BV6:BX6"/>
    <mergeCell ref="BY6:BZ6"/>
    <mergeCell ref="DB14:DG14"/>
    <mergeCell ref="DB7:DG7"/>
    <mergeCell ref="DB8:DG8"/>
    <mergeCell ref="DB9:DG9"/>
    <mergeCell ref="DB10:DG10"/>
    <mergeCell ref="DB11:DG11"/>
    <mergeCell ref="DB12:DG12"/>
    <mergeCell ref="DB13:DG13"/>
    <mergeCell ref="DB5:DG6"/>
    <mergeCell ref="CM6:CO6"/>
    <mergeCell ref="CP6:CR6"/>
    <mergeCell ref="CS6:CU6"/>
    <mergeCell ref="CP7:CR7"/>
    <mergeCell ref="CS7:CU7"/>
    <mergeCell ref="CV7:CW7"/>
    <mergeCell ref="CX7:DA7"/>
    <mergeCell ref="CX8:DA8"/>
    <mergeCell ref="CP8:CR8"/>
    <mergeCell ref="CS8:CU8"/>
    <mergeCell ref="CV8:CW8"/>
    <mergeCell ref="CJ8:CL8"/>
    <mergeCell ref="CM8:CO8"/>
    <mergeCell ref="DB15:DG15"/>
    <mergeCell ref="DB16:DG16"/>
    <mergeCell ref="DB17:DG17"/>
    <mergeCell ref="DB18:DG18"/>
    <mergeCell ref="DB19:DG19"/>
    <mergeCell ref="DB20:DG20"/>
    <mergeCell ref="DB21:DG21"/>
    <mergeCell ref="DB22:DG22"/>
    <mergeCell ref="B7:F7"/>
    <mergeCell ref="G7:I7"/>
    <mergeCell ref="J7:K7"/>
    <mergeCell ref="L7:M7"/>
    <mergeCell ref="N7:O7"/>
    <mergeCell ref="P7:Q7"/>
    <mergeCell ref="R7:S7"/>
    <mergeCell ref="T7:U7"/>
    <mergeCell ref="V7:X7"/>
    <mergeCell ref="Y7:Z7"/>
    <mergeCell ref="AA7:AB7"/>
    <mergeCell ref="AC7:AD7"/>
    <mergeCell ref="B8:F8"/>
    <mergeCell ref="G8:I8"/>
    <mergeCell ref="J8:K8"/>
    <mergeCell ref="L8:M8"/>
  </mergeCells>
  <pageMargins left="0.7" right="0.7" top="0.75" bottom="0.75" header="0.3" footer="0.3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zoomScale="57" zoomScaleNormal="57" workbookViewId="0">
      <selection activeCell="B2" sqref="B2"/>
    </sheetView>
  </sheetViews>
  <sheetFormatPr defaultRowHeight="15"/>
  <cols>
    <col min="1" max="1" width="9.33203125" style="492"/>
    <col min="2" max="2" width="103.5" style="492" customWidth="1"/>
    <col min="3" max="3" width="47.5" style="492" hidden="1" customWidth="1"/>
    <col min="4" max="4" width="32.83203125" style="521" hidden="1" customWidth="1"/>
    <col min="5" max="5" width="37.6640625" style="492" hidden="1" customWidth="1"/>
    <col min="6" max="6" width="69.1640625" style="523" hidden="1" customWidth="1"/>
    <col min="7" max="16384" width="9.33203125" style="492"/>
  </cols>
  <sheetData>
    <row r="1" spans="1:6">
      <c r="B1" s="669"/>
    </row>
    <row r="2" spans="1:6" ht="36">
      <c r="B2" s="683" t="s">
        <v>1164</v>
      </c>
      <c r="E2" s="522" t="s">
        <v>892</v>
      </c>
    </row>
    <row r="3" spans="1:6" ht="36">
      <c r="B3" s="669"/>
      <c r="E3" s="522" t="s">
        <v>893</v>
      </c>
    </row>
    <row r="4" spans="1:6">
      <c r="B4" s="669"/>
    </row>
    <row r="5" spans="1:6" s="524" customFormat="1" ht="36" customHeight="1">
      <c r="A5" s="1723" t="s">
        <v>0</v>
      </c>
      <c r="B5" s="1723" t="s">
        <v>551</v>
      </c>
      <c r="C5" s="1725" t="s">
        <v>894</v>
      </c>
      <c r="D5" s="1713" t="s">
        <v>895</v>
      </c>
      <c r="E5" s="1715" t="s">
        <v>896</v>
      </c>
      <c r="F5" s="1717" t="s">
        <v>897</v>
      </c>
    </row>
    <row r="6" spans="1:6" s="524" customFormat="1" ht="101.25" customHeight="1">
      <c r="A6" s="1724"/>
      <c r="B6" s="1724"/>
      <c r="C6" s="1726"/>
      <c r="D6" s="1714"/>
      <c r="E6" s="1716"/>
      <c r="F6" s="1718"/>
    </row>
    <row r="7" spans="1:6" ht="23.25">
      <c r="A7" s="525"/>
      <c r="B7" s="675" t="s">
        <v>556</v>
      </c>
      <c r="C7" s="537"/>
      <c r="D7" s="527"/>
      <c r="E7" s="526"/>
      <c r="F7" s="528"/>
    </row>
    <row r="8" spans="1:6" ht="24.95" customHeight="1">
      <c r="A8" s="529">
        <v>1</v>
      </c>
      <c r="B8" s="676" t="s">
        <v>898</v>
      </c>
      <c r="C8" s="674" t="s">
        <v>899</v>
      </c>
      <c r="D8" s="530">
        <v>8058878281</v>
      </c>
      <c r="E8" s="509" t="s">
        <v>900</v>
      </c>
      <c r="F8" s="531" t="s">
        <v>901</v>
      </c>
    </row>
    <row r="9" spans="1:6" ht="24.95" customHeight="1">
      <c r="A9" s="529">
        <v>2</v>
      </c>
      <c r="B9" s="676" t="s">
        <v>902</v>
      </c>
      <c r="C9" s="674" t="s">
        <v>903</v>
      </c>
      <c r="D9" s="530">
        <v>7037190036</v>
      </c>
      <c r="E9" s="509" t="s">
        <v>904</v>
      </c>
      <c r="F9" s="531" t="s">
        <v>905</v>
      </c>
    </row>
    <row r="10" spans="1:6" ht="24.95" customHeight="1">
      <c r="A10" s="529">
        <v>3</v>
      </c>
      <c r="B10" s="677" t="s">
        <v>906</v>
      </c>
      <c r="C10" s="674" t="s">
        <v>907</v>
      </c>
      <c r="D10" s="530">
        <v>8037617611</v>
      </c>
      <c r="E10" s="509" t="s">
        <v>908</v>
      </c>
      <c r="F10" s="531">
        <v>8033340164</v>
      </c>
    </row>
    <row r="11" spans="1:6" ht="24.95" customHeight="1">
      <c r="A11" s="529">
        <v>4</v>
      </c>
      <c r="B11" s="498" t="s">
        <v>909</v>
      </c>
      <c r="C11" s="674" t="s">
        <v>910</v>
      </c>
      <c r="D11" s="530">
        <v>8035165626</v>
      </c>
      <c r="E11" s="509" t="s">
        <v>911</v>
      </c>
      <c r="F11" s="531" t="s">
        <v>912</v>
      </c>
    </row>
    <row r="12" spans="1:6" ht="24.95" customHeight="1">
      <c r="A12" s="529">
        <v>5</v>
      </c>
      <c r="B12" s="678" t="s">
        <v>913</v>
      </c>
      <c r="C12" s="674" t="s">
        <v>914</v>
      </c>
      <c r="D12" s="530">
        <v>8037260462</v>
      </c>
      <c r="E12" s="509" t="s">
        <v>915</v>
      </c>
      <c r="F12" s="531">
        <v>8032232229</v>
      </c>
    </row>
    <row r="13" spans="1:6" ht="24.95" customHeight="1">
      <c r="A13" s="529">
        <v>6</v>
      </c>
      <c r="B13" s="678" t="s">
        <v>916</v>
      </c>
      <c r="C13" s="674" t="s">
        <v>917</v>
      </c>
      <c r="D13" s="530">
        <v>8033473983</v>
      </c>
      <c r="E13" s="509" t="s">
        <v>918</v>
      </c>
      <c r="F13" s="531">
        <v>8058883058</v>
      </c>
    </row>
    <row r="14" spans="1:6" ht="24.95" customHeight="1">
      <c r="A14" s="529">
        <v>7</v>
      </c>
      <c r="B14" s="676" t="s">
        <v>919</v>
      </c>
      <c r="C14" s="674" t="s">
        <v>920</v>
      </c>
      <c r="D14" s="530">
        <v>8082074763</v>
      </c>
      <c r="E14" s="509" t="s">
        <v>921</v>
      </c>
      <c r="F14" s="531" t="s">
        <v>922</v>
      </c>
    </row>
    <row r="15" spans="1:6" ht="24.95" customHeight="1">
      <c r="A15" s="529">
        <v>8</v>
      </c>
      <c r="B15" s="679" t="s">
        <v>923</v>
      </c>
      <c r="C15" s="674" t="s">
        <v>924</v>
      </c>
      <c r="D15" s="530" t="s">
        <v>925</v>
      </c>
      <c r="E15" s="509" t="s">
        <v>926</v>
      </c>
      <c r="F15" s="531" t="s">
        <v>927</v>
      </c>
    </row>
    <row r="16" spans="1:6" ht="24.95" customHeight="1">
      <c r="A16" s="529">
        <v>9</v>
      </c>
      <c r="B16" s="678" t="s">
        <v>928</v>
      </c>
      <c r="C16" s="674" t="s">
        <v>929</v>
      </c>
      <c r="D16" s="530" t="s">
        <v>930</v>
      </c>
      <c r="E16" s="509" t="s">
        <v>931</v>
      </c>
      <c r="F16" s="531">
        <v>8.0357279730806097E+31</v>
      </c>
    </row>
    <row r="17" spans="1:6" ht="24.95" customHeight="1">
      <c r="A17" s="529"/>
      <c r="B17" s="680" t="s">
        <v>557</v>
      </c>
      <c r="C17" s="674"/>
      <c r="D17" s="530"/>
      <c r="E17" s="509"/>
      <c r="F17" s="532" t="s">
        <v>421</v>
      </c>
    </row>
    <row r="18" spans="1:6" ht="24.95" customHeight="1">
      <c r="A18" s="529">
        <v>10</v>
      </c>
      <c r="B18" s="676" t="s">
        <v>932</v>
      </c>
      <c r="C18" s="674" t="s">
        <v>933</v>
      </c>
      <c r="D18" s="530" t="s">
        <v>934</v>
      </c>
      <c r="E18" s="509" t="s">
        <v>935</v>
      </c>
      <c r="F18" s="531" t="s">
        <v>936</v>
      </c>
    </row>
    <row r="19" spans="1:6" ht="24.95" customHeight="1">
      <c r="A19" s="529">
        <v>11</v>
      </c>
      <c r="B19" s="676" t="s">
        <v>937</v>
      </c>
      <c r="C19" s="674" t="s">
        <v>938</v>
      </c>
      <c r="D19" s="530" t="s">
        <v>939</v>
      </c>
      <c r="E19" s="509" t="s">
        <v>940</v>
      </c>
      <c r="F19" s="531" t="s">
        <v>941</v>
      </c>
    </row>
    <row r="20" spans="1:6" ht="24.95" customHeight="1">
      <c r="A20" s="529">
        <v>12</v>
      </c>
      <c r="B20" s="677" t="s">
        <v>942</v>
      </c>
      <c r="C20" s="674" t="s">
        <v>943</v>
      </c>
      <c r="D20" s="530" t="s">
        <v>944</v>
      </c>
      <c r="E20" s="509" t="s">
        <v>945</v>
      </c>
      <c r="F20" s="531">
        <v>8058213858</v>
      </c>
    </row>
    <row r="21" spans="1:6" ht="24.95" customHeight="1">
      <c r="A21" s="529">
        <v>13</v>
      </c>
      <c r="B21" s="498" t="s">
        <v>946</v>
      </c>
      <c r="C21" s="674" t="s">
        <v>947</v>
      </c>
      <c r="D21" s="530" t="s">
        <v>948</v>
      </c>
      <c r="E21" s="509" t="s">
        <v>949</v>
      </c>
      <c r="F21" s="531">
        <v>8055162686</v>
      </c>
    </row>
    <row r="22" spans="1:6" ht="24.95" customHeight="1">
      <c r="A22" s="529">
        <v>14</v>
      </c>
      <c r="B22" s="678" t="s">
        <v>950</v>
      </c>
      <c r="C22" s="674" t="s">
        <v>951</v>
      </c>
      <c r="D22" s="530" t="s">
        <v>952</v>
      </c>
      <c r="E22" s="509" t="s">
        <v>953</v>
      </c>
      <c r="F22" s="531" t="s">
        <v>954</v>
      </c>
    </row>
    <row r="23" spans="1:6" ht="24.95" customHeight="1">
      <c r="A23" s="529">
        <v>15</v>
      </c>
      <c r="B23" s="678" t="s">
        <v>955</v>
      </c>
      <c r="C23" s="674" t="s">
        <v>956</v>
      </c>
      <c r="D23" s="530" t="s">
        <v>957</v>
      </c>
      <c r="E23" s="509" t="s">
        <v>958</v>
      </c>
      <c r="F23" s="531" t="s">
        <v>959</v>
      </c>
    </row>
    <row r="24" spans="1:6" ht="24.95" customHeight="1">
      <c r="A24" s="529">
        <v>16</v>
      </c>
      <c r="B24" s="676" t="s">
        <v>960</v>
      </c>
      <c r="C24" s="674" t="s">
        <v>961</v>
      </c>
      <c r="D24" s="530" t="s">
        <v>962</v>
      </c>
      <c r="E24" s="509" t="s">
        <v>963</v>
      </c>
      <c r="F24" s="531" t="s">
        <v>964</v>
      </c>
    </row>
    <row r="25" spans="1:6" ht="24.95" customHeight="1">
      <c r="A25" s="529">
        <v>17</v>
      </c>
      <c r="B25" s="679" t="s">
        <v>965</v>
      </c>
      <c r="C25" s="674" t="s">
        <v>966</v>
      </c>
      <c r="D25" s="530">
        <v>8023239193</v>
      </c>
      <c r="E25" s="509" t="s">
        <v>967</v>
      </c>
      <c r="F25" s="531">
        <v>8032481722</v>
      </c>
    </row>
    <row r="26" spans="1:6" ht="24.95" customHeight="1">
      <c r="A26" s="529">
        <v>18</v>
      </c>
      <c r="B26" s="678" t="s">
        <v>968</v>
      </c>
      <c r="C26" s="674" t="s">
        <v>969</v>
      </c>
      <c r="D26" s="530">
        <v>8064674326</v>
      </c>
      <c r="E26" s="509" t="s">
        <v>970</v>
      </c>
      <c r="F26" s="531" t="s">
        <v>971</v>
      </c>
    </row>
    <row r="27" spans="1:6" ht="24.95" customHeight="1">
      <c r="A27" s="529"/>
      <c r="B27" s="680" t="s">
        <v>558</v>
      </c>
      <c r="C27" s="674"/>
      <c r="D27" s="530"/>
      <c r="E27" s="509"/>
      <c r="F27" s="532" t="s">
        <v>421</v>
      </c>
    </row>
    <row r="28" spans="1:6" ht="24.95" customHeight="1">
      <c r="A28" s="529">
        <v>19</v>
      </c>
      <c r="B28" s="676" t="s">
        <v>972</v>
      </c>
      <c r="C28" s="674" t="s">
        <v>973</v>
      </c>
      <c r="D28" s="530">
        <v>8032566844</v>
      </c>
      <c r="E28" s="509" t="s">
        <v>974</v>
      </c>
      <c r="F28" s="531">
        <v>8035694619</v>
      </c>
    </row>
    <row r="29" spans="1:6" ht="24.95" customHeight="1">
      <c r="A29" s="529">
        <v>20</v>
      </c>
      <c r="B29" s="678" t="s">
        <v>975</v>
      </c>
      <c r="C29" s="674" t="s">
        <v>976</v>
      </c>
      <c r="D29" s="530" t="s">
        <v>977</v>
      </c>
      <c r="E29" s="509" t="s">
        <v>978</v>
      </c>
      <c r="F29" s="531" t="s">
        <v>979</v>
      </c>
    </row>
    <row r="30" spans="1:6" ht="24.95" customHeight="1">
      <c r="A30" s="529">
        <v>21</v>
      </c>
      <c r="B30" s="676" t="s">
        <v>980</v>
      </c>
      <c r="C30" s="674" t="s">
        <v>981</v>
      </c>
      <c r="D30" s="530">
        <v>8037067077</v>
      </c>
      <c r="E30" s="509" t="s">
        <v>982</v>
      </c>
      <c r="F30" s="531" t="s">
        <v>983</v>
      </c>
    </row>
    <row r="31" spans="1:6" ht="24.95" customHeight="1">
      <c r="A31" s="529">
        <v>22</v>
      </c>
      <c r="B31" s="678" t="s">
        <v>984</v>
      </c>
      <c r="C31" s="674" t="s">
        <v>985</v>
      </c>
      <c r="D31" s="530">
        <v>8032189612</v>
      </c>
      <c r="E31" s="509" t="s">
        <v>986</v>
      </c>
      <c r="F31" s="531">
        <v>8033450962</v>
      </c>
    </row>
    <row r="32" spans="1:6" ht="24.95" customHeight="1">
      <c r="A32" s="529">
        <v>23</v>
      </c>
      <c r="B32" s="676" t="s">
        <v>987</v>
      </c>
      <c r="C32" s="674" t="s">
        <v>988</v>
      </c>
      <c r="D32" s="530">
        <v>8037131074</v>
      </c>
      <c r="E32" s="509" t="s">
        <v>989</v>
      </c>
      <c r="F32" s="531">
        <v>7051419156</v>
      </c>
    </row>
    <row r="33" spans="1:6" ht="24.95" customHeight="1">
      <c r="A33" s="529">
        <v>24</v>
      </c>
      <c r="B33" s="678" t="s">
        <v>990</v>
      </c>
      <c r="C33" s="674" t="s">
        <v>991</v>
      </c>
      <c r="D33" s="530">
        <v>8023615487</v>
      </c>
      <c r="E33" s="509" t="s">
        <v>992</v>
      </c>
      <c r="F33" s="531">
        <v>8034943986</v>
      </c>
    </row>
    <row r="34" spans="1:6" ht="24.95" customHeight="1">
      <c r="A34" s="529">
        <v>25</v>
      </c>
      <c r="B34" s="676" t="s">
        <v>993</v>
      </c>
      <c r="C34" s="674" t="s">
        <v>994</v>
      </c>
      <c r="D34" s="530">
        <v>8053515186</v>
      </c>
      <c r="E34" s="509" t="s">
        <v>995</v>
      </c>
      <c r="F34" s="531">
        <v>8034258920</v>
      </c>
    </row>
    <row r="35" spans="1:6" ht="24.95" customHeight="1">
      <c r="A35" s="529">
        <v>26</v>
      </c>
      <c r="B35" s="681" t="s">
        <v>996</v>
      </c>
      <c r="C35" s="674" t="s">
        <v>997</v>
      </c>
      <c r="D35" s="530" t="s">
        <v>998</v>
      </c>
      <c r="E35" s="509" t="s">
        <v>999</v>
      </c>
      <c r="F35" s="531" t="s">
        <v>1000</v>
      </c>
    </row>
    <row r="36" spans="1:6" ht="24.95" customHeight="1">
      <c r="A36" s="529">
        <v>27</v>
      </c>
      <c r="B36" s="682" t="s">
        <v>1001</v>
      </c>
      <c r="C36" s="674" t="s">
        <v>1002</v>
      </c>
      <c r="D36" s="530">
        <v>8034312541</v>
      </c>
      <c r="E36" s="509" t="s">
        <v>1003</v>
      </c>
      <c r="F36" s="531" t="s">
        <v>1004</v>
      </c>
    </row>
    <row r="37" spans="1:6" ht="24.95" customHeight="1">
      <c r="A37" s="529">
        <v>28</v>
      </c>
      <c r="B37" s="533" t="s">
        <v>1005</v>
      </c>
      <c r="C37" s="674" t="s">
        <v>1006</v>
      </c>
      <c r="D37" s="530">
        <v>8035720728</v>
      </c>
      <c r="E37" s="509" t="s">
        <v>1007</v>
      </c>
      <c r="F37" s="531">
        <v>8023923536</v>
      </c>
    </row>
    <row r="38" spans="1:6" ht="24.95" customHeight="1">
      <c r="A38" s="529">
        <v>29</v>
      </c>
      <c r="B38" s="533" t="s">
        <v>1008</v>
      </c>
      <c r="C38" s="674" t="s">
        <v>1009</v>
      </c>
      <c r="D38" s="530">
        <v>8033662775</v>
      </c>
      <c r="E38" s="509" t="s">
        <v>1010</v>
      </c>
      <c r="F38" s="531">
        <v>8035022234</v>
      </c>
    </row>
    <row r="39" spans="1:6" ht="21">
      <c r="A39" s="529">
        <v>30</v>
      </c>
      <c r="B39" s="533" t="s">
        <v>1011</v>
      </c>
      <c r="C39" s="674" t="s">
        <v>1012</v>
      </c>
      <c r="D39" s="530">
        <v>8033598853</v>
      </c>
      <c r="E39" s="509" t="s">
        <v>1013</v>
      </c>
      <c r="F39" s="531">
        <v>8033602485</v>
      </c>
    </row>
    <row r="40" spans="1:6" ht="24" customHeight="1">
      <c r="A40" s="529">
        <v>31</v>
      </c>
      <c r="B40" s="533" t="s">
        <v>1014</v>
      </c>
      <c r="C40" s="674" t="s">
        <v>1015</v>
      </c>
      <c r="D40" s="530">
        <v>8069201961</v>
      </c>
      <c r="E40" s="509" t="s">
        <v>1016</v>
      </c>
      <c r="F40" s="531">
        <v>8034112337</v>
      </c>
    </row>
    <row r="41" spans="1:6" ht="26.25">
      <c r="F41" s="534" t="s">
        <v>420</v>
      </c>
    </row>
    <row r="42" spans="1:6" ht="32.25" customHeight="1"/>
    <row r="43" spans="1:6" ht="21">
      <c r="A43" s="516">
        <f>COUNTA(A8:A40)</f>
        <v>31</v>
      </c>
      <c r="B43" s="557" t="e">
        <f>COUNTIF(#REF!, "&lt;1001")</f>
        <v>#REF!</v>
      </c>
      <c r="C43" s="557" t="e">
        <f>COUNTIF(#REF!, "&lt;1001")</f>
        <v>#REF!</v>
      </c>
      <c r="D43" s="557" t="e">
        <f>COUNTIF(#REF!, "&lt;1001")</f>
        <v>#REF!</v>
      </c>
      <c r="E43" s="557" t="e">
        <f>COUNTIF(#REF!, "&lt;1001")</f>
        <v>#REF!</v>
      </c>
      <c r="F43" s="557" t="e">
        <f>COUNTIF(#REF!, "&lt;1001")</f>
        <v>#REF!</v>
      </c>
    </row>
    <row r="44" spans="1:6" ht="15" customHeight="1">
      <c r="A44" s="1719"/>
      <c r="B44" s="1721"/>
      <c r="C44" s="535"/>
      <c r="D44" s="536"/>
      <c r="E44" s="536"/>
      <c r="F44" s="658"/>
    </row>
    <row r="45" spans="1:6">
      <c r="A45" s="1720"/>
      <c r="B45" s="1722"/>
      <c r="C45" s="537"/>
      <c r="D45" s="526"/>
      <c r="E45" s="526"/>
      <c r="F45" s="509"/>
    </row>
    <row r="46" spans="1:6" ht="24" customHeight="1">
      <c r="A46" s="509"/>
      <c r="B46" s="538"/>
      <c r="C46" s="539"/>
      <c r="D46" s="539"/>
      <c r="E46" s="539"/>
      <c r="F46" s="539"/>
    </row>
  </sheetData>
  <mergeCells count="8">
    <mergeCell ref="D5:D6"/>
    <mergeCell ref="E5:E6"/>
    <mergeCell ref="F5:F6"/>
    <mergeCell ref="A44:A45"/>
    <mergeCell ref="B44:B45"/>
    <mergeCell ref="A5:A6"/>
    <mergeCell ref="B5:B6"/>
    <mergeCell ref="C5:C6"/>
  </mergeCells>
  <pageMargins left="0.7" right="0.7" top="0.75" bottom="0.75" header="0.3" footer="0.3"/>
  <pageSetup scale="7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42" sqref="M42"/>
    </sheetView>
  </sheetViews>
  <sheetFormatPr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opLeftCell="A23" workbookViewId="0">
      <selection activeCell="H31" sqref="H31"/>
    </sheetView>
  </sheetViews>
  <sheetFormatPr defaultRowHeight="15"/>
  <cols>
    <col min="1" max="1" width="7.1640625" style="492" customWidth="1"/>
    <col min="2" max="2" width="62.6640625" style="492" customWidth="1"/>
    <col min="3" max="16384" width="9.33203125" style="492"/>
  </cols>
  <sheetData>
    <row r="1" spans="1:2" hidden="1"/>
    <row r="2" spans="1:2" ht="18.75">
      <c r="A2" s="1727" t="s">
        <v>1017</v>
      </c>
      <c r="B2" s="1727"/>
    </row>
    <row r="3" spans="1:2" ht="18.75">
      <c r="A3" s="1728" t="s">
        <v>1018</v>
      </c>
      <c r="B3" s="1728"/>
    </row>
    <row r="4" spans="1:2">
      <c r="A4" s="1729" t="s">
        <v>0</v>
      </c>
      <c r="B4" s="1731" t="s">
        <v>520</v>
      </c>
    </row>
    <row r="5" spans="1:2">
      <c r="A5" s="1730"/>
      <c r="B5" s="1732"/>
    </row>
    <row r="6" spans="1:2" ht="30">
      <c r="A6" s="509">
        <v>1</v>
      </c>
      <c r="B6" s="541" t="s">
        <v>1019</v>
      </c>
    </row>
    <row r="7" spans="1:2" ht="15.75">
      <c r="A7" s="509">
        <v>2</v>
      </c>
      <c r="B7" s="542" t="s">
        <v>1020</v>
      </c>
    </row>
    <row r="8" spans="1:2" ht="15.75">
      <c r="A8" s="509">
        <v>3</v>
      </c>
      <c r="B8" s="543" t="s">
        <v>1021</v>
      </c>
    </row>
    <row r="9" spans="1:2" ht="15.75">
      <c r="A9" s="509">
        <v>4</v>
      </c>
      <c r="B9" s="544" t="s">
        <v>1022</v>
      </c>
    </row>
    <row r="10" spans="1:2" ht="15.75">
      <c r="A10" s="509">
        <v>5</v>
      </c>
      <c r="B10" s="545" t="s">
        <v>1023</v>
      </c>
    </row>
    <row r="11" spans="1:2" ht="15.75">
      <c r="A11" s="509">
        <v>6</v>
      </c>
      <c r="B11" s="543" t="s">
        <v>1024</v>
      </c>
    </row>
    <row r="12" spans="1:2" ht="15.75">
      <c r="A12" s="509">
        <v>7</v>
      </c>
      <c r="B12" s="546" t="s">
        <v>1025</v>
      </c>
    </row>
    <row r="13" spans="1:2" ht="15.75">
      <c r="A13" s="509">
        <v>8</v>
      </c>
      <c r="B13" s="547" t="s">
        <v>1026</v>
      </c>
    </row>
    <row r="14" spans="1:2" ht="15.75">
      <c r="A14" s="509">
        <v>9</v>
      </c>
      <c r="B14" s="548" t="s">
        <v>1027</v>
      </c>
    </row>
    <row r="15" spans="1:2" ht="30.75" customHeight="1">
      <c r="A15" s="509"/>
      <c r="B15" s="540" t="s">
        <v>557</v>
      </c>
    </row>
    <row r="16" spans="1:2" ht="15.75">
      <c r="A16" s="509">
        <v>1</v>
      </c>
      <c r="B16" s="542" t="s">
        <v>1019</v>
      </c>
    </row>
    <row r="17" spans="1:2" ht="15.75">
      <c r="A17" s="509">
        <v>2</v>
      </c>
      <c r="B17" s="542" t="s">
        <v>1028</v>
      </c>
    </row>
    <row r="18" spans="1:2" ht="15.75">
      <c r="A18" s="509">
        <v>3</v>
      </c>
      <c r="B18" s="542" t="s">
        <v>1021</v>
      </c>
    </row>
    <row r="19" spans="1:2" ht="15.75">
      <c r="A19" s="509">
        <v>4</v>
      </c>
      <c r="B19" s="542" t="s">
        <v>1022</v>
      </c>
    </row>
    <row r="20" spans="1:2" ht="15.75">
      <c r="A20" s="509">
        <v>5</v>
      </c>
      <c r="B20" s="542" t="s">
        <v>1023</v>
      </c>
    </row>
    <row r="21" spans="1:2" ht="15.75">
      <c r="A21" s="509">
        <v>6</v>
      </c>
      <c r="B21" s="542" t="s">
        <v>482</v>
      </c>
    </row>
    <row r="22" spans="1:2" ht="15.75">
      <c r="A22" s="509">
        <v>7</v>
      </c>
      <c r="B22" s="542" t="s">
        <v>1025</v>
      </c>
    </row>
    <row r="23" spans="1:2" ht="15.75">
      <c r="A23" s="509">
        <v>8</v>
      </c>
      <c r="B23" s="542" t="s">
        <v>1026</v>
      </c>
    </row>
    <row r="24" spans="1:2" ht="31.5">
      <c r="A24" s="509">
        <v>9</v>
      </c>
      <c r="B24" s="542" t="s">
        <v>1027</v>
      </c>
    </row>
    <row r="25" spans="1:2">
      <c r="A25" s="509"/>
      <c r="B25" s="540" t="s">
        <v>558</v>
      </c>
    </row>
    <row r="26" spans="1:2" ht="15.75">
      <c r="A26" s="509">
        <v>1</v>
      </c>
      <c r="B26" s="542" t="s">
        <v>1029</v>
      </c>
    </row>
    <row r="27" spans="1:2" ht="15.75">
      <c r="A27" s="509">
        <v>2</v>
      </c>
      <c r="B27" s="542" t="s">
        <v>1030</v>
      </c>
    </row>
    <row r="28" spans="1:2" ht="15.75">
      <c r="A28" s="509">
        <v>3</v>
      </c>
      <c r="B28" s="542" t="s">
        <v>1031</v>
      </c>
    </row>
    <row r="29" spans="1:2" ht="15.75">
      <c r="A29" s="509">
        <v>4</v>
      </c>
      <c r="B29" s="542" t="s">
        <v>1032</v>
      </c>
    </row>
    <row r="30" spans="1:2" ht="15.75">
      <c r="A30" s="509">
        <v>5</v>
      </c>
      <c r="B30" s="542" t="s">
        <v>1033</v>
      </c>
    </row>
    <row r="31" spans="1:2" ht="31.5">
      <c r="A31" s="509">
        <v>6</v>
      </c>
      <c r="B31" s="542" t="s">
        <v>1034</v>
      </c>
    </row>
    <row r="32" spans="1:2">
      <c r="A32" s="509"/>
      <c r="B32" s="540"/>
    </row>
    <row r="33" spans="1:2" ht="15" customHeight="1">
      <c r="A33" s="482">
        <f>COUNTA(A6:A31)</f>
        <v>24</v>
      </c>
      <c r="B33" s="557"/>
    </row>
  </sheetData>
  <mergeCells count="4">
    <mergeCell ref="A2:B2"/>
    <mergeCell ref="A3:B3"/>
    <mergeCell ref="A4:A5"/>
    <mergeCell ref="B4:B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3"/>
  <sheetViews>
    <sheetView view="pageBreakPreview" topLeftCell="A7" zoomScale="60" workbookViewId="0">
      <selection activeCell="A32" sqref="A32:CO32"/>
    </sheetView>
  </sheetViews>
  <sheetFormatPr defaultRowHeight="12.75"/>
  <cols>
    <col min="1" max="2" width="9.33203125" style="4"/>
    <col min="3" max="3" width="10.6640625" style="4" customWidth="1"/>
    <col min="4" max="5" width="9.33203125" style="4"/>
    <col min="6" max="6" width="88.6640625" style="4" customWidth="1"/>
    <col min="7" max="84" width="0" style="4" hidden="1" customWidth="1"/>
    <col min="85" max="89" width="9.33203125" style="4"/>
    <col min="90" max="90" width="1" style="4" customWidth="1"/>
    <col min="91" max="93" width="9.33203125" style="4"/>
    <col min="94" max="105" width="0" style="4" hidden="1" customWidth="1"/>
    <col min="106" max="106" width="66.5" style="4" customWidth="1"/>
    <col min="107" max="16384" width="9.33203125" style="4"/>
  </cols>
  <sheetData>
    <row r="1" spans="1:106" ht="37.5" customHeight="1">
      <c r="A1" s="1733" t="s">
        <v>409</v>
      </c>
      <c r="B1" s="1734"/>
      <c r="C1" s="1734"/>
      <c r="D1" s="1734"/>
      <c r="E1" s="1734"/>
      <c r="F1" s="1734"/>
      <c r="G1" s="1734"/>
      <c r="H1" s="1734"/>
      <c r="I1" s="1734"/>
      <c r="J1" s="1734"/>
      <c r="K1" s="1734"/>
      <c r="L1" s="1734"/>
      <c r="M1" s="1734"/>
      <c r="N1" s="1734"/>
      <c r="O1" s="1734"/>
      <c r="P1" s="1734"/>
      <c r="Q1" s="1734"/>
      <c r="R1" s="1734"/>
      <c r="S1" s="1734"/>
      <c r="T1" s="1734"/>
      <c r="U1" s="1734"/>
      <c r="V1" s="1734"/>
      <c r="W1" s="1734"/>
      <c r="X1" s="1734"/>
      <c r="Y1" s="1734"/>
      <c r="Z1" s="1734"/>
      <c r="AA1" s="1734"/>
      <c r="AB1" s="1734"/>
      <c r="AC1" s="1734"/>
      <c r="AD1" s="1734"/>
      <c r="AE1" s="1734"/>
      <c r="AF1" s="1734"/>
      <c r="AG1" s="1734"/>
      <c r="AH1" s="1734"/>
      <c r="AI1" s="1734"/>
      <c r="AJ1" s="1734"/>
      <c r="AK1" s="1734"/>
      <c r="AL1" s="1734"/>
      <c r="AM1" s="1734"/>
      <c r="AN1" s="1734"/>
      <c r="AO1" s="1734"/>
      <c r="AP1" s="1734"/>
      <c r="AQ1" s="1734"/>
      <c r="AR1" s="1734"/>
      <c r="AS1" s="1734"/>
      <c r="AT1" s="1734"/>
      <c r="AU1" s="1734"/>
      <c r="AV1" s="1734"/>
      <c r="AW1" s="1734"/>
      <c r="AX1" s="1734"/>
      <c r="AY1" s="1734"/>
      <c r="AZ1" s="1734"/>
      <c r="BA1" s="1734"/>
      <c r="BB1" s="1734"/>
      <c r="BC1" s="1734"/>
      <c r="BD1" s="1734"/>
      <c r="BE1" s="1734"/>
      <c r="BF1" s="1734"/>
      <c r="BG1" s="1734"/>
      <c r="BH1" s="1734"/>
      <c r="BI1" s="1734"/>
      <c r="BJ1" s="1734"/>
      <c r="BK1" s="1734"/>
      <c r="BL1" s="1734"/>
      <c r="BM1" s="1734"/>
      <c r="BN1" s="1734"/>
      <c r="BO1" s="1734"/>
      <c r="BP1" s="1734"/>
      <c r="BQ1" s="1734"/>
      <c r="BR1" s="1734"/>
      <c r="BS1" s="1734"/>
      <c r="BT1" s="1734"/>
      <c r="BU1" s="1734"/>
      <c r="BV1" s="1734"/>
      <c r="BW1" s="1734"/>
      <c r="BX1" s="1734"/>
      <c r="BY1" s="1734"/>
      <c r="BZ1" s="1734"/>
      <c r="CA1" s="1734"/>
      <c r="CB1" s="1734"/>
      <c r="CC1" s="1734"/>
      <c r="CD1" s="1734"/>
      <c r="CE1" s="1734"/>
      <c r="CF1" s="1734"/>
      <c r="CG1" s="1734"/>
      <c r="CH1" s="1734"/>
      <c r="CI1" s="1734"/>
      <c r="CJ1" s="1734"/>
      <c r="CK1" s="1734"/>
      <c r="CL1" s="1734"/>
      <c r="CM1" s="1734"/>
      <c r="CN1" s="1734"/>
      <c r="CO1" s="1734"/>
      <c r="CP1" s="1734"/>
      <c r="CQ1" s="1734"/>
      <c r="CR1" s="1734"/>
      <c r="CS1" s="1734"/>
      <c r="CT1" s="1734"/>
      <c r="CU1" s="1734"/>
      <c r="CV1" s="1734"/>
      <c r="CW1" s="1734"/>
      <c r="CX1" s="1734"/>
      <c r="CY1" s="1734"/>
      <c r="CZ1" s="1734"/>
      <c r="DA1" s="1734"/>
      <c r="DB1" s="1735"/>
    </row>
    <row r="2" spans="1:106" ht="33">
      <c r="A2" s="1736" t="s">
        <v>522</v>
      </c>
      <c r="B2" s="1737"/>
      <c r="C2" s="1737"/>
      <c r="D2" s="1737"/>
      <c r="E2" s="1737"/>
      <c r="F2" s="1737"/>
      <c r="G2" s="1737"/>
      <c r="H2" s="1737"/>
      <c r="I2" s="1737"/>
      <c r="J2" s="1737"/>
      <c r="K2" s="1737"/>
      <c r="L2" s="1737"/>
      <c r="M2" s="1737"/>
      <c r="N2" s="1737"/>
      <c r="O2" s="1737"/>
      <c r="P2" s="1737"/>
      <c r="Q2" s="1737"/>
      <c r="R2" s="1737"/>
      <c r="S2" s="1737"/>
      <c r="T2" s="1737"/>
      <c r="U2" s="1737"/>
      <c r="V2" s="1737"/>
      <c r="W2" s="1737"/>
      <c r="X2" s="1737"/>
      <c r="Y2" s="1737"/>
      <c r="Z2" s="1737"/>
      <c r="AA2" s="1737"/>
      <c r="AB2" s="1737"/>
      <c r="AC2" s="1737"/>
      <c r="AD2" s="1737"/>
      <c r="AE2" s="1737"/>
      <c r="AF2" s="1737"/>
      <c r="AG2" s="1737"/>
      <c r="AH2" s="1737"/>
      <c r="AI2" s="1737"/>
      <c r="AJ2" s="1737"/>
      <c r="AK2" s="1737"/>
      <c r="AL2" s="1737"/>
      <c r="AM2" s="1737"/>
      <c r="AN2" s="1737"/>
      <c r="AO2" s="1737"/>
      <c r="AP2" s="1737"/>
      <c r="AQ2" s="1737"/>
      <c r="AR2" s="1737"/>
      <c r="AS2" s="1737"/>
      <c r="AT2" s="1737"/>
      <c r="AU2" s="1737"/>
      <c r="AV2" s="1737"/>
      <c r="AW2" s="1737"/>
      <c r="AX2" s="1737"/>
      <c r="AY2" s="1737"/>
      <c r="AZ2" s="1737"/>
      <c r="BA2" s="1737"/>
      <c r="BB2" s="1737"/>
      <c r="BC2" s="1737"/>
      <c r="BD2" s="1737"/>
      <c r="BE2" s="1737"/>
      <c r="BF2" s="1737"/>
      <c r="BG2" s="1737"/>
      <c r="BH2" s="1737"/>
      <c r="BI2" s="1737"/>
      <c r="BJ2" s="1737"/>
      <c r="BK2" s="1737"/>
      <c r="BL2" s="1737"/>
      <c r="BM2" s="1737"/>
      <c r="BN2" s="1737"/>
      <c r="BO2" s="1737"/>
      <c r="BP2" s="1737"/>
      <c r="BQ2" s="1737"/>
      <c r="BR2" s="1737"/>
      <c r="BS2" s="1737"/>
      <c r="BT2" s="1737"/>
      <c r="BU2" s="1737"/>
      <c r="BV2" s="1737"/>
      <c r="BW2" s="1737"/>
      <c r="BX2" s="1737"/>
      <c r="BY2" s="1737"/>
      <c r="BZ2" s="1737"/>
      <c r="CA2" s="1737"/>
      <c r="CB2" s="1737"/>
      <c r="CC2" s="1737"/>
      <c r="CD2" s="1737"/>
      <c r="CE2" s="1737"/>
      <c r="CF2" s="1737"/>
      <c r="CG2" s="1737"/>
      <c r="CH2" s="1737"/>
      <c r="CI2" s="1737"/>
      <c r="CJ2" s="1737"/>
      <c r="CK2" s="1737"/>
      <c r="CL2" s="1737"/>
      <c r="CM2" s="1737"/>
      <c r="CN2" s="1737"/>
      <c r="CO2" s="1737"/>
      <c r="CP2" s="1737"/>
      <c r="CQ2" s="1737"/>
      <c r="CR2" s="1737"/>
      <c r="CS2" s="1737"/>
      <c r="CT2" s="1737"/>
      <c r="CU2" s="1737"/>
      <c r="CV2" s="1737"/>
      <c r="CW2" s="1737"/>
      <c r="CX2" s="1737"/>
      <c r="CY2" s="1737"/>
      <c r="CZ2" s="1737"/>
      <c r="DA2" s="1737"/>
      <c r="DB2" s="1738"/>
    </row>
    <row r="3" spans="1:106" ht="33">
      <c r="A3" s="1743" t="s">
        <v>523</v>
      </c>
      <c r="B3" s="1744"/>
      <c r="C3" s="1744"/>
      <c r="D3" s="1744"/>
      <c r="E3" s="1744"/>
      <c r="F3" s="1744"/>
      <c r="G3" s="1744"/>
      <c r="H3" s="1744"/>
      <c r="I3" s="1744"/>
      <c r="J3" s="1744"/>
      <c r="K3" s="1744"/>
      <c r="L3" s="1744"/>
      <c r="M3" s="1744"/>
      <c r="N3" s="1744"/>
      <c r="O3" s="1744"/>
      <c r="P3" s="1744"/>
      <c r="Q3" s="1744"/>
      <c r="R3" s="1744"/>
      <c r="S3" s="1744"/>
      <c r="T3" s="1744"/>
      <c r="U3" s="1744"/>
      <c r="V3" s="1744"/>
      <c r="W3" s="1744"/>
      <c r="X3" s="1744"/>
      <c r="Y3" s="1744"/>
      <c r="Z3" s="1744"/>
      <c r="AA3" s="1744"/>
      <c r="AB3" s="1744"/>
      <c r="AC3" s="1744"/>
      <c r="AD3" s="1744"/>
      <c r="AE3" s="1744"/>
      <c r="AF3" s="1744"/>
      <c r="AG3" s="1744"/>
      <c r="AH3" s="1744"/>
      <c r="AI3" s="1744"/>
      <c r="AJ3" s="1744"/>
      <c r="AK3" s="1744"/>
      <c r="AL3" s="1744"/>
      <c r="AM3" s="1744"/>
      <c r="AN3" s="1744"/>
      <c r="AO3" s="1744"/>
      <c r="AP3" s="1744"/>
      <c r="AQ3" s="1744"/>
      <c r="AR3" s="1744"/>
      <c r="AS3" s="1744"/>
      <c r="AT3" s="1744"/>
      <c r="AU3" s="1744"/>
      <c r="AV3" s="1744"/>
      <c r="AW3" s="1744"/>
      <c r="AX3" s="1744"/>
      <c r="AY3" s="1744"/>
      <c r="AZ3" s="1744"/>
      <c r="BA3" s="1744"/>
      <c r="BB3" s="1744"/>
      <c r="BC3" s="1744"/>
      <c r="BD3" s="1744"/>
      <c r="BE3" s="1744"/>
      <c r="BF3" s="1744"/>
      <c r="BG3" s="1744"/>
      <c r="BH3" s="1744"/>
      <c r="BI3" s="1744"/>
      <c r="BJ3" s="1744"/>
      <c r="BK3" s="1744"/>
      <c r="BL3" s="1744"/>
      <c r="BM3" s="1744"/>
      <c r="BN3" s="1744"/>
      <c r="BO3" s="1744"/>
      <c r="BP3" s="1744"/>
      <c r="BQ3" s="1744"/>
      <c r="BR3" s="1744"/>
      <c r="BS3" s="1744"/>
      <c r="BT3" s="1744"/>
      <c r="BU3" s="1744"/>
      <c r="BV3" s="1744"/>
      <c r="BW3" s="1744"/>
      <c r="BX3" s="1744"/>
      <c r="BY3" s="1744"/>
      <c r="BZ3" s="1744"/>
      <c r="CA3" s="1744"/>
      <c r="CB3" s="1744"/>
      <c r="CC3" s="1744"/>
      <c r="CD3" s="1744"/>
      <c r="CE3" s="1744"/>
      <c r="CF3" s="1744"/>
      <c r="CG3" s="1744"/>
      <c r="CH3" s="1744"/>
      <c r="CI3" s="1744"/>
      <c r="CJ3" s="1744"/>
      <c r="CK3" s="1744"/>
      <c r="CL3" s="1744"/>
      <c r="CM3" s="1744"/>
      <c r="CN3" s="1744"/>
      <c r="CO3" s="1744"/>
      <c r="CP3" s="1744"/>
      <c r="CQ3" s="1744"/>
      <c r="CR3" s="1744"/>
      <c r="CS3" s="1744"/>
      <c r="CT3" s="1744"/>
      <c r="CU3" s="1744"/>
      <c r="CV3" s="1744"/>
      <c r="CW3" s="1744"/>
      <c r="CX3" s="1744"/>
      <c r="CY3" s="1744"/>
      <c r="CZ3" s="1744"/>
      <c r="DA3" s="1744"/>
      <c r="DB3" s="1745"/>
    </row>
    <row r="4" spans="1:106" ht="33">
      <c r="A4" s="1739" t="s">
        <v>455</v>
      </c>
      <c r="B4" s="1737"/>
      <c r="C4" s="1737"/>
      <c r="D4" s="1737"/>
      <c r="E4" s="1737"/>
      <c r="F4" s="1737"/>
      <c r="G4" s="1737"/>
      <c r="H4" s="1737"/>
      <c r="I4" s="1737"/>
      <c r="J4" s="1737"/>
      <c r="K4" s="1737"/>
      <c r="L4" s="1737"/>
      <c r="M4" s="1737"/>
      <c r="N4" s="1737"/>
      <c r="O4" s="1737"/>
      <c r="P4" s="1737"/>
      <c r="Q4" s="1737"/>
      <c r="R4" s="1737"/>
      <c r="S4" s="1737"/>
      <c r="T4" s="1737"/>
      <c r="U4" s="1737"/>
      <c r="V4" s="1737"/>
      <c r="W4" s="1737"/>
      <c r="X4" s="1737"/>
      <c r="Y4" s="1737"/>
      <c r="Z4" s="1737"/>
      <c r="AA4" s="1737"/>
      <c r="AB4" s="1737"/>
      <c r="AC4" s="1737"/>
      <c r="AD4" s="1737"/>
      <c r="AE4" s="1737"/>
      <c r="AF4" s="1737"/>
      <c r="AG4" s="1737"/>
      <c r="AH4" s="1737"/>
      <c r="AI4" s="1737"/>
      <c r="AJ4" s="1737"/>
      <c r="AK4" s="1737"/>
      <c r="AL4" s="1737"/>
      <c r="AM4" s="1737"/>
      <c r="AN4" s="1737"/>
      <c r="AO4" s="1737"/>
      <c r="AP4" s="1737"/>
      <c r="AQ4" s="1737"/>
      <c r="AR4" s="1737"/>
      <c r="AS4" s="1737"/>
      <c r="AT4" s="1737"/>
      <c r="AU4" s="1737"/>
      <c r="AV4" s="1737"/>
      <c r="AW4" s="1737"/>
      <c r="AX4" s="1737"/>
      <c r="AY4" s="1737"/>
      <c r="AZ4" s="1737"/>
      <c r="BA4" s="1737"/>
      <c r="BB4" s="1737"/>
      <c r="BC4" s="1737"/>
      <c r="BD4" s="1737"/>
      <c r="BE4" s="1737"/>
      <c r="BF4" s="1737"/>
      <c r="BG4" s="1737"/>
      <c r="BH4" s="1737"/>
      <c r="BI4" s="1737"/>
      <c r="BJ4" s="1737"/>
      <c r="BK4" s="1737"/>
      <c r="BL4" s="1737"/>
      <c r="BM4" s="1737"/>
      <c r="BN4" s="1737"/>
      <c r="BO4" s="1737"/>
      <c r="BP4" s="1737"/>
      <c r="BQ4" s="1737"/>
      <c r="BR4" s="1737"/>
      <c r="BS4" s="1737"/>
      <c r="BT4" s="1737"/>
      <c r="BU4" s="1737"/>
      <c r="BV4" s="1737"/>
      <c r="BW4" s="1737"/>
      <c r="BX4" s="1737"/>
      <c r="BY4" s="1737"/>
      <c r="BZ4" s="1737"/>
      <c r="CA4" s="1737"/>
      <c r="CB4" s="1737"/>
      <c r="CC4" s="1737"/>
      <c r="CD4" s="1737"/>
      <c r="CE4" s="1737"/>
      <c r="CF4" s="1737"/>
      <c r="CG4" s="1737"/>
      <c r="CH4" s="1737"/>
      <c r="CI4" s="1737"/>
      <c r="CJ4" s="1737"/>
      <c r="CK4" s="1737"/>
      <c r="CL4" s="1737"/>
      <c r="CM4" s="1737"/>
      <c r="CN4" s="1737"/>
      <c r="CO4" s="1737"/>
      <c r="CP4" s="1737"/>
      <c r="CQ4" s="1737"/>
      <c r="CR4" s="1737"/>
      <c r="CS4" s="1737"/>
      <c r="CT4" s="1737"/>
      <c r="CU4" s="1737"/>
      <c r="CV4" s="1737"/>
      <c r="CW4" s="1737"/>
      <c r="CX4" s="1737"/>
      <c r="CY4" s="1737"/>
      <c r="CZ4" s="1737"/>
      <c r="DA4" s="1737"/>
      <c r="DB4" s="1738"/>
    </row>
    <row r="5" spans="1:106" ht="18.75" hidden="1" customHeight="1">
      <c r="A5" s="1754" t="s">
        <v>26</v>
      </c>
      <c r="B5" s="1755"/>
      <c r="C5" s="1755"/>
      <c r="D5" s="1755"/>
      <c r="E5" s="1755"/>
      <c r="F5" s="1755"/>
      <c r="G5" s="1756" t="s">
        <v>455</v>
      </c>
      <c r="H5" s="1756"/>
      <c r="I5" s="1756"/>
      <c r="J5" s="1756"/>
      <c r="K5" s="1756"/>
      <c r="L5" s="1752"/>
      <c r="M5" s="1752"/>
      <c r="N5" s="1752"/>
      <c r="O5" s="1752"/>
      <c r="P5" s="1752"/>
      <c r="Q5" s="1752"/>
      <c r="R5" s="1752"/>
      <c r="S5" s="1752"/>
      <c r="T5" s="1752"/>
      <c r="U5" s="1752"/>
      <c r="V5" s="1752"/>
      <c r="W5" s="1752"/>
      <c r="X5" s="1752"/>
      <c r="Y5" s="1752"/>
      <c r="Z5" s="1752"/>
      <c r="AA5" s="1752"/>
      <c r="AB5" s="1752"/>
      <c r="AC5" s="1752"/>
      <c r="AD5" s="1752"/>
      <c r="AE5" s="1753" t="s">
        <v>27</v>
      </c>
      <c r="AF5" s="1753"/>
      <c r="AG5" s="1753"/>
      <c r="AH5" s="1753"/>
      <c r="AI5" s="1753"/>
      <c r="AJ5" s="1753"/>
      <c r="AK5" s="1753"/>
      <c r="AL5" s="1753"/>
      <c r="AM5" s="1753"/>
      <c r="AN5" s="1753"/>
      <c r="AO5" s="1779">
        <v>22</v>
      </c>
      <c r="AP5" s="1779"/>
      <c r="AQ5" s="1779"/>
      <c r="AR5" s="1779"/>
      <c r="AS5" s="1752"/>
      <c r="AT5" s="1752"/>
      <c r="AU5" s="1752"/>
      <c r="AV5" s="284"/>
      <c r="AW5" s="1752"/>
      <c r="AX5" s="1752"/>
      <c r="AY5" s="1756" t="s">
        <v>28</v>
      </c>
      <c r="AZ5" s="1756"/>
      <c r="BA5" s="1756"/>
      <c r="BB5" s="1756"/>
      <c r="BC5" s="1756"/>
      <c r="BD5" s="1756"/>
      <c r="BE5" s="1756"/>
      <c r="BF5" s="1756"/>
      <c r="BG5" s="1756"/>
      <c r="BH5" s="1756"/>
      <c r="BI5" s="1756"/>
      <c r="BJ5" s="1756"/>
      <c r="BK5" s="1756"/>
      <c r="BL5" s="1756"/>
      <c r="BM5" s="1752"/>
      <c r="BN5" s="1752"/>
      <c r="BO5" s="1752"/>
      <c r="BP5" s="1752"/>
      <c r="BQ5" s="1740" t="s">
        <v>455</v>
      </c>
      <c r="BR5" s="1741"/>
      <c r="BS5" s="1741"/>
      <c r="BT5" s="1741"/>
      <c r="BU5" s="1741"/>
      <c r="BV5" s="1741"/>
      <c r="BW5" s="1741"/>
      <c r="BX5" s="1741"/>
      <c r="BY5" s="1741"/>
      <c r="BZ5" s="1741"/>
      <c r="CA5" s="1741"/>
      <c r="CB5" s="1741"/>
      <c r="CC5" s="1741"/>
      <c r="CD5" s="1741"/>
      <c r="CE5" s="1741"/>
      <c r="CF5" s="1741"/>
      <c r="CG5" s="1741"/>
      <c r="CH5" s="1741"/>
      <c r="CI5" s="1741"/>
      <c r="CJ5" s="1741"/>
      <c r="CK5" s="1741"/>
      <c r="CL5" s="1741"/>
      <c r="CM5" s="1741"/>
      <c r="CN5" s="1741"/>
      <c r="CO5" s="1741"/>
      <c r="CP5" s="1741"/>
      <c r="CQ5" s="1741"/>
      <c r="CR5" s="1741"/>
      <c r="CS5" s="1741"/>
      <c r="CT5" s="1741"/>
      <c r="CU5" s="1741"/>
      <c r="CV5" s="1741"/>
      <c r="CW5" s="1741"/>
      <c r="CX5" s="1741"/>
      <c r="CY5" s="1741"/>
      <c r="CZ5" s="1741"/>
      <c r="DA5" s="1741"/>
      <c r="DB5" s="1742"/>
    </row>
    <row r="6" spans="1:106" ht="122.25" customHeight="1">
      <c r="A6" s="1767" t="s">
        <v>0</v>
      </c>
      <c r="B6" s="1769" t="s">
        <v>515</v>
      </c>
      <c r="C6" s="1770"/>
      <c r="D6" s="1770"/>
      <c r="E6" s="1770"/>
      <c r="F6" s="1771"/>
      <c r="G6" s="1772" t="s">
        <v>29</v>
      </c>
      <c r="H6" s="1773"/>
      <c r="I6" s="1774"/>
      <c r="J6" s="1772" t="s">
        <v>30</v>
      </c>
      <c r="K6" s="1774"/>
      <c r="L6" s="1775" t="s">
        <v>1</v>
      </c>
      <c r="M6" s="1776"/>
      <c r="N6" s="1776"/>
      <c r="O6" s="1776"/>
      <c r="P6" s="1776"/>
      <c r="Q6" s="1776"/>
      <c r="R6" s="1776"/>
      <c r="S6" s="1777"/>
      <c r="T6" s="1775" t="s">
        <v>2</v>
      </c>
      <c r="U6" s="1776"/>
      <c r="V6" s="1776"/>
      <c r="W6" s="1776"/>
      <c r="X6" s="1776"/>
      <c r="Y6" s="1776"/>
      <c r="Z6" s="1776"/>
      <c r="AA6" s="1776"/>
      <c r="AB6" s="1777"/>
      <c r="AC6" s="1775" t="s">
        <v>3</v>
      </c>
      <c r="AD6" s="1776"/>
      <c r="AE6" s="1776"/>
      <c r="AF6" s="1776"/>
      <c r="AG6" s="1776"/>
      <c r="AH6" s="1776"/>
      <c r="AI6" s="1776"/>
      <c r="AJ6" s="1777"/>
      <c r="AK6" s="1393" t="s">
        <v>31</v>
      </c>
      <c r="AL6" s="1394"/>
      <c r="AM6" s="1394"/>
      <c r="AN6" s="1394"/>
      <c r="AO6" s="1394"/>
      <c r="AP6" s="1394"/>
      <c r="AQ6" s="1394"/>
      <c r="AR6" s="1394"/>
      <c r="AS6" s="1394"/>
      <c r="AT6" s="1394"/>
      <c r="AU6" s="1778"/>
      <c r="AV6" s="1775" t="s">
        <v>4</v>
      </c>
      <c r="AW6" s="1776"/>
      <c r="AX6" s="1776"/>
      <c r="AY6" s="1776"/>
      <c r="AZ6" s="1776"/>
      <c r="BA6" s="1777"/>
      <c r="BB6" s="1775" t="s">
        <v>5</v>
      </c>
      <c r="BC6" s="1776"/>
      <c r="BD6" s="1776"/>
      <c r="BE6" s="1776"/>
      <c r="BF6" s="1776"/>
      <c r="BG6" s="1776"/>
      <c r="BH6" s="1776"/>
      <c r="BI6" s="1776"/>
      <c r="BJ6" s="1777"/>
      <c r="BK6" s="1775" t="s">
        <v>6</v>
      </c>
      <c r="BL6" s="1776"/>
      <c r="BM6" s="1776"/>
      <c r="BN6" s="1776"/>
      <c r="BO6" s="1776"/>
      <c r="BP6" s="1776"/>
      <c r="BQ6" s="1776"/>
      <c r="BR6" s="1776"/>
      <c r="BS6" s="1777"/>
      <c r="BT6" s="1760" t="s">
        <v>32</v>
      </c>
      <c r="BU6" s="1761"/>
      <c r="BV6" s="1761"/>
      <c r="BW6" s="1761"/>
      <c r="BX6" s="1761"/>
      <c r="BY6" s="1761"/>
      <c r="BZ6" s="1761"/>
      <c r="CA6" s="1761"/>
      <c r="CB6" s="1761"/>
      <c r="CC6" s="1762"/>
      <c r="CD6" s="1757" t="s">
        <v>456</v>
      </c>
      <c r="CE6" s="1758"/>
      <c r="CF6" s="1758"/>
      <c r="CG6" s="1758"/>
      <c r="CH6" s="1758"/>
      <c r="CI6" s="1758"/>
      <c r="CJ6" s="1758"/>
      <c r="CK6" s="1758"/>
      <c r="CL6" s="1758"/>
      <c r="CM6" s="1758"/>
      <c r="CN6" s="1758"/>
      <c r="CO6" s="1759"/>
      <c r="CP6" s="1760" t="s">
        <v>7</v>
      </c>
      <c r="CQ6" s="1761"/>
      <c r="CR6" s="1761"/>
      <c r="CS6" s="1761"/>
      <c r="CT6" s="1761"/>
      <c r="CU6" s="1761"/>
      <c r="CV6" s="1761"/>
      <c r="CW6" s="1762"/>
      <c r="CX6" s="1763" t="s">
        <v>33</v>
      </c>
      <c r="CY6" s="1764"/>
      <c r="CZ6" s="1764"/>
      <c r="DA6" s="1764"/>
      <c r="DB6" s="295" t="s">
        <v>544</v>
      </c>
    </row>
    <row r="7" spans="1:106" ht="46.5">
      <c r="A7" s="1768"/>
      <c r="B7" s="1400"/>
      <c r="C7" s="1401"/>
      <c r="D7" s="1401"/>
      <c r="E7" s="1401"/>
      <c r="F7" s="1402"/>
      <c r="G7" s="1406"/>
      <c r="H7" s="1407"/>
      <c r="I7" s="1408"/>
      <c r="J7" s="1406"/>
      <c r="K7" s="1408"/>
      <c r="L7" s="1409" t="s">
        <v>8</v>
      </c>
      <c r="M7" s="1411"/>
      <c r="N7" s="1409" t="s">
        <v>9</v>
      </c>
      <c r="O7" s="1411"/>
      <c r="P7" s="1409" t="s">
        <v>10</v>
      </c>
      <c r="Q7" s="1411"/>
      <c r="R7" s="1409" t="s">
        <v>11</v>
      </c>
      <c r="S7" s="1411"/>
      <c r="T7" s="1385" t="s">
        <v>8</v>
      </c>
      <c r="U7" s="1387"/>
      <c r="V7" s="1409" t="s">
        <v>9</v>
      </c>
      <c r="W7" s="1410"/>
      <c r="X7" s="1411"/>
      <c r="Y7" s="1409" t="s">
        <v>10</v>
      </c>
      <c r="Z7" s="1411"/>
      <c r="AA7" s="1409" t="s">
        <v>11</v>
      </c>
      <c r="AB7" s="1411"/>
      <c r="AC7" s="1409" t="s">
        <v>8</v>
      </c>
      <c r="AD7" s="1411"/>
      <c r="AE7" s="1409" t="s">
        <v>9</v>
      </c>
      <c r="AF7" s="1411"/>
      <c r="AG7" s="1409" t="s">
        <v>10</v>
      </c>
      <c r="AH7" s="1411"/>
      <c r="AI7" s="1409" t="s">
        <v>11</v>
      </c>
      <c r="AJ7" s="1411"/>
      <c r="AK7" s="1409" t="s">
        <v>8</v>
      </c>
      <c r="AL7" s="1411"/>
      <c r="AM7" s="1409" t="s">
        <v>9</v>
      </c>
      <c r="AN7" s="1411"/>
      <c r="AO7" s="1409" t="s">
        <v>10</v>
      </c>
      <c r="AP7" s="1410"/>
      <c r="AQ7" s="1410"/>
      <c r="AR7" s="1411"/>
      <c r="AS7" s="1409" t="s">
        <v>11</v>
      </c>
      <c r="AT7" s="1410"/>
      <c r="AU7" s="1411"/>
      <c r="AV7" s="142" t="s">
        <v>8</v>
      </c>
      <c r="AW7" s="1409" t="s">
        <v>9</v>
      </c>
      <c r="AX7" s="1411"/>
      <c r="AY7" s="1409" t="s">
        <v>10</v>
      </c>
      <c r="AZ7" s="1411"/>
      <c r="BA7" s="143" t="s">
        <v>11</v>
      </c>
      <c r="BB7" s="1385" t="s">
        <v>8</v>
      </c>
      <c r="BC7" s="1387"/>
      <c r="BD7" s="1409" t="s">
        <v>9</v>
      </c>
      <c r="BE7" s="1411"/>
      <c r="BF7" s="1409" t="s">
        <v>10</v>
      </c>
      <c r="BG7" s="1410"/>
      <c r="BH7" s="1411"/>
      <c r="BI7" s="1409" t="s">
        <v>11</v>
      </c>
      <c r="BJ7" s="1411"/>
      <c r="BK7" s="1385" t="s">
        <v>8</v>
      </c>
      <c r="BL7" s="1387"/>
      <c r="BM7" s="1409" t="s">
        <v>9</v>
      </c>
      <c r="BN7" s="1410"/>
      <c r="BO7" s="1410"/>
      <c r="BP7" s="1411"/>
      <c r="BQ7" s="144" t="s">
        <v>10</v>
      </c>
      <c r="BR7" s="1409" t="s">
        <v>11</v>
      </c>
      <c r="BS7" s="1411"/>
      <c r="BT7" s="1409" t="s">
        <v>8</v>
      </c>
      <c r="BU7" s="1411"/>
      <c r="BV7" s="1409" t="s">
        <v>9</v>
      </c>
      <c r="BW7" s="1410"/>
      <c r="BX7" s="1411"/>
      <c r="BY7" s="1409" t="s">
        <v>10</v>
      </c>
      <c r="BZ7" s="1411"/>
      <c r="CA7" s="1388" t="s">
        <v>11</v>
      </c>
      <c r="CB7" s="1389"/>
      <c r="CC7" s="1390"/>
      <c r="CD7" s="1409" t="s">
        <v>8</v>
      </c>
      <c r="CE7" s="1410"/>
      <c r="CF7" s="1411"/>
      <c r="CG7" s="1409" t="s">
        <v>9</v>
      </c>
      <c r="CH7" s="1410"/>
      <c r="CI7" s="1411"/>
      <c r="CJ7" s="1388" t="s">
        <v>10</v>
      </c>
      <c r="CK7" s="1389"/>
      <c r="CL7" s="1390"/>
      <c r="CM7" s="1780" t="s">
        <v>421</v>
      </c>
      <c r="CN7" s="1781"/>
      <c r="CO7" s="1782"/>
      <c r="CP7" s="1388" t="s">
        <v>9</v>
      </c>
      <c r="CQ7" s="1389"/>
      <c r="CR7" s="1390"/>
      <c r="CS7" s="1409" t="s">
        <v>10</v>
      </c>
      <c r="CT7" s="1410"/>
      <c r="CU7" s="1411"/>
      <c r="CV7" s="1409" t="s">
        <v>11</v>
      </c>
      <c r="CW7" s="1411"/>
      <c r="CX7" s="1765"/>
      <c r="CY7" s="1766"/>
      <c r="CZ7" s="1766"/>
      <c r="DA7" s="1766"/>
      <c r="DB7" s="296"/>
    </row>
    <row r="8" spans="1:106" ht="18.75">
      <c r="A8" s="297">
        <v>1</v>
      </c>
      <c r="B8" s="816" t="s">
        <v>457</v>
      </c>
      <c r="C8" s="817"/>
      <c r="D8" s="817"/>
      <c r="E8" s="817"/>
      <c r="F8" s="818"/>
      <c r="G8" s="816" t="s">
        <v>458</v>
      </c>
      <c r="H8" s="817"/>
      <c r="I8" s="818"/>
      <c r="J8" s="816" t="s">
        <v>459</v>
      </c>
      <c r="K8" s="818"/>
      <c r="L8" s="807">
        <v>4</v>
      </c>
      <c r="M8" s="808"/>
      <c r="N8" s="807">
        <v>146</v>
      </c>
      <c r="O8" s="808"/>
      <c r="P8" s="807">
        <v>129</v>
      </c>
      <c r="Q8" s="808"/>
      <c r="R8" s="807">
        <v>275</v>
      </c>
      <c r="S8" s="808"/>
      <c r="T8" s="805">
        <v>3</v>
      </c>
      <c r="U8" s="806"/>
      <c r="V8" s="807">
        <v>135</v>
      </c>
      <c r="W8" s="814"/>
      <c r="X8" s="808"/>
      <c r="Y8" s="807">
        <v>105</v>
      </c>
      <c r="Z8" s="808"/>
      <c r="AA8" s="807">
        <v>240</v>
      </c>
      <c r="AB8" s="808"/>
      <c r="AC8" s="807">
        <v>3</v>
      </c>
      <c r="AD8" s="808"/>
      <c r="AE8" s="807">
        <v>116</v>
      </c>
      <c r="AF8" s="808"/>
      <c r="AG8" s="807">
        <v>108</v>
      </c>
      <c r="AH8" s="808"/>
      <c r="AI8" s="807">
        <v>224</v>
      </c>
      <c r="AJ8" s="808"/>
      <c r="AK8" s="807">
        <v>10</v>
      </c>
      <c r="AL8" s="808"/>
      <c r="AM8" s="807">
        <v>397</v>
      </c>
      <c r="AN8" s="808"/>
      <c r="AO8" s="807">
        <v>342</v>
      </c>
      <c r="AP8" s="814"/>
      <c r="AQ8" s="814"/>
      <c r="AR8" s="808"/>
      <c r="AS8" s="807">
        <v>739</v>
      </c>
      <c r="AT8" s="814"/>
      <c r="AU8" s="808"/>
      <c r="AV8" s="9">
        <v>0</v>
      </c>
      <c r="AW8" s="807">
        <v>0</v>
      </c>
      <c r="AX8" s="808"/>
      <c r="AY8" s="807">
        <v>0</v>
      </c>
      <c r="AZ8" s="808"/>
      <c r="BA8" s="28">
        <v>0</v>
      </c>
      <c r="BB8" s="805">
        <v>0</v>
      </c>
      <c r="BC8" s="806"/>
      <c r="BD8" s="807">
        <v>0</v>
      </c>
      <c r="BE8" s="808"/>
      <c r="BF8" s="807">
        <v>0</v>
      </c>
      <c r="BG8" s="814"/>
      <c r="BH8" s="808"/>
      <c r="BI8" s="807">
        <v>0</v>
      </c>
      <c r="BJ8" s="808"/>
      <c r="BK8" s="805">
        <v>0</v>
      </c>
      <c r="BL8" s="806"/>
      <c r="BM8" s="807">
        <v>0</v>
      </c>
      <c r="BN8" s="814"/>
      <c r="BO8" s="814"/>
      <c r="BP8" s="808"/>
      <c r="BQ8" s="15">
        <v>0</v>
      </c>
      <c r="BR8" s="807">
        <v>0</v>
      </c>
      <c r="BS8" s="808"/>
      <c r="BT8" s="807">
        <v>0</v>
      </c>
      <c r="BU8" s="808"/>
      <c r="BV8" s="807">
        <v>0</v>
      </c>
      <c r="BW8" s="814"/>
      <c r="BX8" s="808"/>
      <c r="BY8" s="807">
        <v>0</v>
      </c>
      <c r="BZ8" s="808"/>
      <c r="CA8" s="939">
        <v>0</v>
      </c>
      <c r="CB8" s="940"/>
      <c r="CC8" s="941"/>
      <c r="CD8" s="807">
        <v>10</v>
      </c>
      <c r="CE8" s="814"/>
      <c r="CF8" s="808"/>
      <c r="CG8" s="807">
        <v>397</v>
      </c>
      <c r="CH8" s="814"/>
      <c r="CI8" s="808"/>
      <c r="CJ8" s="805">
        <v>342</v>
      </c>
      <c r="CK8" s="815"/>
      <c r="CL8" s="806"/>
      <c r="CM8" s="811">
        <v>739</v>
      </c>
      <c r="CN8" s="812"/>
      <c r="CO8" s="813"/>
      <c r="CP8" s="939">
        <v>9</v>
      </c>
      <c r="CQ8" s="940"/>
      <c r="CR8" s="941"/>
      <c r="CS8" s="807">
        <v>4</v>
      </c>
      <c r="CT8" s="814"/>
      <c r="CU8" s="808"/>
      <c r="CV8" s="807">
        <v>13</v>
      </c>
      <c r="CW8" s="808"/>
      <c r="CX8" s="852" t="s">
        <v>35</v>
      </c>
      <c r="CY8" s="854"/>
      <c r="CZ8" s="854"/>
      <c r="DA8" s="853"/>
      <c r="DB8" s="298">
        <f>IF(CM8&lt;1001,30000 * 3,50000*3)</f>
        <v>90000</v>
      </c>
    </row>
    <row r="9" spans="1:106" ht="18.75">
      <c r="A9" s="297">
        <v>2</v>
      </c>
      <c r="B9" s="816" t="s">
        <v>460</v>
      </c>
      <c r="C9" s="817"/>
      <c r="D9" s="817"/>
      <c r="E9" s="817"/>
      <c r="F9" s="818"/>
      <c r="G9" s="852" t="s">
        <v>455</v>
      </c>
      <c r="H9" s="854"/>
      <c r="I9" s="853"/>
      <c r="J9" s="816" t="s">
        <v>461</v>
      </c>
      <c r="K9" s="818"/>
      <c r="L9" s="807">
        <v>5</v>
      </c>
      <c r="M9" s="808"/>
      <c r="N9" s="807">
        <v>183</v>
      </c>
      <c r="O9" s="808"/>
      <c r="P9" s="807">
        <v>187</v>
      </c>
      <c r="Q9" s="808"/>
      <c r="R9" s="807">
        <v>370</v>
      </c>
      <c r="S9" s="808"/>
      <c r="T9" s="805">
        <v>4</v>
      </c>
      <c r="U9" s="806"/>
      <c r="V9" s="807">
        <v>156</v>
      </c>
      <c r="W9" s="814"/>
      <c r="X9" s="808"/>
      <c r="Y9" s="807">
        <v>133</v>
      </c>
      <c r="Z9" s="808"/>
      <c r="AA9" s="807">
        <v>289</v>
      </c>
      <c r="AB9" s="808"/>
      <c r="AC9" s="807">
        <v>3</v>
      </c>
      <c r="AD9" s="808"/>
      <c r="AE9" s="807">
        <v>110</v>
      </c>
      <c r="AF9" s="808"/>
      <c r="AG9" s="807">
        <v>110</v>
      </c>
      <c r="AH9" s="808"/>
      <c r="AI9" s="807">
        <v>220</v>
      </c>
      <c r="AJ9" s="808"/>
      <c r="AK9" s="807">
        <v>12</v>
      </c>
      <c r="AL9" s="808"/>
      <c r="AM9" s="807">
        <v>449</v>
      </c>
      <c r="AN9" s="808"/>
      <c r="AO9" s="807">
        <v>430</v>
      </c>
      <c r="AP9" s="814"/>
      <c r="AQ9" s="814"/>
      <c r="AR9" s="808"/>
      <c r="AS9" s="807">
        <v>879</v>
      </c>
      <c r="AT9" s="814"/>
      <c r="AU9" s="808"/>
      <c r="AV9" s="9">
        <v>0</v>
      </c>
      <c r="AW9" s="807">
        <v>0</v>
      </c>
      <c r="AX9" s="808"/>
      <c r="AY9" s="807">
        <v>0</v>
      </c>
      <c r="AZ9" s="808"/>
      <c r="BA9" s="28">
        <v>0</v>
      </c>
      <c r="BB9" s="805">
        <v>0</v>
      </c>
      <c r="BC9" s="806"/>
      <c r="BD9" s="807">
        <v>0</v>
      </c>
      <c r="BE9" s="808"/>
      <c r="BF9" s="807">
        <v>0</v>
      </c>
      <c r="BG9" s="814"/>
      <c r="BH9" s="808"/>
      <c r="BI9" s="807">
        <v>0</v>
      </c>
      <c r="BJ9" s="808"/>
      <c r="BK9" s="805">
        <v>0</v>
      </c>
      <c r="BL9" s="806"/>
      <c r="BM9" s="807">
        <v>0</v>
      </c>
      <c r="BN9" s="814"/>
      <c r="BO9" s="814"/>
      <c r="BP9" s="808"/>
      <c r="BQ9" s="15">
        <v>0</v>
      </c>
      <c r="BR9" s="807">
        <v>0</v>
      </c>
      <c r="BS9" s="808"/>
      <c r="BT9" s="807">
        <v>0</v>
      </c>
      <c r="BU9" s="808"/>
      <c r="BV9" s="807">
        <v>0</v>
      </c>
      <c r="BW9" s="814"/>
      <c r="BX9" s="808"/>
      <c r="BY9" s="807">
        <v>0</v>
      </c>
      <c r="BZ9" s="808"/>
      <c r="CA9" s="939">
        <v>0</v>
      </c>
      <c r="CB9" s="940"/>
      <c r="CC9" s="941"/>
      <c r="CD9" s="807">
        <v>12</v>
      </c>
      <c r="CE9" s="814"/>
      <c r="CF9" s="808"/>
      <c r="CG9" s="807">
        <v>449</v>
      </c>
      <c r="CH9" s="814"/>
      <c r="CI9" s="808"/>
      <c r="CJ9" s="805">
        <v>430</v>
      </c>
      <c r="CK9" s="815"/>
      <c r="CL9" s="806"/>
      <c r="CM9" s="811">
        <v>879</v>
      </c>
      <c r="CN9" s="812"/>
      <c r="CO9" s="813"/>
      <c r="CP9" s="805">
        <v>10</v>
      </c>
      <c r="CQ9" s="815"/>
      <c r="CR9" s="806"/>
      <c r="CS9" s="807">
        <v>5</v>
      </c>
      <c r="CT9" s="814"/>
      <c r="CU9" s="808"/>
      <c r="CV9" s="807">
        <v>15</v>
      </c>
      <c r="CW9" s="808"/>
      <c r="CX9" s="852" t="s">
        <v>35</v>
      </c>
      <c r="CY9" s="854"/>
      <c r="CZ9" s="854"/>
      <c r="DA9" s="853"/>
      <c r="DB9" s="298">
        <f t="shared" ref="DB9:DB29" si="0">IF(CM9&lt;1001,30000 * 3,50000*3)</f>
        <v>90000</v>
      </c>
    </row>
    <row r="10" spans="1:106" ht="18.75">
      <c r="A10" s="297">
        <v>3</v>
      </c>
      <c r="B10" s="816" t="s">
        <v>462</v>
      </c>
      <c r="C10" s="817"/>
      <c r="D10" s="817"/>
      <c r="E10" s="817"/>
      <c r="F10" s="818"/>
      <c r="G10" s="816" t="s">
        <v>463</v>
      </c>
      <c r="H10" s="817"/>
      <c r="I10" s="818"/>
      <c r="J10" s="816" t="s">
        <v>464</v>
      </c>
      <c r="K10" s="818"/>
      <c r="L10" s="807">
        <v>7</v>
      </c>
      <c r="M10" s="808"/>
      <c r="N10" s="807">
        <v>309</v>
      </c>
      <c r="O10" s="808"/>
      <c r="P10" s="807">
        <v>291</v>
      </c>
      <c r="Q10" s="808"/>
      <c r="R10" s="807">
        <v>600</v>
      </c>
      <c r="S10" s="808"/>
      <c r="T10" s="805">
        <v>7</v>
      </c>
      <c r="U10" s="806"/>
      <c r="V10" s="807">
        <v>239</v>
      </c>
      <c r="W10" s="814"/>
      <c r="X10" s="808"/>
      <c r="Y10" s="807">
        <v>227</v>
      </c>
      <c r="Z10" s="808"/>
      <c r="AA10" s="807">
        <v>466</v>
      </c>
      <c r="AB10" s="808"/>
      <c r="AC10" s="807">
        <v>7</v>
      </c>
      <c r="AD10" s="808"/>
      <c r="AE10" s="807">
        <v>239</v>
      </c>
      <c r="AF10" s="808"/>
      <c r="AG10" s="807">
        <v>194</v>
      </c>
      <c r="AH10" s="808"/>
      <c r="AI10" s="807">
        <v>433</v>
      </c>
      <c r="AJ10" s="808"/>
      <c r="AK10" s="807">
        <v>21</v>
      </c>
      <c r="AL10" s="808"/>
      <c r="AM10" s="807">
        <v>787</v>
      </c>
      <c r="AN10" s="808"/>
      <c r="AO10" s="807">
        <v>712</v>
      </c>
      <c r="AP10" s="814"/>
      <c r="AQ10" s="814"/>
      <c r="AR10" s="808"/>
      <c r="AS10" s="807">
        <v>1499</v>
      </c>
      <c r="AT10" s="814"/>
      <c r="AU10" s="808"/>
      <c r="AV10" s="9">
        <v>0</v>
      </c>
      <c r="AW10" s="807">
        <v>0</v>
      </c>
      <c r="AX10" s="808"/>
      <c r="AY10" s="807">
        <v>0</v>
      </c>
      <c r="AZ10" s="808"/>
      <c r="BA10" s="28">
        <v>0</v>
      </c>
      <c r="BB10" s="805">
        <v>0</v>
      </c>
      <c r="BC10" s="806"/>
      <c r="BD10" s="807">
        <v>0</v>
      </c>
      <c r="BE10" s="808"/>
      <c r="BF10" s="807">
        <v>0</v>
      </c>
      <c r="BG10" s="814"/>
      <c r="BH10" s="808"/>
      <c r="BI10" s="807">
        <v>0</v>
      </c>
      <c r="BJ10" s="808"/>
      <c r="BK10" s="805">
        <v>0</v>
      </c>
      <c r="BL10" s="806"/>
      <c r="BM10" s="807">
        <v>0</v>
      </c>
      <c r="BN10" s="814"/>
      <c r="BO10" s="814"/>
      <c r="BP10" s="808"/>
      <c r="BQ10" s="15">
        <v>0</v>
      </c>
      <c r="BR10" s="807">
        <v>0</v>
      </c>
      <c r="BS10" s="808"/>
      <c r="BT10" s="807">
        <v>0</v>
      </c>
      <c r="BU10" s="808"/>
      <c r="BV10" s="807">
        <v>0</v>
      </c>
      <c r="BW10" s="814"/>
      <c r="BX10" s="808"/>
      <c r="BY10" s="807">
        <v>0</v>
      </c>
      <c r="BZ10" s="808"/>
      <c r="CA10" s="939">
        <v>0</v>
      </c>
      <c r="CB10" s="940"/>
      <c r="CC10" s="941"/>
      <c r="CD10" s="807">
        <v>21</v>
      </c>
      <c r="CE10" s="814"/>
      <c r="CF10" s="808"/>
      <c r="CG10" s="807">
        <v>787</v>
      </c>
      <c r="CH10" s="814"/>
      <c r="CI10" s="808"/>
      <c r="CJ10" s="805">
        <v>712</v>
      </c>
      <c r="CK10" s="815"/>
      <c r="CL10" s="806"/>
      <c r="CM10" s="811">
        <v>1499</v>
      </c>
      <c r="CN10" s="812"/>
      <c r="CO10" s="813"/>
      <c r="CP10" s="939">
        <v>9</v>
      </c>
      <c r="CQ10" s="940"/>
      <c r="CR10" s="941"/>
      <c r="CS10" s="807">
        <v>7</v>
      </c>
      <c r="CT10" s="814"/>
      <c r="CU10" s="808"/>
      <c r="CV10" s="807">
        <v>16</v>
      </c>
      <c r="CW10" s="808"/>
      <c r="CX10" s="852" t="s">
        <v>35</v>
      </c>
      <c r="CY10" s="854"/>
      <c r="CZ10" s="854"/>
      <c r="DA10" s="853"/>
      <c r="DB10" s="298">
        <f t="shared" si="0"/>
        <v>150000</v>
      </c>
    </row>
    <row r="11" spans="1:106" ht="18.75">
      <c r="A11" s="297">
        <v>4</v>
      </c>
      <c r="B11" s="857" t="s">
        <v>465</v>
      </c>
      <c r="C11" s="904"/>
      <c r="D11" s="904"/>
      <c r="E11" s="904"/>
      <c r="F11" s="858"/>
      <c r="G11" s="1783" t="s">
        <v>466</v>
      </c>
      <c r="H11" s="1784"/>
      <c r="I11" s="1785"/>
      <c r="J11" s="1783" t="s">
        <v>467</v>
      </c>
      <c r="K11" s="1785"/>
      <c r="L11" s="807">
        <v>2</v>
      </c>
      <c r="M11" s="808"/>
      <c r="N11" s="807">
        <v>62</v>
      </c>
      <c r="O11" s="808"/>
      <c r="P11" s="807">
        <v>56</v>
      </c>
      <c r="Q11" s="808"/>
      <c r="R11" s="807">
        <v>118</v>
      </c>
      <c r="S11" s="808"/>
      <c r="T11" s="805">
        <v>1</v>
      </c>
      <c r="U11" s="806"/>
      <c r="V11" s="807">
        <v>68</v>
      </c>
      <c r="W11" s="814"/>
      <c r="X11" s="808"/>
      <c r="Y11" s="807">
        <v>48</v>
      </c>
      <c r="Z11" s="808"/>
      <c r="AA11" s="807">
        <v>116</v>
      </c>
      <c r="AB11" s="808"/>
      <c r="AC11" s="807">
        <v>1</v>
      </c>
      <c r="AD11" s="808"/>
      <c r="AE11" s="807">
        <v>56</v>
      </c>
      <c r="AF11" s="808"/>
      <c r="AG11" s="807">
        <v>37</v>
      </c>
      <c r="AH11" s="808"/>
      <c r="AI11" s="807">
        <v>93</v>
      </c>
      <c r="AJ11" s="808"/>
      <c r="AK11" s="807">
        <v>4</v>
      </c>
      <c r="AL11" s="808"/>
      <c r="AM11" s="807">
        <v>186</v>
      </c>
      <c r="AN11" s="808"/>
      <c r="AO11" s="807">
        <v>141</v>
      </c>
      <c r="AP11" s="814"/>
      <c r="AQ11" s="814"/>
      <c r="AR11" s="808"/>
      <c r="AS11" s="807">
        <v>327</v>
      </c>
      <c r="AT11" s="814"/>
      <c r="AU11" s="808"/>
      <c r="AV11" s="9">
        <v>0</v>
      </c>
      <c r="AW11" s="807">
        <v>0</v>
      </c>
      <c r="AX11" s="808"/>
      <c r="AY11" s="807">
        <v>0</v>
      </c>
      <c r="AZ11" s="808"/>
      <c r="BA11" s="28">
        <v>0</v>
      </c>
      <c r="BB11" s="805">
        <v>0</v>
      </c>
      <c r="BC11" s="806"/>
      <c r="BD11" s="807">
        <v>0</v>
      </c>
      <c r="BE11" s="808"/>
      <c r="BF11" s="807">
        <v>0</v>
      </c>
      <c r="BG11" s="814"/>
      <c r="BH11" s="808"/>
      <c r="BI11" s="807">
        <v>0</v>
      </c>
      <c r="BJ11" s="808"/>
      <c r="BK11" s="805">
        <v>0</v>
      </c>
      <c r="BL11" s="806"/>
      <c r="BM11" s="807">
        <v>0</v>
      </c>
      <c r="BN11" s="814"/>
      <c r="BO11" s="814"/>
      <c r="BP11" s="808"/>
      <c r="BQ11" s="15">
        <v>0</v>
      </c>
      <c r="BR11" s="807">
        <v>0</v>
      </c>
      <c r="BS11" s="808"/>
      <c r="BT11" s="807">
        <v>0</v>
      </c>
      <c r="BU11" s="808"/>
      <c r="BV11" s="807">
        <v>0</v>
      </c>
      <c r="BW11" s="814"/>
      <c r="BX11" s="808"/>
      <c r="BY11" s="807">
        <v>0</v>
      </c>
      <c r="BZ11" s="808"/>
      <c r="CA11" s="939">
        <v>0</v>
      </c>
      <c r="CB11" s="940"/>
      <c r="CC11" s="941"/>
      <c r="CD11" s="807">
        <v>4</v>
      </c>
      <c r="CE11" s="814"/>
      <c r="CF11" s="808"/>
      <c r="CG11" s="807">
        <v>186</v>
      </c>
      <c r="CH11" s="814"/>
      <c r="CI11" s="808"/>
      <c r="CJ11" s="805">
        <v>141</v>
      </c>
      <c r="CK11" s="815"/>
      <c r="CL11" s="806"/>
      <c r="CM11" s="811">
        <v>327</v>
      </c>
      <c r="CN11" s="812"/>
      <c r="CO11" s="813"/>
      <c r="CP11" s="939">
        <v>6</v>
      </c>
      <c r="CQ11" s="940"/>
      <c r="CR11" s="941"/>
      <c r="CS11" s="807">
        <v>1</v>
      </c>
      <c r="CT11" s="814"/>
      <c r="CU11" s="808"/>
      <c r="CV11" s="807">
        <v>7</v>
      </c>
      <c r="CW11" s="808"/>
      <c r="CX11" s="852" t="s">
        <v>35</v>
      </c>
      <c r="CY11" s="854"/>
      <c r="CZ11" s="854"/>
      <c r="DA11" s="853"/>
      <c r="DB11" s="298">
        <f t="shared" si="0"/>
        <v>90000</v>
      </c>
    </row>
    <row r="12" spans="1:106" ht="18.75">
      <c r="A12" s="297">
        <v>5</v>
      </c>
      <c r="B12" s="857" t="s">
        <v>468</v>
      </c>
      <c r="C12" s="904"/>
      <c r="D12" s="904"/>
      <c r="E12" s="904"/>
      <c r="F12" s="858"/>
      <c r="G12" s="816" t="s">
        <v>463</v>
      </c>
      <c r="H12" s="817"/>
      <c r="I12" s="818"/>
      <c r="J12" s="816" t="s">
        <v>469</v>
      </c>
      <c r="K12" s="818"/>
      <c r="L12" s="807">
        <v>6</v>
      </c>
      <c r="M12" s="808"/>
      <c r="N12" s="807">
        <v>256</v>
      </c>
      <c r="O12" s="808"/>
      <c r="P12" s="807">
        <v>188</v>
      </c>
      <c r="Q12" s="808"/>
      <c r="R12" s="807">
        <v>444</v>
      </c>
      <c r="S12" s="808"/>
      <c r="T12" s="805">
        <v>6</v>
      </c>
      <c r="U12" s="806"/>
      <c r="V12" s="807">
        <v>247</v>
      </c>
      <c r="W12" s="814"/>
      <c r="X12" s="808"/>
      <c r="Y12" s="807">
        <v>198</v>
      </c>
      <c r="Z12" s="808"/>
      <c r="AA12" s="807">
        <v>445</v>
      </c>
      <c r="AB12" s="808"/>
      <c r="AC12" s="807">
        <v>5</v>
      </c>
      <c r="AD12" s="808"/>
      <c r="AE12" s="807">
        <v>250</v>
      </c>
      <c r="AF12" s="808"/>
      <c r="AG12" s="807">
        <v>138</v>
      </c>
      <c r="AH12" s="808"/>
      <c r="AI12" s="807">
        <v>388</v>
      </c>
      <c r="AJ12" s="808"/>
      <c r="AK12" s="807">
        <v>17</v>
      </c>
      <c r="AL12" s="808"/>
      <c r="AM12" s="807">
        <v>753</v>
      </c>
      <c r="AN12" s="808"/>
      <c r="AO12" s="807">
        <v>524</v>
      </c>
      <c r="AP12" s="814"/>
      <c r="AQ12" s="814"/>
      <c r="AR12" s="808"/>
      <c r="AS12" s="807">
        <v>1277</v>
      </c>
      <c r="AT12" s="814"/>
      <c r="AU12" s="808"/>
      <c r="AV12" s="9">
        <v>0</v>
      </c>
      <c r="AW12" s="807">
        <v>0</v>
      </c>
      <c r="AX12" s="808"/>
      <c r="AY12" s="807">
        <v>0</v>
      </c>
      <c r="AZ12" s="808"/>
      <c r="BA12" s="28">
        <v>0</v>
      </c>
      <c r="BB12" s="805">
        <v>0</v>
      </c>
      <c r="BC12" s="806"/>
      <c r="BD12" s="807">
        <v>0</v>
      </c>
      <c r="BE12" s="808"/>
      <c r="BF12" s="807">
        <v>0</v>
      </c>
      <c r="BG12" s="814"/>
      <c r="BH12" s="808"/>
      <c r="BI12" s="807">
        <v>0</v>
      </c>
      <c r="BJ12" s="808"/>
      <c r="BK12" s="805">
        <v>0</v>
      </c>
      <c r="BL12" s="806"/>
      <c r="BM12" s="807">
        <v>0</v>
      </c>
      <c r="BN12" s="814"/>
      <c r="BO12" s="814"/>
      <c r="BP12" s="808"/>
      <c r="BQ12" s="15">
        <v>0</v>
      </c>
      <c r="BR12" s="807">
        <v>0</v>
      </c>
      <c r="BS12" s="808"/>
      <c r="BT12" s="807">
        <v>0</v>
      </c>
      <c r="BU12" s="808"/>
      <c r="BV12" s="807">
        <v>0</v>
      </c>
      <c r="BW12" s="814"/>
      <c r="BX12" s="808"/>
      <c r="BY12" s="807">
        <v>0</v>
      </c>
      <c r="BZ12" s="808"/>
      <c r="CA12" s="939">
        <v>0</v>
      </c>
      <c r="CB12" s="940"/>
      <c r="CC12" s="941"/>
      <c r="CD12" s="807">
        <v>17</v>
      </c>
      <c r="CE12" s="814"/>
      <c r="CF12" s="808"/>
      <c r="CG12" s="807">
        <v>753</v>
      </c>
      <c r="CH12" s="814"/>
      <c r="CI12" s="808"/>
      <c r="CJ12" s="805">
        <v>524</v>
      </c>
      <c r="CK12" s="815"/>
      <c r="CL12" s="806"/>
      <c r="CM12" s="811">
        <v>1277</v>
      </c>
      <c r="CN12" s="812"/>
      <c r="CO12" s="813"/>
      <c r="CP12" s="939">
        <v>9</v>
      </c>
      <c r="CQ12" s="940"/>
      <c r="CR12" s="941"/>
      <c r="CS12" s="807">
        <v>3</v>
      </c>
      <c r="CT12" s="814"/>
      <c r="CU12" s="808"/>
      <c r="CV12" s="807">
        <v>12</v>
      </c>
      <c r="CW12" s="808"/>
      <c r="CX12" s="852" t="s">
        <v>35</v>
      </c>
      <c r="CY12" s="854"/>
      <c r="CZ12" s="854"/>
      <c r="DA12" s="853"/>
      <c r="DB12" s="298">
        <f t="shared" si="0"/>
        <v>150000</v>
      </c>
    </row>
    <row r="13" spans="1:106" ht="18.75">
      <c r="A13" s="297">
        <v>6</v>
      </c>
      <c r="B13" s="816" t="s">
        <v>470</v>
      </c>
      <c r="C13" s="817"/>
      <c r="D13" s="817"/>
      <c r="E13" s="817"/>
      <c r="F13" s="818"/>
      <c r="G13" s="816" t="s">
        <v>471</v>
      </c>
      <c r="H13" s="817"/>
      <c r="I13" s="818"/>
      <c r="J13" s="816" t="s">
        <v>472</v>
      </c>
      <c r="K13" s="818"/>
      <c r="L13" s="807">
        <v>5</v>
      </c>
      <c r="M13" s="808"/>
      <c r="N13" s="807">
        <v>256</v>
      </c>
      <c r="O13" s="808"/>
      <c r="P13" s="807">
        <v>239</v>
      </c>
      <c r="Q13" s="808"/>
      <c r="R13" s="807">
        <v>495</v>
      </c>
      <c r="S13" s="808"/>
      <c r="T13" s="805">
        <v>6</v>
      </c>
      <c r="U13" s="806"/>
      <c r="V13" s="807">
        <v>292</v>
      </c>
      <c r="W13" s="814"/>
      <c r="X13" s="808"/>
      <c r="Y13" s="807">
        <v>258</v>
      </c>
      <c r="Z13" s="808"/>
      <c r="AA13" s="807">
        <v>550</v>
      </c>
      <c r="AB13" s="808"/>
      <c r="AC13" s="807">
        <v>5</v>
      </c>
      <c r="AD13" s="808"/>
      <c r="AE13" s="807">
        <v>209</v>
      </c>
      <c r="AF13" s="808"/>
      <c r="AG13" s="807">
        <v>228</v>
      </c>
      <c r="AH13" s="808"/>
      <c r="AI13" s="807">
        <v>437</v>
      </c>
      <c r="AJ13" s="808"/>
      <c r="AK13" s="807">
        <v>16</v>
      </c>
      <c r="AL13" s="808"/>
      <c r="AM13" s="807">
        <v>757</v>
      </c>
      <c r="AN13" s="808"/>
      <c r="AO13" s="807">
        <v>725</v>
      </c>
      <c r="AP13" s="814"/>
      <c r="AQ13" s="814"/>
      <c r="AR13" s="808"/>
      <c r="AS13" s="807">
        <v>1482</v>
      </c>
      <c r="AT13" s="814"/>
      <c r="AU13" s="808"/>
      <c r="AV13" s="9">
        <v>0</v>
      </c>
      <c r="AW13" s="807">
        <v>0</v>
      </c>
      <c r="AX13" s="808"/>
      <c r="AY13" s="807">
        <v>0</v>
      </c>
      <c r="AZ13" s="808"/>
      <c r="BA13" s="28">
        <v>0</v>
      </c>
      <c r="BB13" s="805">
        <v>0</v>
      </c>
      <c r="BC13" s="806"/>
      <c r="BD13" s="807">
        <v>0</v>
      </c>
      <c r="BE13" s="808"/>
      <c r="BF13" s="807">
        <v>0</v>
      </c>
      <c r="BG13" s="814"/>
      <c r="BH13" s="808"/>
      <c r="BI13" s="807">
        <v>0</v>
      </c>
      <c r="BJ13" s="808"/>
      <c r="BK13" s="805">
        <v>0</v>
      </c>
      <c r="BL13" s="806"/>
      <c r="BM13" s="807">
        <v>0</v>
      </c>
      <c r="BN13" s="814"/>
      <c r="BO13" s="814"/>
      <c r="BP13" s="808"/>
      <c r="BQ13" s="15">
        <v>0</v>
      </c>
      <c r="BR13" s="807">
        <v>0</v>
      </c>
      <c r="BS13" s="808"/>
      <c r="BT13" s="807">
        <v>0</v>
      </c>
      <c r="BU13" s="808"/>
      <c r="BV13" s="807">
        <v>0</v>
      </c>
      <c r="BW13" s="814"/>
      <c r="BX13" s="808"/>
      <c r="BY13" s="807">
        <v>0</v>
      </c>
      <c r="BZ13" s="808"/>
      <c r="CA13" s="939">
        <v>0</v>
      </c>
      <c r="CB13" s="940"/>
      <c r="CC13" s="941"/>
      <c r="CD13" s="807">
        <v>16</v>
      </c>
      <c r="CE13" s="814"/>
      <c r="CF13" s="808"/>
      <c r="CG13" s="807">
        <v>757</v>
      </c>
      <c r="CH13" s="814"/>
      <c r="CI13" s="808"/>
      <c r="CJ13" s="805">
        <v>725</v>
      </c>
      <c r="CK13" s="815"/>
      <c r="CL13" s="806"/>
      <c r="CM13" s="811">
        <v>1482</v>
      </c>
      <c r="CN13" s="812"/>
      <c r="CO13" s="813"/>
      <c r="CP13" s="939">
        <v>5</v>
      </c>
      <c r="CQ13" s="940"/>
      <c r="CR13" s="941"/>
      <c r="CS13" s="807">
        <v>11</v>
      </c>
      <c r="CT13" s="814"/>
      <c r="CU13" s="808"/>
      <c r="CV13" s="807">
        <v>16</v>
      </c>
      <c r="CW13" s="808"/>
      <c r="CX13" s="852" t="s">
        <v>35</v>
      </c>
      <c r="CY13" s="854"/>
      <c r="CZ13" s="854"/>
      <c r="DA13" s="853"/>
      <c r="DB13" s="298">
        <f t="shared" si="0"/>
        <v>150000</v>
      </c>
    </row>
    <row r="14" spans="1:106" ht="18.75">
      <c r="A14" s="297">
        <v>7</v>
      </c>
      <c r="B14" s="816" t="s">
        <v>473</v>
      </c>
      <c r="C14" s="817"/>
      <c r="D14" s="817"/>
      <c r="E14" s="817"/>
      <c r="F14" s="818"/>
      <c r="G14" s="816" t="s">
        <v>471</v>
      </c>
      <c r="H14" s="817"/>
      <c r="I14" s="818"/>
      <c r="J14" s="816" t="s">
        <v>474</v>
      </c>
      <c r="K14" s="818"/>
      <c r="L14" s="807">
        <v>3</v>
      </c>
      <c r="M14" s="808"/>
      <c r="N14" s="807">
        <v>80</v>
      </c>
      <c r="O14" s="808"/>
      <c r="P14" s="807">
        <v>83</v>
      </c>
      <c r="Q14" s="808"/>
      <c r="R14" s="807">
        <v>163</v>
      </c>
      <c r="S14" s="808"/>
      <c r="T14" s="805">
        <v>3</v>
      </c>
      <c r="U14" s="806"/>
      <c r="V14" s="807">
        <v>118</v>
      </c>
      <c r="W14" s="814"/>
      <c r="X14" s="808"/>
      <c r="Y14" s="807">
        <v>105</v>
      </c>
      <c r="Z14" s="808"/>
      <c r="AA14" s="807">
        <v>223</v>
      </c>
      <c r="AB14" s="808"/>
      <c r="AC14" s="807">
        <v>3</v>
      </c>
      <c r="AD14" s="808"/>
      <c r="AE14" s="807">
        <v>76</v>
      </c>
      <c r="AF14" s="808"/>
      <c r="AG14" s="807">
        <v>83</v>
      </c>
      <c r="AH14" s="808"/>
      <c r="AI14" s="807">
        <v>159</v>
      </c>
      <c r="AJ14" s="808"/>
      <c r="AK14" s="807">
        <v>9</v>
      </c>
      <c r="AL14" s="808"/>
      <c r="AM14" s="807">
        <v>274</v>
      </c>
      <c r="AN14" s="808"/>
      <c r="AO14" s="807">
        <v>271</v>
      </c>
      <c r="AP14" s="814"/>
      <c r="AQ14" s="814"/>
      <c r="AR14" s="808"/>
      <c r="AS14" s="807">
        <v>545</v>
      </c>
      <c r="AT14" s="814"/>
      <c r="AU14" s="808"/>
      <c r="AV14" s="9">
        <v>0</v>
      </c>
      <c r="AW14" s="807">
        <v>0</v>
      </c>
      <c r="AX14" s="808"/>
      <c r="AY14" s="807">
        <v>0</v>
      </c>
      <c r="AZ14" s="808"/>
      <c r="BA14" s="28">
        <v>0</v>
      </c>
      <c r="BB14" s="805">
        <v>0</v>
      </c>
      <c r="BC14" s="806"/>
      <c r="BD14" s="807">
        <v>0</v>
      </c>
      <c r="BE14" s="808"/>
      <c r="BF14" s="807">
        <v>0</v>
      </c>
      <c r="BG14" s="814"/>
      <c r="BH14" s="808"/>
      <c r="BI14" s="807">
        <v>0</v>
      </c>
      <c r="BJ14" s="808"/>
      <c r="BK14" s="805">
        <v>0</v>
      </c>
      <c r="BL14" s="806"/>
      <c r="BM14" s="807">
        <v>0</v>
      </c>
      <c r="BN14" s="814"/>
      <c r="BO14" s="814"/>
      <c r="BP14" s="808"/>
      <c r="BQ14" s="15">
        <v>0</v>
      </c>
      <c r="BR14" s="807">
        <v>0</v>
      </c>
      <c r="BS14" s="808"/>
      <c r="BT14" s="807">
        <v>0</v>
      </c>
      <c r="BU14" s="808"/>
      <c r="BV14" s="807">
        <v>0</v>
      </c>
      <c r="BW14" s="814"/>
      <c r="BX14" s="808"/>
      <c r="BY14" s="807">
        <v>0</v>
      </c>
      <c r="BZ14" s="808"/>
      <c r="CA14" s="939">
        <v>0</v>
      </c>
      <c r="CB14" s="940"/>
      <c r="CC14" s="941"/>
      <c r="CD14" s="807">
        <v>9</v>
      </c>
      <c r="CE14" s="814"/>
      <c r="CF14" s="808"/>
      <c r="CG14" s="807">
        <v>274</v>
      </c>
      <c r="CH14" s="814"/>
      <c r="CI14" s="808"/>
      <c r="CJ14" s="805">
        <v>271</v>
      </c>
      <c r="CK14" s="815"/>
      <c r="CL14" s="806"/>
      <c r="CM14" s="811">
        <v>545</v>
      </c>
      <c r="CN14" s="812"/>
      <c r="CO14" s="813"/>
      <c r="CP14" s="939">
        <v>4</v>
      </c>
      <c r="CQ14" s="940"/>
      <c r="CR14" s="941"/>
      <c r="CS14" s="807">
        <v>5</v>
      </c>
      <c r="CT14" s="814"/>
      <c r="CU14" s="808"/>
      <c r="CV14" s="807">
        <v>9</v>
      </c>
      <c r="CW14" s="808"/>
      <c r="CX14" s="852" t="s">
        <v>35</v>
      </c>
      <c r="CY14" s="854"/>
      <c r="CZ14" s="854"/>
      <c r="DA14" s="853"/>
      <c r="DB14" s="298">
        <f t="shared" si="0"/>
        <v>90000</v>
      </c>
    </row>
    <row r="15" spans="1:106" ht="18.75">
      <c r="A15" s="297">
        <v>8</v>
      </c>
      <c r="B15" s="857" t="s">
        <v>475</v>
      </c>
      <c r="C15" s="904"/>
      <c r="D15" s="904"/>
      <c r="E15" s="904"/>
      <c r="F15" s="858"/>
      <c r="G15" s="816" t="s">
        <v>463</v>
      </c>
      <c r="H15" s="817"/>
      <c r="I15" s="818"/>
      <c r="J15" s="816" t="s">
        <v>476</v>
      </c>
      <c r="K15" s="818"/>
      <c r="L15" s="827">
        <v>3</v>
      </c>
      <c r="M15" s="829"/>
      <c r="N15" s="827">
        <v>119</v>
      </c>
      <c r="O15" s="829"/>
      <c r="P15" s="827">
        <v>93</v>
      </c>
      <c r="Q15" s="829"/>
      <c r="R15" s="807">
        <v>212</v>
      </c>
      <c r="S15" s="808"/>
      <c r="T15" s="825">
        <v>3</v>
      </c>
      <c r="U15" s="826"/>
      <c r="V15" s="827">
        <v>137</v>
      </c>
      <c r="W15" s="828"/>
      <c r="X15" s="829"/>
      <c r="Y15" s="827">
        <v>103</v>
      </c>
      <c r="Z15" s="829"/>
      <c r="AA15" s="807">
        <v>240</v>
      </c>
      <c r="AB15" s="808"/>
      <c r="AC15" s="827">
        <v>3</v>
      </c>
      <c r="AD15" s="829"/>
      <c r="AE15" s="827">
        <v>111</v>
      </c>
      <c r="AF15" s="829"/>
      <c r="AG15" s="827">
        <v>99</v>
      </c>
      <c r="AH15" s="829"/>
      <c r="AI15" s="807">
        <v>210</v>
      </c>
      <c r="AJ15" s="808"/>
      <c r="AK15" s="807">
        <v>9</v>
      </c>
      <c r="AL15" s="808"/>
      <c r="AM15" s="807">
        <v>367</v>
      </c>
      <c r="AN15" s="808"/>
      <c r="AO15" s="807">
        <v>295</v>
      </c>
      <c r="AP15" s="814"/>
      <c r="AQ15" s="814"/>
      <c r="AR15" s="808"/>
      <c r="AS15" s="807">
        <v>662</v>
      </c>
      <c r="AT15" s="814"/>
      <c r="AU15" s="808"/>
      <c r="AV15" s="16">
        <v>0</v>
      </c>
      <c r="AW15" s="827">
        <v>0</v>
      </c>
      <c r="AX15" s="829"/>
      <c r="AY15" s="827">
        <v>0</v>
      </c>
      <c r="AZ15" s="829"/>
      <c r="BA15" s="28">
        <v>0</v>
      </c>
      <c r="BB15" s="825">
        <v>0</v>
      </c>
      <c r="BC15" s="826"/>
      <c r="BD15" s="827">
        <v>0</v>
      </c>
      <c r="BE15" s="829"/>
      <c r="BF15" s="827">
        <v>0</v>
      </c>
      <c r="BG15" s="828"/>
      <c r="BH15" s="829"/>
      <c r="BI15" s="807">
        <v>0</v>
      </c>
      <c r="BJ15" s="808"/>
      <c r="BK15" s="825">
        <v>0</v>
      </c>
      <c r="BL15" s="826"/>
      <c r="BM15" s="827">
        <v>0</v>
      </c>
      <c r="BN15" s="828"/>
      <c r="BO15" s="828"/>
      <c r="BP15" s="829"/>
      <c r="BQ15" s="17">
        <v>0</v>
      </c>
      <c r="BR15" s="807">
        <v>0</v>
      </c>
      <c r="BS15" s="808"/>
      <c r="BT15" s="807">
        <v>0</v>
      </c>
      <c r="BU15" s="808"/>
      <c r="BV15" s="807">
        <v>0</v>
      </c>
      <c r="BW15" s="814"/>
      <c r="BX15" s="808"/>
      <c r="BY15" s="807">
        <v>0</v>
      </c>
      <c r="BZ15" s="808"/>
      <c r="CA15" s="939">
        <v>0</v>
      </c>
      <c r="CB15" s="940"/>
      <c r="CC15" s="941"/>
      <c r="CD15" s="807">
        <v>9</v>
      </c>
      <c r="CE15" s="814"/>
      <c r="CF15" s="808"/>
      <c r="CG15" s="807">
        <v>367</v>
      </c>
      <c r="CH15" s="814"/>
      <c r="CI15" s="808"/>
      <c r="CJ15" s="805">
        <v>295</v>
      </c>
      <c r="CK15" s="815"/>
      <c r="CL15" s="806"/>
      <c r="CM15" s="811">
        <v>662</v>
      </c>
      <c r="CN15" s="812"/>
      <c r="CO15" s="813"/>
      <c r="CP15" s="805">
        <v>11</v>
      </c>
      <c r="CQ15" s="815"/>
      <c r="CR15" s="806"/>
      <c r="CS15" s="807">
        <v>1</v>
      </c>
      <c r="CT15" s="814"/>
      <c r="CU15" s="808"/>
      <c r="CV15" s="807">
        <v>12</v>
      </c>
      <c r="CW15" s="808"/>
      <c r="CX15" s="852" t="s">
        <v>35</v>
      </c>
      <c r="CY15" s="854"/>
      <c r="CZ15" s="854"/>
      <c r="DA15" s="853"/>
      <c r="DB15" s="298">
        <f t="shared" si="0"/>
        <v>90000</v>
      </c>
    </row>
    <row r="16" spans="1:106" ht="18.75">
      <c r="A16" s="297">
        <v>9</v>
      </c>
      <c r="B16" s="816" t="s">
        <v>477</v>
      </c>
      <c r="C16" s="817"/>
      <c r="D16" s="817"/>
      <c r="E16" s="817"/>
      <c r="F16" s="818"/>
      <c r="G16" s="1080" t="s">
        <v>478</v>
      </c>
      <c r="H16" s="1096"/>
      <c r="I16" s="1081"/>
      <c r="J16" s="816" t="s">
        <v>479</v>
      </c>
      <c r="K16" s="818"/>
      <c r="L16" s="807">
        <v>6</v>
      </c>
      <c r="M16" s="808"/>
      <c r="N16" s="807">
        <v>144</v>
      </c>
      <c r="O16" s="808"/>
      <c r="P16" s="807">
        <v>188</v>
      </c>
      <c r="Q16" s="808"/>
      <c r="R16" s="807">
        <v>332</v>
      </c>
      <c r="S16" s="808"/>
      <c r="T16" s="805">
        <v>6</v>
      </c>
      <c r="U16" s="806"/>
      <c r="V16" s="807">
        <v>149</v>
      </c>
      <c r="W16" s="814"/>
      <c r="X16" s="808"/>
      <c r="Y16" s="807">
        <v>162</v>
      </c>
      <c r="Z16" s="808"/>
      <c r="AA16" s="807">
        <v>311</v>
      </c>
      <c r="AB16" s="808"/>
      <c r="AC16" s="807">
        <v>6</v>
      </c>
      <c r="AD16" s="808"/>
      <c r="AE16" s="807">
        <v>132</v>
      </c>
      <c r="AF16" s="808"/>
      <c r="AG16" s="807">
        <v>138</v>
      </c>
      <c r="AH16" s="808"/>
      <c r="AI16" s="807">
        <v>270</v>
      </c>
      <c r="AJ16" s="808"/>
      <c r="AK16" s="807">
        <v>18</v>
      </c>
      <c r="AL16" s="808"/>
      <c r="AM16" s="807">
        <v>425</v>
      </c>
      <c r="AN16" s="808"/>
      <c r="AO16" s="807">
        <v>488</v>
      </c>
      <c r="AP16" s="814"/>
      <c r="AQ16" s="814"/>
      <c r="AR16" s="808"/>
      <c r="AS16" s="807">
        <v>913</v>
      </c>
      <c r="AT16" s="814"/>
      <c r="AU16" s="808"/>
      <c r="AV16" s="9">
        <v>0</v>
      </c>
      <c r="AW16" s="807">
        <v>0</v>
      </c>
      <c r="AX16" s="808"/>
      <c r="AY16" s="807">
        <v>0</v>
      </c>
      <c r="AZ16" s="808"/>
      <c r="BA16" s="28">
        <v>0</v>
      </c>
      <c r="BB16" s="805">
        <v>0</v>
      </c>
      <c r="BC16" s="806"/>
      <c r="BD16" s="807">
        <v>0</v>
      </c>
      <c r="BE16" s="808"/>
      <c r="BF16" s="807">
        <v>0</v>
      </c>
      <c r="BG16" s="814"/>
      <c r="BH16" s="808"/>
      <c r="BI16" s="807">
        <v>0</v>
      </c>
      <c r="BJ16" s="808"/>
      <c r="BK16" s="805">
        <v>0</v>
      </c>
      <c r="BL16" s="806"/>
      <c r="BM16" s="807">
        <v>0</v>
      </c>
      <c r="BN16" s="814"/>
      <c r="BO16" s="814"/>
      <c r="BP16" s="808"/>
      <c r="BQ16" s="15">
        <v>0</v>
      </c>
      <c r="BR16" s="807">
        <v>0</v>
      </c>
      <c r="BS16" s="808"/>
      <c r="BT16" s="807">
        <v>0</v>
      </c>
      <c r="BU16" s="808"/>
      <c r="BV16" s="807">
        <v>0</v>
      </c>
      <c r="BW16" s="814"/>
      <c r="BX16" s="808"/>
      <c r="BY16" s="807">
        <v>0</v>
      </c>
      <c r="BZ16" s="808"/>
      <c r="CA16" s="939">
        <v>0</v>
      </c>
      <c r="CB16" s="940"/>
      <c r="CC16" s="941"/>
      <c r="CD16" s="807">
        <v>18</v>
      </c>
      <c r="CE16" s="814"/>
      <c r="CF16" s="808"/>
      <c r="CG16" s="807">
        <v>425</v>
      </c>
      <c r="CH16" s="814"/>
      <c r="CI16" s="808"/>
      <c r="CJ16" s="805">
        <v>488</v>
      </c>
      <c r="CK16" s="815"/>
      <c r="CL16" s="806"/>
      <c r="CM16" s="811">
        <v>913</v>
      </c>
      <c r="CN16" s="812"/>
      <c r="CO16" s="813"/>
      <c r="CP16" s="805">
        <v>10</v>
      </c>
      <c r="CQ16" s="815"/>
      <c r="CR16" s="806"/>
      <c r="CS16" s="807">
        <v>3</v>
      </c>
      <c r="CT16" s="814"/>
      <c r="CU16" s="808"/>
      <c r="CV16" s="807">
        <v>13</v>
      </c>
      <c r="CW16" s="808"/>
      <c r="CX16" s="852" t="s">
        <v>35</v>
      </c>
      <c r="CY16" s="854"/>
      <c r="CZ16" s="854"/>
      <c r="DA16" s="853"/>
      <c r="DB16" s="298">
        <f t="shared" si="0"/>
        <v>90000</v>
      </c>
    </row>
    <row r="17" spans="1:106" ht="18.75">
      <c r="A17" s="297">
        <v>10</v>
      </c>
      <c r="B17" s="857" t="s">
        <v>480</v>
      </c>
      <c r="C17" s="904"/>
      <c r="D17" s="904"/>
      <c r="E17" s="904"/>
      <c r="F17" s="858"/>
      <c r="G17" s="816" t="s">
        <v>458</v>
      </c>
      <c r="H17" s="817"/>
      <c r="I17" s="818"/>
      <c r="J17" s="816" t="s">
        <v>459</v>
      </c>
      <c r="K17" s="818"/>
      <c r="L17" s="807">
        <v>0</v>
      </c>
      <c r="M17" s="808"/>
      <c r="N17" s="807">
        <v>0</v>
      </c>
      <c r="O17" s="808"/>
      <c r="P17" s="807">
        <v>0</v>
      </c>
      <c r="Q17" s="808"/>
      <c r="R17" s="807">
        <v>0</v>
      </c>
      <c r="S17" s="808"/>
      <c r="T17" s="805">
        <v>0</v>
      </c>
      <c r="U17" s="806"/>
      <c r="V17" s="807">
        <v>0</v>
      </c>
      <c r="W17" s="814"/>
      <c r="X17" s="808"/>
      <c r="Y17" s="807">
        <v>0</v>
      </c>
      <c r="Z17" s="808"/>
      <c r="AA17" s="807">
        <v>0</v>
      </c>
      <c r="AB17" s="808"/>
      <c r="AC17" s="807">
        <v>0</v>
      </c>
      <c r="AD17" s="808"/>
      <c r="AE17" s="807">
        <v>0</v>
      </c>
      <c r="AF17" s="808"/>
      <c r="AG17" s="807">
        <v>0</v>
      </c>
      <c r="AH17" s="808"/>
      <c r="AI17" s="807">
        <v>0</v>
      </c>
      <c r="AJ17" s="808"/>
      <c r="AK17" s="807">
        <v>0</v>
      </c>
      <c r="AL17" s="808"/>
      <c r="AM17" s="807">
        <v>0</v>
      </c>
      <c r="AN17" s="808"/>
      <c r="AO17" s="807">
        <v>0</v>
      </c>
      <c r="AP17" s="814"/>
      <c r="AQ17" s="814"/>
      <c r="AR17" s="808"/>
      <c r="AS17" s="807">
        <v>0</v>
      </c>
      <c r="AT17" s="814"/>
      <c r="AU17" s="808"/>
      <c r="AV17" s="9">
        <v>3</v>
      </c>
      <c r="AW17" s="807">
        <v>63</v>
      </c>
      <c r="AX17" s="808"/>
      <c r="AY17" s="807">
        <v>96</v>
      </c>
      <c r="AZ17" s="808"/>
      <c r="BA17" s="15">
        <v>159</v>
      </c>
      <c r="BB17" s="805">
        <v>3</v>
      </c>
      <c r="BC17" s="806"/>
      <c r="BD17" s="807">
        <v>64</v>
      </c>
      <c r="BE17" s="808"/>
      <c r="BF17" s="807">
        <v>60</v>
      </c>
      <c r="BG17" s="814"/>
      <c r="BH17" s="808"/>
      <c r="BI17" s="807">
        <v>124</v>
      </c>
      <c r="BJ17" s="808"/>
      <c r="BK17" s="805">
        <v>3</v>
      </c>
      <c r="BL17" s="806"/>
      <c r="BM17" s="807">
        <v>56</v>
      </c>
      <c r="BN17" s="814"/>
      <c r="BO17" s="814"/>
      <c r="BP17" s="808"/>
      <c r="BQ17" s="15">
        <v>51</v>
      </c>
      <c r="BR17" s="807">
        <v>107</v>
      </c>
      <c r="BS17" s="808"/>
      <c r="BT17" s="807">
        <v>9</v>
      </c>
      <c r="BU17" s="808"/>
      <c r="BV17" s="807">
        <v>183</v>
      </c>
      <c r="BW17" s="814"/>
      <c r="BX17" s="808"/>
      <c r="BY17" s="807">
        <v>207</v>
      </c>
      <c r="BZ17" s="808"/>
      <c r="CA17" s="805">
        <v>390</v>
      </c>
      <c r="CB17" s="815"/>
      <c r="CC17" s="806"/>
      <c r="CD17" s="807">
        <v>9</v>
      </c>
      <c r="CE17" s="814"/>
      <c r="CF17" s="808"/>
      <c r="CG17" s="807">
        <v>183</v>
      </c>
      <c r="CH17" s="814"/>
      <c r="CI17" s="808"/>
      <c r="CJ17" s="805">
        <v>207</v>
      </c>
      <c r="CK17" s="815"/>
      <c r="CL17" s="806"/>
      <c r="CM17" s="811">
        <v>390</v>
      </c>
      <c r="CN17" s="812"/>
      <c r="CO17" s="813"/>
      <c r="CP17" s="805">
        <v>14</v>
      </c>
      <c r="CQ17" s="815"/>
      <c r="CR17" s="806"/>
      <c r="CS17" s="807">
        <v>2</v>
      </c>
      <c r="CT17" s="814"/>
      <c r="CU17" s="808"/>
      <c r="CV17" s="807">
        <v>16</v>
      </c>
      <c r="CW17" s="808"/>
      <c r="CX17" s="852" t="s">
        <v>35</v>
      </c>
      <c r="CY17" s="854"/>
      <c r="CZ17" s="854"/>
      <c r="DA17" s="853"/>
      <c r="DB17" s="298">
        <f t="shared" si="0"/>
        <v>90000</v>
      </c>
    </row>
    <row r="18" spans="1:106" ht="18.75">
      <c r="A18" s="297">
        <v>11</v>
      </c>
      <c r="B18" s="816" t="s">
        <v>481</v>
      </c>
      <c r="C18" s="817"/>
      <c r="D18" s="817"/>
      <c r="E18" s="817"/>
      <c r="F18" s="818"/>
      <c r="G18" s="852" t="s">
        <v>455</v>
      </c>
      <c r="H18" s="854"/>
      <c r="I18" s="853"/>
      <c r="J18" s="816" t="s">
        <v>461</v>
      </c>
      <c r="K18" s="818"/>
      <c r="L18" s="807">
        <v>0</v>
      </c>
      <c r="M18" s="808"/>
      <c r="N18" s="807">
        <v>0</v>
      </c>
      <c r="O18" s="808"/>
      <c r="P18" s="807">
        <v>0</v>
      </c>
      <c r="Q18" s="808"/>
      <c r="R18" s="807">
        <v>0</v>
      </c>
      <c r="S18" s="808"/>
      <c r="T18" s="805">
        <v>0</v>
      </c>
      <c r="U18" s="806"/>
      <c r="V18" s="807">
        <v>0</v>
      </c>
      <c r="W18" s="814"/>
      <c r="X18" s="808"/>
      <c r="Y18" s="807">
        <v>0</v>
      </c>
      <c r="Z18" s="808"/>
      <c r="AA18" s="807">
        <v>0</v>
      </c>
      <c r="AB18" s="808"/>
      <c r="AC18" s="807">
        <v>0</v>
      </c>
      <c r="AD18" s="808"/>
      <c r="AE18" s="807">
        <v>0</v>
      </c>
      <c r="AF18" s="808"/>
      <c r="AG18" s="807">
        <v>0</v>
      </c>
      <c r="AH18" s="808"/>
      <c r="AI18" s="807">
        <v>0</v>
      </c>
      <c r="AJ18" s="808"/>
      <c r="AK18" s="807">
        <v>0</v>
      </c>
      <c r="AL18" s="808"/>
      <c r="AM18" s="807">
        <v>0</v>
      </c>
      <c r="AN18" s="808"/>
      <c r="AO18" s="807">
        <v>0</v>
      </c>
      <c r="AP18" s="814"/>
      <c r="AQ18" s="814"/>
      <c r="AR18" s="808"/>
      <c r="AS18" s="807">
        <v>0</v>
      </c>
      <c r="AT18" s="814"/>
      <c r="AU18" s="808"/>
      <c r="AV18" s="9">
        <v>3</v>
      </c>
      <c r="AW18" s="807">
        <v>108</v>
      </c>
      <c r="AX18" s="808"/>
      <c r="AY18" s="807">
        <v>93</v>
      </c>
      <c r="AZ18" s="808"/>
      <c r="BA18" s="15">
        <v>201</v>
      </c>
      <c r="BB18" s="805">
        <v>3</v>
      </c>
      <c r="BC18" s="806"/>
      <c r="BD18" s="807">
        <v>111</v>
      </c>
      <c r="BE18" s="808"/>
      <c r="BF18" s="807">
        <v>107</v>
      </c>
      <c r="BG18" s="814"/>
      <c r="BH18" s="808"/>
      <c r="BI18" s="807">
        <v>218</v>
      </c>
      <c r="BJ18" s="808"/>
      <c r="BK18" s="805">
        <v>3</v>
      </c>
      <c r="BL18" s="806"/>
      <c r="BM18" s="807">
        <v>91</v>
      </c>
      <c r="BN18" s="814"/>
      <c r="BO18" s="814"/>
      <c r="BP18" s="808"/>
      <c r="BQ18" s="15">
        <v>105</v>
      </c>
      <c r="BR18" s="807">
        <v>196</v>
      </c>
      <c r="BS18" s="808"/>
      <c r="BT18" s="807">
        <v>9</v>
      </c>
      <c r="BU18" s="808"/>
      <c r="BV18" s="807">
        <v>310</v>
      </c>
      <c r="BW18" s="814"/>
      <c r="BX18" s="808"/>
      <c r="BY18" s="807">
        <v>305</v>
      </c>
      <c r="BZ18" s="808"/>
      <c r="CA18" s="805">
        <v>615</v>
      </c>
      <c r="CB18" s="815"/>
      <c r="CC18" s="806"/>
      <c r="CD18" s="807">
        <v>9</v>
      </c>
      <c r="CE18" s="814"/>
      <c r="CF18" s="808"/>
      <c r="CG18" s="807">
        <v>310</v>
      </c>
      <c r="CH18" s="814"/>
      <c r="CI18" s="808"/>
      <c r="CJ18" s="805">
        <v>305</v>
      </c>
      <c r="CK18" s="815"/>
      <c r="CL18" s="806"/>
      <c r="CM18" s="811">
        <v>615</v>
      </c>
      <c r="CN18" s="812"/>
      <c r="CO18" s="813"/>
      <c r="CP18" s="805">
        <v>10</v>
      </c>
      <c r="CQ18" s="815"/>
      <c r="CR18" s="806"/>
      <c r="CS18" s="807">
        <v>2</v>
      </c>
      <c r="CT18" s="814"/>
      <c r="CU18" s="808"/>
      <c r="CV18" s="807">
        <v>12</v>
      </c>
      <c r="CW18" s="808"/>
      <c r="CX18" s="852" t="s">
        <v>35</v>
      </c>
      <c r="CY18" s="854"/>
      <c r="CZ18" s="854"/>
      <c r="DA18" s="853"/>
      <c r="DB18" s="298">
        <f t="shared" si="0"/>
        <v>90000</v>
      </c>
    </row>
    <row r="19" spans="1:106" ht="18.75">
      <c r="A19" s="297">
        <v>12</v>
      </c>
      <c r="B19" s="816" t="s">
        <v>482</v>
      </c>
      <c r="C19" s="817"/>
      <c r="D19" s="817"/>
      <c r="E19" s="817"/>
      <c r="F19" s="818"/>
      <c r="G19" s="816" t="s">
        <v>463</v>
      </c>
      <c r="H19" s="817"/>
      <c r="I19" s="818"/>
      <c r="J19" s="816" t="s">
        <v>464</v>
      </c>
      <c r="K19" s="818"/>
      <c r="L19" s="807">
        <v>0</v>
      </c>
      <c r="M19" s="808"/>
      <c r="N19" s="807">
        <v>0</v>
      </c>
      <c r="O19" s="808"/>
      <c r="P19" s="807">
        <v>0</v>
      </c>
      <c r="Q19" s="808"/>
      <c r="R19" s="807">
        <v>0</v>
      </c>
      <c r="S19" s="808"/>
      <c r="T19" s="805">
        <v>0</v>
      </c>
      <c r="U19" s="806"/>
      <c r="V19" s="807">
        <v>0</v>
      </c>
      <c r="W19" s="814"/>
      <c r="X19" s="808"/>
      <c r="Y19" s="807">
        <v>0</v>
      </c>
      <c r="Z19" s="808"/>
      <c r="AA19" s="807">
        <v>0</v>
      </c>
      <c r="AB19" s="808"/>
      <c r="AC19" s="807">
        <v>0</v>
      </c>
      <c r="AD19" s="808"/>
      <c r="AE19" s="807">
        <v>0</v>
      </c>
      <c r="AF19" s="808"/>
      <c r="AG19" s="807">
        <v>0</v>
      </c>
      <c r="AH19" s="808"/>
      <c r="AI19" s="807">
        <v>0</v>
      </c>
      <c r="AJ19" s="808"/>
      <c r="AK19" s="807">
        <v>0</v>
      </c>
      <c r="AL19" s="808"/>
      <c r="AM19" s="807">
        <v>0</v>
      </c>
      <c r="AN19" s="808"/>
      <c r="AO19" s="807">
        <v>0</v>
      </c>
      <c r="AP19" s="814"/>
      <c r="AQ19" s="814"/>
      <c r="AR19" s="808"/>
      <c r="AS19" s="807">
        <v>0</v>
      </c>
      <c r="AT19" s="814"/>
      <c r="AU19" s="808"/>
      <c r="AV19" s="9">
        <v>7</v>
      </c>
      <c r="AW19" s="807">
        <v>225</v>
      </c>
      <c r="AX19" s="808"/>
      <c r="AY19" s="807">
        <v>214</v>
      </c>
      <c r="AZ19" s="808"/>
      <c r="BA19" s="15">
        <v>439</v>
      </c>
      <c r="BB19" s="805">
        <v>6</v>
      </c>
      <c r="BC19" s="806"/>
      <c r="BD19" s="807">
        <v>198</v>
      </c>
      <c r="BE19" s="808"/>
      <c r="BF19" s="807">
        <v>188</v>
      </c>
      <c r="BG19" s="814"/>
      <c r="BH19" s="808"/>
      <c r="BI19" s="807">
        <v>386</v>
      </c>
      <c r="BJ19" s="808"/>
      <c r="BK19" s="805">
        <v>6</v>
      </c>
      <c r="BL19" s="806"/>
      <c r="BM19" s="807">
        <v>144</v>
      </c>
      <c r="BN19" s="814"/>
      <c r="BO19" s="814"/>
      <c r="BP19" s="808"/>
      <c r="BQ19" s="15">
        <v>118</v>
      </c>
      <c r="BR19" s="807">
        <v>262</v>
      </c>
      <c r="BS19" s="808"/>
      <c r="BT19" s="807">
        <v>19</v>
      </c>
      <c r="BU19" s="808"/>
      <c r="BV19" s="807">
        <v>567</v>
      </c>
      <c r="BW19" s="814"/>
      <c r="BX19" s="808"/>
      <c r="BY19" s="807">
        <v>520</v>
      </c>
      <c r="BZ19" s="808"/>
      <c r="CA19" s="805">
        <v>1087</v>
      </c>
      <c r="CB19" s="815"/>
      <c r="CC19" s="806"/>
      <c r="CD19" s="807">
        <v>19</v>
      </c>
      <c r="CE19" s="814"/>
      <c r="CF19" s="808"/>
      <c r="CG19" s="807">
        <v>567</v>
      </c>
      <c r="CH19" s="814"/>
      <c r="CI19" s="808"/>
      <c r="CJ19" s="805">
        <v>520</v>
      </c>
      <c r="CK19" s="815"/>
      <c r="CL19" s="806"/>
      <c r="CM19" s="811">
        <v>1087</v>
      </c>
      <c r="CN19" s="812"/>
      <c r="CO19" s="813"/>
      <c r="CP19" s="805">
        <v>13</v>
      </c>
      <c r="CQ19" s="815"/>
      <c r="CR19" s="806"/>
      <c r="CS19" s="807">
        <v>12</v>
      </c>
      <c r="CT19" s="814"/>
      <c r="CU19" s="808"/>
      <c r="CV19" s="807">
        <v>25</v>
      </c>
      <c r="CW19" s="808"/>
      <c r="CX19" s="852" t="s">
        <v>35</v>
      </c>
      <c r="CY19" s="854"/>
      <c r="CZ19" s="854"/>
      <c r="DA19" s="853"/>
      <c r="DB19" s="298">
        <f t="shared" si="0"/>
        <v>150000</v>
      </c>
    </row>
    <row r="20" spans="1:106" ht="18.75">
      <c r="A20" s="297">
        <v>13</v>
      </c>
      <c r="B20" s="857" t="s">
        <v>483</v>
      </c>
      <c r="C20" s="904"/>
      <c r="D20" s="904"/>
      <c r="E20" s="904"/>
      <c r="F20" s="858"/>
      <c r="G20" s="816" t="s">
        <v>458</v>
      </c>
      <c r="H20" s="817"/>
      <c r="I20" s="818"/>
      <c r="J20" s="816" t="s">
        <v>484</v>
      </c>
      <c r="K20" s="818"/>
      <c r="L20" s="807">
        <v>0</v>
      </c>
      <c r="M20" s="808"/>
      <c r="N20" s="807">
        <v>0</v>
      </c>
      <c r="O20" s="808"/>
      <c r="P20" s="807">
        <v>0</v>
      </c>
      <c r="Q20" s="808"/>
      <c r="R20" s="807">
        <v>0</v>
      </c>
      <c r="S20" s="808"/>
      <c r="T20" s="805">
        <v>0</v>
      </c>
      <c r="U20" s="806"/>
      <c r="V20" s="807">
        <v>0</v>
      </c>
      <c r="W20" s="814"/>
      <c r="X20" s="808"/>
      <c r="Y20" s="807">
        <v>0</v>
      </c>
      <c r="Z20" s="808"/>
      <c r="AA20" s="807">
        <v>0</v>
      </c>
      <c r="AB20" s="808"/>
      <c r="AC20" s="807">
        <v>0</v>
      </c>
      <c r="AD20" s="808"/>
      <c r="AE20" s="807">
        <v>0</v>
      </c>
      <c r="AF20" s="808"/>
      <c r="AG20" s="807">
        <v>0</v>
      </c>
      <c r="AH20" s="808"/>
      <c r="AI20" s="807">
        <v>0</v>
      </c>
      <c r="AJ20" s="808"/>
      <c r="AK20" s="807">
        <v>0</v>
      </c>
      <c r="AL20" s="808"/>
      <c r="AM20" s="807">
        <v>0</v>
      </c>
      <c r="AN20" s="808"/>
      <c r="AO20" s="807">
        <v>0</v>
      </c>
      <c r="AP20" s="814"/>
      <c r="AQ20" s="814"/>
      <c r="AR20" s="808"/>
      <c r="AS20" s="807">
        <v>0</v>
      </c>
      <c r="AT20" s="814"/>
      <c r="AU20" s="808"/>
      <c r="AV20" s="9">
        <v>1</v>
      </c>
      <c r="AW20" s="807">
        <v>39</v>
      </c>
      <c r="AX20" s="808"/>
      <c r="AY20" s="807">
        <v>27</v>
      </c>
      <c r="AZ20" s="808"/>
      <c r="BA20" s="15">
        <v>66</v>
      </c>
      <c r="BB20" s="805">
        <v>1</v>
      </c>
      <c r="BC20" s="806"/>
      <c r="BD20" s="807">
        <v>39</v>
      </c>
      <c r="BE20" s="808"/>
      <c r="BF20" s="807">
        <v>39</v>
      </c>
      <c r="BG20" s="814"/>
      <c r="BH20" s="808"/>
      <c r="BI20" s="807">
        <v>78</v>
      </c>
      <c r="BJ20" s="808"/>
      <c r="BK20" s="805">
        <v>1</v>
      </c>
      <c r="BL20" s="806"/>
      <c r="BM20" s="807">
        <v>39</v>
      </c>
      <c r="BN20" s="814"/>
      <c r="BO20" s="814"/>
      <c r="BP20" s="808"/>
      <c r="BQ20" s="15">
        <v>39</v>
      </c>
      <c r="BR20" s="807">
        <v>78</v>
      </c>
      <c r="BS20" s="808"/>
      <c r="BT20" s="807">
        <v>3</v>
      </c>
      <c r="BU20" s="808"/>
      <c r="BV20" s="807">
        <v>117</v>
      </c>
      <c r="BW20" s="814"/>
      <c r="BX20" s="808"/>
      <c r="BY20" s="807">
        <v>105</v>
      </c>
      <c r="BZ20" s="808"/>
      <c r="CA20" s="805">
        <v>222</v>
      </c>
      <c r="CB20" s="815"/>
      <c r="CC20" s="806"/>
      <c r="CD20" s="807">
        <v>3</v>
      </c>
      <c r="CE20" s="814"/>
      <c r="CF20" s="808"/>
      <c r="CG20" s="807">
        <v>117</v>
      </c>
      <c r="CH20" s="814"/>
      <c r="CI20" s="808"/>
      <c r="CJ20" s="805">
        <v>105</v>
      </c>
      <c r="CK20" s="815"/>
      <c r="CL20" s="806"/>
      <c r="CM20" s="811">
        <v>222</v>
      </c>
      <c r="CN20" s="812"/>
      <c r="CO20" s="813"/>
      <c r="CP20" s="939">
        <v>8</v>
      </c>
      <c r="CQ20" s="940"/>
      <c r="CR20" s="941"/>
      <c r="CS20" s="807">
        <v>2</v>
      </c>
      <c r="CT20" s="814"/>
      <c r="CU20" s="808"/>
      <c r="CV20" s="807">
        <v>10</v>
      </c>
      <c r="CW20" s="808"/>
      <c r="CX20" s="852" t="s">
        <v>35</v>
      </c>
      <c r="CY20" s="854"/>
      <c r="CZ20" s="854"/>
      <c r="DA20" s="853"/>
      <c r="DB20" s="298">
        <f t="shared" si="0"/>
        <v>90000</v>
      </c>
    </row>
    <row r="21" spans="1:106" ht="18.75">
      <c r="A21" s="297">
        <v>14</v>
      </c>
      <c r="B21" s="857" t="s">
        <v>485</v>
      </c>
      <c r="C21" s="904"/>
      <c r="D21" s="904"/>
      <c r="E21" s="904"/>
      <c r="F21" s="858"/>
      <c r="G21" s="816" t="s">
        <v>463</v>
      </c>
      <c r="H21" s="817"/>
      <c r="I21" s="818"/>
      <c r="J21" s="816" t="s">
        <v>469</v>
      </c>
      <c r="K21" s="818"/>
      <c r="L21" s="807">
        <v>0</v>
      </c>
      <c r="M21" s="808"/>
      <c r="N21" s="807">
        <v>0</v>
      </c>
      <c r="O21" s="808"/>
      <c r="P21" s="807">
        <v>0</v>
      </c>
      <c r="Q21" s="808"/>
      <c r="R21" s="807">
        <v>0</v>
      </c>
      <c r="S21" s="808"/>
      <c r="T21" s="805">
        <v>0</v>
      </c>
      <c r="U21" s="806"/>
      <c r="V21" s="807">
        <v>0</v>
      </c>
      <c r="W21" s="814"/>
      <c r="X21" s="808"/>
      <c r="Y21" s="807">
        <v>0</v>
      </c>
      <c r="Z21" s="808"/>
      <c r="AA21" s="807">
        <v>0</v>
      </c>
      <c r="AB21" s="808"/>
      <c r="AC21" s="807">
        <v>0</v>
      </c>
      <c r="AD21" s="808"/>
      <c r="AE21" s="807">
        <v>0</v>
      </c>
      <c r="AF21" s="808"/>
      <c r="AG21" s="807">
        <v>0</v>
      </c>
      <c r="AH21" s="808"/>
      <c r="AI21" s="807">
        <v>0</v>
      </c>
      <c r="AJ21" s="808"/>
      <c r="AK21" s="807">
        <v>0</v>
      </c>
      <c r="AL21" s="808"/>
      <c r="AM21" s="807">
        <v>0</v>
      </c>
      <c r="AN21" s="808"/>
      <c r="AO21" s="807">
        <v>0</v>
      </c>
      <c r="AP21" s="814"/>
      <c r="AQ21" s="814"/>
      <c r="AR21" s="808"/>
      <c r="AS21" s="807">
        <v>0</v>
      </c>
      <c r="AT21" s="814"/>
      <c r="AU21" s="808"/>
      <c r="AV21" s="9">
        <v>3</v>
      </c>
      <c r="AW21" s="807">
        <v>173</v>
      </c>
      <c r="AX21" s="808"/>
      <c r="AY21" s="807">
        <v>145</v>
      </c>
      <c r="AZ21" s="808"/>
      <c r="BA21" s="15">
        <v>318</v>
      </c>
      <c r="BB21" s="805">
        <v>3</v>
      </c>
      <c r="BC21" s="806"/>
      <c r="BD21" s="807">
        <v>205</v>
      </c>
      <c r="BE21" s="808"/>
      <c r="BF21" s="807">
        <v>146</v>
      </c>
      <c r="BG21" s="814"/>
      <c r="BH21" s="808"/>
      <c r="BI21" s="807">
        <v>351</v>
      </c>
      <c r="BJ21" s="808"/>
      <c r="BK21" s="805">
        <v>3</v>
      </c>
      <c r="BL21" s="806"/>
      <c r="BM21" s="807">
        <v>87</v>
      </c>
      <c r="BN21" s="814"/>
      <c r="BO21" s="814"/>
      <c r="BP21" s="808"/>
      <c r="BQ21" s="15">
        <v>89</v>
      </c>
      <c r="BR21" s="807">
        <v>176</v>
      </c>
      <c r="BS21" s="808"/>
      <c r="BT21" s="807">
        <v>9</v>
      </c>
      <c r="BU21" s="808"/>
      <c r="BV21" s="807">
        <v>465</v>
      </c>
      <c r="BW21" s="814"/>
      <c r="BX21" s="808"/>
      <c r="BY21" s="807">
        <v>380</v>
      </c>
      <c r="BZ21" s="808"/>
      <c r="CA21" s="805">
        <v>845</v>
      </c>
      <c r="CB21" s="815"/>
      <c r="CC21" s="806"/>
      <c r="CD21" s="807">
        <v>9</v>
      </c>
      <c r="CE21" s="814"/>
      <c r="CF21" s="808"/>
      <c r="CG21" s="807">
        <v>465</v>
      </c>
      <c r="CH21" s="814"/>
      <c r="CI21" s="808"/>
      <c r="CJ21" s="805">
        <v>380</v>
      </c>
      <c r="CK21" s="815"/>
      <c r="CL21" s="806"/>
      <c r="CM21" s="811">
        <v>845</v>
      </c>
      <c r="CN21" s="812"/>
      <c r="CO21" s="813"/>
      <c r="CP21" s="805">
        <v>10</v>
      </c>
      <c r="CQ21" s="815"/>
      <c r="CR21" s="806"/>
      <c r="CS21" s="807">
        <v>4</v>
      </c>
      <c r="CT21" s="814"/>
      <c r="CU21" s="808"/>
      <c r="CV21" s="807">
        <v>14</v>
      </c>
      <c r="CW21" s="808"/>
      <c r="CX21" s="852" t="s">
        <v>35</v>
      </c>
      <c r="CY21" s="854"/>
      <c r="CZ21" s="854"/>
      <c r="DA21" s="853"/>
      <c r="DB21" s="298">
        <f t="shared" si="0"/>
        <v>90000</v>
      </c>
    </row>
    <row r="22" spans="1:106" ht="18.75">
      <c r="A22" s="297">
        <v>15</v>
      </c>
      <c r="B22" s="816" t="s">
        <v>486</v>
      </c>
      <c r="C22" s="817"/>
      <c r="D22" s="817"/>
      <c r="E22" s="817"/>
      <c r="F22" s="818"/>
      <c r="G22" s="816" t="s">
        <v>458</v>
      </c>
      <c r="H22" s="817"/>
      <c r="I22" s="818"/>
      <c r="J22" s="816" t="s">
        <v>487</v>
      </c>
      <c r="K22" s="818"/>
      <c r="L22" s="807">
        <v>0</v>
      </c>
      <c r="M22" s="808"/>
      <c r="N22" s="807">
        <v>0</v>
      </c>
      <c r="O22" s="808"/>
      <c r="P22" s="807">
        <v>0</v>
      </c>
      <c r="Q22" s="808"/>
      <c r="R22" s="807">
        <v>0</v>
      </c>
      <c r="S22" s="808"/>
      <c r="T22" s="805">
        <v>0</v>
      </c>
      <c r="U22" s="806"/>
      <c r="V22" s="807">
        <v>0</v>
      </c>
      <c r="W22" s="814"/>
      <c r="X22" s="808"/>
      <c r="Y22" s="807">
        <v>0</v>
      </c>
      <c r="Z22" s="808"/>
      <c r="AA22" s="807">
        <v>0</v>
      </c>
      <c r="AB22" s="808"/>
      <c r="AC22" s="807">
        <v>0</v>
      </c>
      <c r="AD22" s="808"/>
      <c r="AE22" s="807">
        <v>0</v>
      </c>
      <c r="AF22" s="808"/>
      <c r="AG22" s="807">
        <v>0</v>
      </c>
      <c r="AH22" s="808"/>
      <c r="AI22" s="807">
        <v>0</v>
      </c>
      <c r="AJ22" s="808"/>
      <c r="AK22" s="807">
        <v>0</v>
      </c>
      <c r="AL22" s="808"/>
      <c r="AM22" s="807">
        <v>0</v>
      </c>
      <c r="AN22" s="808"/>
      <c r="AO22" s="807">
        <v>0</v>
      </c>
      <c r="AP22" s="814"/>
      <c r="AQ22" s="814"/>
      <c r="AR22" s="808"/>
      <c r="AS22" s="807">
        <v>0</v>
      </c>
      <c r="AT22" s="814"/>
      <c r="AU22" s="808"/>
      <c r="AV22" s="9">
        <v>4</v>
      </c>
      <c r="AW22" s="807">
        <v>154</v>
      </c>
      <c r="AX22" s="808"/>
      <c r="AY22" s="807">
        <v>164</v>
      </c>
      <c r="AZ22" s="808"/>
      <c r="BA22" s="15">
        <v>318</v>
      </c>
      <c r="BB22" s="805">
        <v>4</v>
      </c>
      <c r="BC22" s="806"/>
      <c r="BD22" s="807">
        <v>169</v>
      </c>
      <c r="BE22" s="808"/>
      <c r="BF22" s="807">
        <v>202</v>
      </c>
      <c r="BG22" s="814"/>
      <c r="BH22" s="808"/>
      <c r="BI22" s="807">
        <v>371</v>
      </c>
      <c r="BJ22" s="808"/>
      <c r="BK22" s="805">
        <v>4</v>
      </c>
      <c r="BL22" s="806"/>
      <c r="BM22" s="807">
        <v>109</v>
      </c>
      <c r="BN22" s="814"/>
      <c r="BO22" s="814"/>
      <c r="BP22" s="808"/>
      <c r="BQ22" s="15">
        <v>131</v>
      </c>
      <c r="BR22" s="807">
        <v>240</v>
      </c>
      <c r="BS22" s="808"/>
      <c r="BT22" s="807">
        <v>12</v>
      </c>
      <c r="BU22" s="808"/>
      <c r="BV22" s="807">
        <v>432</v>
      </c>
      <c r="BW22" s="814"/>
      <c r="BX22" s="808"/>
      <c r="BY22" s="807">
        <v>497</v>
      </c>
      <c r="BZ22" s="808"/>
      <c r="CA22" s="805">
        <v>929</v>
      </c>
      <c r="CB22" s="815"/>
      <c r="CC22" s="806"/>
      <c r="CD22" s="807">
        <v>12</v>
      </c>
      <c r="CE22" s="814"/>
      <c r="CF22" s="808"/>
      <c r="CG22" s="807">
        <v>432</v>
      </c>
      <c r="CH22" s="814"/>
      <c r="CI22" s="808"/>
      <c r="CJ22" s="805">
        <v>497</v>
      </c>
      <c r="CK22" s="815"/>
      <c r="CL22" s="806"/>
      <c r="CM22" s="811">
        <v>929</v>
      </c>
      <c r="CN22" s="812"/>
      <c r="CO22" s="813"/>
      <c r="CP22" s="805">
        <v>14</v>
      </c>
      <c r="CQ22" s="815"/>
      <c r="CR22" s="806"/>
      <c r="CS22" s="807">
        <v>6</v>
      </c>
      <c r="CT22" s="814"/>
      <c r="CU22" s="808"/>
      <c r="CV22" s="807">
        <v>20</v>
      </c>
      <c r="CW22" s="808"/>
      <c r="CX22" s="852" t="s">
        <v>35</v>
      </c>
      <c r="CY22" s="854"/>
      <c r="CZ22" s="854"/>
      <c r="DA22" s="853"/>
      <c r="DB22" s="298">
        <f t="shared" si="0"/>
        <v>90000</v>
      </c>
    </row>
    <row r="23" spans="1:106" ht="18.75">
      <c r="A23" s="297">
        <v>16</v>
      </c>
      <c r="B23" s="816" t="s">
        <v>473</v>
      </c>
      <c r="C23" s="817"/>
      <c r="D23" s="817"/>
      <c r="E23" s="817"/>
      <c r="F23" s="818"/>
      <c r="G23" s="816" t="s">
        <v>458</v>
      </c>
      <c r="H23" s="817"/>
      <c r="I23" s="818"/>
      <c r="J23" s="816" t="s">
        <v>484</v>
      </c>
      <c r="K23" s="818"/>
      <c r="L23" s="807">
        <v>0</v>
      </c>
      <c r="M23" s="808"/>
      <c r="N23" s="807">
        <v>0</v>
      </c>
      <c r="O23" s="808"/>
      <c r="P23" s="807">
        <v>0</v>
      </c>
      <c r="Q23" s="808"/>
      <c r="R23" s="807">
        <v>0</v>
      </c>
      <c r="S23" s="808"/>
      <c r="T23" s="805">
        <v>0</v>
      </c>
      <c r="U23" s="806"/>
      <c r="V23" s="807">
        <v>0</v>
      </c>
      <c r="W23" s="814"/>
      <c r="X23" s="808"/>
      <c r="Y23" s="807">
        <v>0</v>
      </c>
      <c r="Z23" s="808"/>
      <c r="AA23" s="807">
        <v>0</v>
      </c>
      <c r="AB23" s="808"/>
      <c r="AC23" s="807">
        <v>0</v>
      </c>
      <c r="AD23" s="808"/>
      <c r="AE23" s="807">
        <v>0</v>
      </c>
      <c r="AF23" s="808"/>
      <c r="AG23" s="807">
        <v>0</v>
      </c>
      <c r="AH23" s="808"/>
      <c r="AI23" s="807">
        <v>0</v>
      </c>
      <c r="AJ23" s="808"/>
      <c r="AK23" s="807">
        <v>0</v>
      </c>
      <c r="AL23" s="808"/>
      <c r="AM23" s="807">
        <v>0</v>
      </c>
      <c r="AN23" s="808"/>
      <c r="AO23" s="807">
        <v>0</v>
      </c>
      <c r="AP23" s="814"/>
      <c r="AQ23" s="814"/>
      <c r="AR23" s="808"/>
      <c r="AS23" s="807">
        <v>0</v>
      </c>
      <c r="AT23" s="814"/>
      <c r="AU23" s="808"/>
      <c r="AV23" s="9">
        <v>3</v>
      </c>
      <c r="AW23" s="807">
        <v>77</v>
      </c>
      <c r="AX23" s="808"/>
      <c r="AY23" s="807">
        <v>71</v>
      </c>
      <c r="AZ23" s="808"/>
      <c r="BA23" s="15">
        <v>148</v>
      </c>
      <c r="BB23" s="805">
        <v>3</v>
      </c>
      <c r="BC23" s="806"/>
      <c r="BD23" s="807">
        <v>89</v>
      </c>
      <c r="BE23" s="808"/>
      <c r="BF23" s="807">
        <v>69</v>
      </c>
      <c r="BG23" s="814"/>
      <c r="BH23" s="808"/>
      <c r="BI23" s="807">
        <v>158</v>
      </c>
      <c r="BJ23" s="808"/>
      <c r="BK23" s="805">
        <v>3</v>
      </c>
      <c r="BL23" s="806"/>
      <c r="BM23" s="807">
        <v>55</v>
      </c>
      <c r="BN23" s="814"/>
      <c r="BO23" s="814"/>
      <c r="BP23" s="808"/>
      <c r="BQ23" s="15">
        <v>45</v>
      </c>
      <c r="BR23" s="807">
        <v>100</v>
      </c>
      <c r="BS23" s="808"/>
      <c r="BT23" s="807">
        <v>9</v>
      </c>
      <c r="BU23" s="808"/>
      <c r="BV23" s="807">
        <v>221</v>
      </c>
      <c r="BW23" s="814"/>
      <c r="BX23" s="808"/>
      <c r="BY23" s="807">
        <v>185</v>
      </c>
      <c r="BZ23" s="808"/>
      <c r="CA23" s="805">
        <v>406</v>
      </c>
      <c r="CB23" s="815"/>
      <c r="CC23" s="806"/>
      <c r="CD23" s="807">
        <v>9</v>
      </c>
      <c r="CE23" s="814"/>
      <c r="CF23" s="808"/>
      <c r="CG23" s="807">
        <v>221</v>
      </c>
      <c r="CH23" s="814"/>
      <c r="CI23" s="808"/>
      <c r="CJ23" s="805">
        <v>185</v>
      </c>
      <c r="CK23" s="815"/>
      <c r="CL23" s="806"/>
      <c r="CM23" s="811">
        <v>406</v>
      </c>
      <c r="CN23" s="812"/>
      <c r="CO23" s="813"/>
      <c r="CP23" s="939">
        <v>8</v>
      </c>
      <c r="CQ23" s="940"/>
      <c r="CR23" s="941"/>
      <c r="CS23" s="807">
        <v>2</v>
      </c>
      <c r="CT23" s="814"/>
      <c r="CU23" s="808"/>
      <c r="CV23" s="807">
        <v>10</v>
      </c>
      <c r="CW23" s="808"/>
      <c r="CX23" s="852" t="s">
        <v>35</v>
      </c>
      <c r="CY23" s="854"/>
      <c r="CZ23" s="854"/>
      <c r="DA23" s="853"/>
      <c r="DB23" s="298">
        <f t="shared" si="0"/>
        <v>90000</v>
      </c>
    </row>
    <row r="24" spans="1:106" ht="18.75">
      <c r="A24" s="297">
        <v>17</v>
      </c>
      <c r="B24" s="857" t="s">
        <v>488</v>
      </c>
      <c r="C24" s="904"/>
      <c r="D24" s="904"/>
      <c r="E24" s="904"/>
      <c r="F24" s="858"/>
      <c r="G24" s="816" t="s">
        <v>463</v>
      </c>
      <c r="H24" s="817"/>
      <c r="I24" s="818"/>
      <c r="J24" s="816" t="s">
        <v>476</v>
      </c>
      <c r="K24" s="818"/>
      <c r="L24" s="807">
        <v>0</v>
      </c>
      <c r="M24" s="808"/>
      <c r="N24" s="807">
        <v>0</v>
      </c>
      <c r="O24" s="808"/>
      <c r="P24" s="807">
        <v>0</v>
      </c>
      <c r="Q24" s="808"/>
      <c r="R24" s="807">
        <v>0</v>
      </c>
      <c r="S24" s="808"/>
      <c r="T24" s="805">
        <v>0</v>
      </c>
      <c r="U24" s="806"/>
      <c r="V24" s="807">
        <v>0</v>
      </c>
      <c r="W24" s="814"/>
      <c r="X24" s="808"/>
      <c r="Y24" s="807">
        <v>0</v>
      </c>
      <c r="Z24" s="808"/>
      <c r="AA24" s="807">
        <v>0</v>
      </c>
      <c r="AB24" s="808"/>
      <c r="AC24" s="807">
        <v>0</v>
      </c>
      <c r="AD24" s="808"/>
      <c r="AE24" s="807">
        <v>0</v>
      </c>
      <c r="AF24" s="808"/>
      <c r="AG24" s="807">
        <v>0</v>
      </c>
      <c r="AH24" s="808"/>
      <c r="AI24" s="807">
        <v>0</v>
      </c>
      <c r="AJ24" s="808"/>
      <c r="AK24" s="807">
        <v>0</v>
      </c>
      <c r="AL24" s="808"/>
      <c r="AM24" s="807">
        <v>0</v>
      </c>
      <c r="AN24" s="808"/>
      <c r="AO24" s="807">
        <v>0</v>
      </c>
      <c r="AP24" s="814"/>
      <c r="AQ24" s="814"/>
      <c r="AR24" s="808"/>
      <c r="AS24" s="807">
        <v>0</v>
      </c>
      <c r="AT24" s="814"/>
      <c r="AU24" s="808"/>
      <c r="AV24" s="9">
        <v>3</v>
      </c>
      <c r="AW24" s="807">
        <v>99</v>
      </c>
      <c r="AX24" s="808"/>
      <c r="AY24" s="807">
        <v>86</v>
      </c>
      <c r="AZ24" s="808"/>
      <c r="BA24" s="15">
        <v>185</v>
      </c>
      <c r="BB24" s="805">
        <v>3</v>
      </c>
      <c r="BC24" s="806"/>
      <c r="BD24" s="807">
        <v>68</v>
      </c>
      <c r="BE24" s="808"/>
      <c r="BF24" s="807">
        <v>84</v>
      </c>
      <c r="BG24" s="814"/>
      <c r="BH24" s="808"/>
      <c r="BI24" s="807">
        <v>152</v>
      </c>
      <c r="BJ24" s="808"/>
      <c r="BK24" s="805">
        <v>3</v>
      </c>
      <c r="BL24" s="806"/>
      <c r="BM24" s="807">
        <v>77</v>
      </c>
      <c r="BN24" s="814"/>
      <c r="BO24" s="814"/>
      <c r="BP24" s="808"/>
      <c r="BQ24" s="15">
        <v>64</v>
      </c>
      <c r="BR24" s="807">
        <v>141</v>
      </c>
      <c r="BS24" s="808"/>
      <c r="BT24" s="807">
        <v>9</v>
      </c>
      <c r="BU24" s="808"/>
      <c r="BV24" s="807">
        <v>244</v>
      </c>
      <c r="BW24" s="814"/>
      <c r="BX24" s="808"/>
      <c r="BY24" s="807">
        <v>234</v>
      </c>
      <c r="BZ24" s="808"/>
      <c r="CA24" s="805">
        <v>478</v>
      </c>
      <c r="CB24" s="815"/>
      <c r="CC24" s="806"/>
      <c r="CD24" s="807">
        <v>9</v>
      </c>
      <c r="CE24" s="814"/>
      <c r="CF24" s="808"/>
      <c r="CG24" s="807">
        <v>244</v>
      </c>
      <c r="CH24" s="814"/>
      <c r="CI24" s="808"/>
      <c r="CJ24" s="805">
        <v>234</v>
      </c>
      <c r="CK24" s="815"/>
      <c r="CL24" s="806"/>
      <c r="CM24" s="811">
        <v>478</v>
      </c>
      <c r="CN24" s="812"/>
      <c r="CO24" s="813"/>
      <c r="CP24" s="939">
        <v>7</v>
      </c>
      <c r="CQ24" s="940"/>
      <c r="CR24" s="941"/>
      <c r="CS24" s="807">
        <v>3</v>
      </c>
      <c r="CT24" s="814"/>
      <c r="CU24" s="808"/>
      <c r="CV24" s="807">
        <v>10</v>
      </c>
      <c r="CW24" s="808"/>
      <c r="CX24" s="852" t="s">
        <v>35</v>
      </c>
      <c r="CY24" s="854"/>
      <c r="CZ24" s="854"/>
      <c r="DA24" s="853"/>
      <c r="DB24" s="298">
        <f t="shared" si="0"/>
        <v>90000</v>
      </c>
    </row>
    <row r="25" spans="1:106" ht="18.75">
      <c r="A25" s="297">
        <v>18</v>
      </c>
      <c r="B25" s="816" t="s">
        <v>489</v>
      </c>
      <c r="C25" s="817"/>
      <c r="D25" s="817"/>
      <c r="E25" s="817"/>
      <c r="F25" s="818"/>
      <c r="G25" s="1080" t="s">
        <v>478</v>
      </c>
      <c r="H25" s="1096"/>
      <c r="I25" s="1081"/>
      <c r="J25" s="816" t="s">
        <v>479</v>
      </c>
      <c r="K25" s="818"/>
      <c r="L25" s="807">
        <v>0</v>
      </c>
      <c r="M25" s="808"/>
      <c r="N25" s="807">
        <v>0</v>
      </c>
      <c r="O25" s="808"/>
      <c r="P25" s="807">
        <v>0</v>
      </c>
      <c r="Q25" s="808"/>
      <c r="R25" s="807">
        <v>0</v>
      </c>
      <c r="S25" s="808"/>
      <c r="T25" s="805">
        <v>0</v>
      </c>
      <c r="U25" s="806"/>
      <c r="V25" s="807">
        <v>0</v>
      </c>
      <c r="W25" s="814"/>
      <c r="X25" s="808"/>
      <c r="Y25" s="807">
        <v>0</v>
      </c>
      <c r="Z25" s="808"/>
      <c r="AA25" s="807">
        <v>0</v>
      </c>
      <c r="AB25" s="808"/>
      <c r="AC25" s="807">
        <v>0</v>
      </c>
      <c r="AD25" s="808"/>
      <c r="AE25" s="807">
        <v>0</v>
      </c>
      <c r="AF25" s="808"/>
      <c r="AG25" s="807">
        <v>0</v>
      </c>
      <c r="AH25" s="808"/>
      <c r="AI25" s="807">
        <v>0</v>
      </c>
      <c r="AJ25" s="808"/>
      <c r="AK25" s="807">
        <v>0</v>
      </c>
      <c r="AL25" s="808"/>
      <c r="AM25" s="807">
        <v>0</v>
      </c>
      <c r="AN25" s="808"/>
      <c r="AO25" s="807">
        <v>0</v>
      </c>
      <c r="AP25" s="814"/>
      <c r="AQ25" s="814"/>
      <c r="AR25" s="808"/>
      <c r="AS25" s="807">
        <v>0</v>
      </c>
      <c r="AT25" s="814"/>
      <c r="AU25" s="808"/>
      <c r="AV25" s="9">
        <v>3</v>
      </c>
      <c r="AW25" s="807">
        <v>164</v>
      </c>
      <c r="AX25" s="808"/>
      <c r="AY25" s="807">
        <v>117</v>
      </c>
      <c r="AZ25" s="808"/>
      <c r="BA25" s="15">
        <v>281</v>
      </c>
      <c r="BB25" s="805">
        <v>3</v>
      </c>
      <c r="BC25" s="806"/>
      <c r="BD25" s="807">
        <v>135</v>
      </c>
      <c r="BE25" s="808"/>
      <c r="BF25" s="807">
        <v>101</v>
      </c>
      <c r="BG25" s="814"/>
      <c r="BH25" s="808"/>
      <c r="BI25" s="807">
        <v>236</v>
      </c>
      <c r="BJ25" s="808"/>
      <c r="BK25" s="805">
        <v>3</v>
      </c>
      <c r="BL25" s="806"/>
      <c r="BM25" s="807">
        <v>82</v>
      </c>
      <c r="BN25" s="814"/>
      <c r="BO25" s="814"/>
      <c r="BP25" s="808"/>
      <c r="BQ25" s="15">
        <v>83</v>
      </c>
      <c r="BR25" s="807">
        <v>165</v>
      </c>
      <c r="BS25" s="808"/>
      <c r="BT25" s="807">
        <v>9</v>
      </c>
      <c r="BU25" s="808"/>
      <c r="BV25" s="807">
        <v>381</v>
      </c>
      <c r="BW25" s="814"/>
      <c r="BX25" s="808"/>
      <c r="BY25" s="807">
        <v>301</v>
      </c>
      <c r="BZ25" s="808"/>
      <c r="CA25" s="805">
        <v>682</v>
      </c>
      <c r="CB25" s="815"/>
      <c r="CC25" s="806"/>
      <c r="CD25" s="807">
        <v>9</v>
      </c>
      <c r="CE25" s="814"/>
      <c r="CF25" s="808"/>
      <c r="CG25" s="807">
        <v>381</v>
      </c>
      <c r="CH25" s="814"/>
      <c r="CI25" s="808"/>
      <c r="CJ25" s="805">
        <v>301</v>
      </c>
      <c r="CK25" s="815"/>
      <c r="CL25" s="806"/>
      <c r="CM25" s="811">
        <v>682</v>
      </c>
      <c r="CN25" s="812"/>
      <c r="CO25" s="813"/>
      <c r="CP25" s="939">
        <v>9</v>
      </c>
      <c r="CQ25" s="940"/>
      <c r="CR25" s="941"/>
      <c r="CS25" s="807">
        <v>3</v>
      </c>
      <c r="CT25" s="814"/>
      <c r="CU25" s="808"/>
      <c r="CV25" s="807">
        <v>12</v>
      </c>
      <c r="CW25" s="808"/>
      <c r="CX25" s="852" t="s">
        <v>35</v>
      </c>
      <c r="CY25" s="854"/>
      <c r="CZ25" s="854"/>
      <c r="DA25" s="853"/>
      <c r="DB25" s="298">
        <f t="shared" si="0"/>
        <v>90000</v>
      </c>
    </row>
    <row r="26" spans="1:106" ht="18.75">
      <c r="A26" s="297">
        <v>19</v>
      </c>
      <c r="B26" s="816" t="s">
        <v>490</v>
      </c>
      <c r="C26" s="817"/>
      <c r="D26" s="817"/>
      <c r="E26" s="817"/>
      <c r="F26" s="818"/>
      <c r="G26" s="816" t="s">
        <v>458</v>
      </c>
      <c r="H26" s="817"/>
      <c r="I26" s="818"/>
      <c r="J26" s="816" t="s">
        <v>491</v>
      </c>
      <c r="K26" s="818"/>
      <c r="L26" s="807">
        <v>3</v>
      </c>
      <c r="M26" s="808"/>
      <c r="N26" s="807">
        <v>88</v>
      </c>
      <c r="O26" s="808"/>
      <c r="P26" s="807">
        <v>82</v>
      </c>
      <c r="Q26" s="808"/>
      <c r="R26" s="807">
        <v>170</v>
      </c>
      <c r="S26" s="808"/>
      <c r="T26" s="805">
        <v>3</v>
      </c>
      <c r="U26" s="806"/>
      <c r="V26" s="807">
        <v>81</v>
      </c>
      <c r="W26" s="814"/>
      <c r="X26" s="808"/>
      <c r="Y26" s="807">
        <v>85</v>
      </c>
      <c r="Z26" s="808"/>
      <c r="AA26" s="807">
        <v>166</v>
      </c>
      <c r="AB26" s="808"/>
      <c r="AC26" s="807">
        <v>3</v>
      </c>
      <c r="AD26" s="808"/>
      <c r="AE26" s="807">
        <v>77</v>
      </c>
      <c r="AF26" s="808"/>
      <c r="AG26" s="807">
        <v>77</v>
      </c>
      <c r="AH26" s="808"/>
      <c r="AI26" s="807">
        <v>154</v>
      </c>
      <c r="AJ26" s="808"/>
      <c r="AK26" s="807">
        <v>9</v>
      </c>
      <c r="AL26" s="808"/>
      <c r="AM26" s="807">
        <v>246</v>
      </c>
      <c r="AN26" s="808"/>
      <c r="AO26" s="807">
        <v>244</v>
      </c>
      <c r="AP26" s="814"/>
      <c r="AQ26" s="814"/>
      <c r="AR26" s="808"/>
      <c r="AS26" s="807">
        <v>490</v>
      </c>
      <c r="AT26" s="814"/>
      <c r="AU26" s="808"/>
      <c r="AV26" s="9">
        <v>3</v>
      </c>
      <c r="AW26" s="807">
        <v>88</v>
      </c>
      <c r="AX26" s="808"/>
      <c r="AY26" s="807">
        <v>50</v>
      </c>
      <c r="AZ26" s="808"/>
      <c r="BA26" s="15">
        <v>138</v>
      </c>
      <c r="BB26" s="805">
        <v>3</v>
      </c>
      <c r="BC26" s="806"/>
      <c r="BD26" s="807">
        <v>67</v>
      </c>
      <c r="BE26" s="808"/>
      <c r="BF26" s="807">
        <v>65</v>
      </c>
      <c r="BG26" s="814"/>
      <c r="BH26" s="808"/>
      <c r="BI26" s="807">
        <v>132</v>
      </c>
      <c r="BJ26" s="808"/>
      <c r="BK26" s="805">
        <v>3</v>
      </c>
      <c r="BL26" s="806"/>
      <c r="BM26" s="807">
        <v>28</v>
      </c>
      <c r="BN26" s="814"/>
      <c r="BO26" s="814"/>
      <c r="BP26" s="808"/>
      <c r="BQ26" s="15">
        <v>40</v>
      </c>
      <c r="BR26" s="807">
        <v>68</v>
      </c>
      <c r="BS26" s="808"/>
      <c r="BT26" s="807">
        <v>9</v>
      </c>
      <c r="BU26" s="808"/>
      <c r="BV26" s="807">
        <v>183</v>
      </c>
      <c r="BW26" s="814"/>
      <c r="BX26" s="808"/>
      <c r="BY26" s="807">
        <v>155</v>
      </c>
      <c r="BZ26" s="808"/>
      <c r="CA26" s="805">
        <v>338</v>
      </c>
      <c r="CB26" s="815"/>
      <c r="CC26" s="806"/>
      <c r="CD26" s="807">
        <v>18</v>
      </c>
      <c r="CE26" s="814"/>
      <c r="CF26" s="808"/>
      <c r="CG26" s="807">
        <v>429</v>
      </c>
      <c r="CH26" s="814"/>
      <c r="CI26" s="808"/>
      <c r="CJ26" s="805">
        <v>399</v>
      </c>
      <c r="CK26" s="815"/>
      <c r="CL26" s="806"/>
      <c r="CM26" s="811">
        <v>828</v>
      </c>
      <c r="CN26" s="812"/>
      <c r="CO26" s="813"/>
      <c r="CP26" s="805">
        <v>14</v>
      </c>
      <c r="CQ26" s="815"/>
      <c r="CR26" s="806"/>
      <c r="CS26" s="807">
        <v>10</v>
      </c>
      <c r="CT26" s="814"/>
      <c r="CU26" s="808"/>
      <c r="CV26" s="807">
        <v>24</v>
      </c>
      <c r="CW26" s="808"/>
      <c r="CX26" s="852" t="s">
        <v>35</v>
      </c>
      <c r="CY26" s="854"/>
      <c r="CZ26" s="854"/>
      <c r="DA26" s="853"/>
      <c r="DB26" s="298">
        <f t="shared" si="0"/>
        <v>90000</v>
      </c>
    </row>
    <row r="27" spans="1:106" ht="18.75">
      <c r="A27" s="297">
        <v>20</v>
      </c>
      <c r="B27" s="816" t="s">
        <v>492</v>
      </c>
      <c r="C27" s="817"/>
      <c r="D27" s="817"/>
      <c r="E27" s="817"/>
      <c r="F27" s="818"/>
      <c r="G27" s="816" t="s">
        <v>463</v>
      </c>
      <c r="H27" s="817"/>
      <c r="I27" s="818"/>
      <c r="J27" s="816" t="s">
        <v>493</v>
      </c>
      <c r="K27" s="818"/>
      <c r="L27" s="807">
        <v>4</v>
      </c>
      <c r="M27" s="808"/>
      <c r="N27" s="807">
        <v>135</v>
      </c>
      <c r="O27" s="808"/>
      <c r="P27" s="807">
        <v>145</v>
      </c>
      <c r="Q27" s="808"/>
      <c r="R27" s="807">
        <v>280</v>
      </c>
      <c r="S27" s="808"/>
      <c r="T27" s="805">
        <v>4</v>
      </c>
      <c r="U27" s="806"/>
      <c r="V27" s="807">
        <v>131</v>
      </c>
      <c r="W27" s="814"/>
      <c r="X27" s="808"/>
      <c r="Y27" s="807">
        <v>133</v>
      </c>
      <c r="Z27" s="808"/>
      <c r="AA27" s="807">
        <v>264</v>
      </c>
      <c r="AB27" s="808"/>
      <c r="AC27" s="807">
        <v>4</v>
      </c>
      <c r="AD27" s="808"/>
      <c r="AE27" s="807">
        <v>116</v>
      </c>
      <c r="AF27" s="808"/>
      <c r="AG27" s="807">
        <v>117</v>
      </c>
      <c r="AH27" s="808"/>
      <c r="AI27" s="807">
        <v>233</v>
      </c>
      <c r="AJ27" s="808"/>
      <c r="AK27" s="807">
        <v>12</v>
      </c>
      <c r="AL27" s="808"/>
      <c r="AM27" s="807">
        <v>382</v>
      </c>
      <c r="AN27" s="808"/>
      <c r="AO27" s="807">
        <v>395</v>
      </c>
      <c r="AP27" s="814"/>
      <c r="AQ27" s="814"/>
      <c r="AR27" s="808"/>
      <c r="AS27" s="807">
        <v>777</v>
      </c>
      <c r="AT27" s="814"/>
      <c r="AU27" s="808"/>
      <c r="AV27" s="9">
        <v>4</v>
      </c>
      <c r="AW27" s="807">
        <v>121</v>
      </c>
      <c r="AX27" s="808"/>
      <c r="AY27" s="807">
        <v>140</v>
      </c>
      <c r="AZ27" s="808"/>
      <c r="BA27" s="15">
        <v>261</v>
      </c>
      <c r="BB27" s="805">
        <v>4</v>
      </c>
      <c r="BC27" s="806"/>
      <c r="BD27" s="807">
        <v>129</v>
      </c>
      <c r="BE27" s="808"/>
      <c r="BF27" s="807">
        <v>144</v>
      </c>
      <c r="BG27" s="814"/>
      <c r="BH27" s="808"/>
      <c r="BI27" s="807">
        <v>273</v>
      </c>
      <c r="BJ27" s="808"/>
      <c r="BK27" s="805">
        <v>4</v>
      </c>
      <c r="BL27" s="806"/>
      <c r="BM27" s="807">
        <v>102</v>
      </c>
      <c r="BN27" s="814"/>
      <c r="BO27" s="814"/>
      <c r="BP27" s="808"/>
      <c r="BQ27" s="15">
        <v>97</v>
      </c>
      <c r="BR27" s="807">
        <v>199</v>
      </c>
      <c r="BS27" s="808"/>
      <c r="BT27" s="807">
        <v>12</v>
      </c>
      <c r="BU27" s="808"/>
      <c r="BV27" s="807">
        <v>352</v>
      </c>
      <c r="BW27" s="814"/>
      <c r="BX27" s="808"/>
      <c r="BY27" s="807">
        <v>381</v>
      </c>
      <c r="BZ27" s="808"/>
      <c r="CA27" s="805">
        <v>733</v>
      </c>
      <c r="CB27" s="815"/>
      <c r="CC27" s="806"/>
      <c r="CD27" s="807">
        <v>24</v>
      </c>
      <c r="CE27" s="814"/>
      <c r="CF27" s="808"/>
      <c r="CG27" s="807">
        <v>734</v>
      </c>
      <c r="CH27" s="814"/>
      <c r="CI27" s="808"/>
      <c r="CJ27" s="805">
        <v>776</v>
      </c>
      <c r="CK27" s="815"/>
      <c r="CL27" s="806"/>
      <c r="CM27" s="811">
        <v>1510</v>
      </c>
      <c r="CN27" s="812"/>
      <c r="CO27" s="813"/>
      <c r="CP27" s="805">
        <v>16</v>
      </c>
      <c r="CQ27" s="815"/>
      <c r="CR27" s="806"/>
      <c r="CS27" s="807">
        <v>11</v>
      </c>
      <c r="CT27" s="814"/>
      <c r="CU27" s="808"/>
      <c r="CV27" s="807">
        <v>27</v>
      </c>
      <c r="CW27" s="808"/>
      <c r="CX27" s="852" t="s">
        <v>35</v>
      </c>
      <c r="CY27" s="854"/>
      <c r="CZ27" s="854"/>
      <c r="DA27" s="853"/>
      <c r="DB27" s="298">
        <f t="shared" si="0"/>
        <v>150000</v>
      </c>
    </row>
    <row r="28" spans="1:106" ht="18.75">
      <c r="A28" s="297">
        <v>21</v>
      </c>
      <c r="B28" s="857" t="s">
        <v>494</v>
      </c>
      <c r="C28" s="904"/>
      <c r="D28" s="904"/>
      <c r="E28" s="904"/>
      <c r="F28" s="858"/>
      <c r="G28" s="816" t="s">
        <v>463</v>
      </c>
      <c r="H28" s="817"/>
      <c r="I28" s="818"/>
      <c r="J28" s="816" t="s">
        <v>461</v>
      </c>
      <c r="K28" s="818"/>
      <c r="L28" s="807">
        <v>2</v>
      </c>
      <c r="M28" s="808"/>
      <c r="N28" s="807">
        <v>80</v>
      </c>
      <c r="O28" s="808"/>
      <c r="P28" s="807">
        <v>92</v>
      </c>
      <c r="Q28" s="808"/>
      <c r="R28" s="807">
        <v>172</v>
      </c>
      <c r="S28" s="808"/>
      <c r="T28" s="805">
        <v>2</v>
      </c>
      <c r="U28" s="806"/>
      <c r="V28" s="807">
        <v>44</v>
      </c>
      <c r="W28" s="814"/>
      <c r="X28" s="808"/>
      <c r="Y28" s="807">
        <v>57</v>
      </c>
      <c r="Z28" s="808"/>
      <c r="AA28" s="807">
        <v>101</v>
      </c>
      <c r="AB28" s="808"/>
      <c r="AC28" s="807">
        <v>2</v>
      </c>
      <c r="AD28" s="808"/>
      <c r="AE28" s="807">
        <v>46</v>
      </c>
      <c r="AF28" s="808"/>
      <c r="AG28" s="807">
        <v>55</v>
      </c>
      <c r="AH28" s="808"/>
      <c r="AI28" s="807">
        <v>101</v>
      </c>
      <c r="AJ28" s="808"/>
      <c r="AK28" s="807">
        <v>6</v>
      </c>
      <c r="AL28" s="808"/>
      <c r="AM28" s="807">
        <v>170</v>
      </c>
      <c r="AN28" s="808"/>
      <c r="AO28" s="807">
        <v>204</v>
      </c>
      <c r="AP28" s="814"/>
      <c r="AQ28" s="814"/>
      <c r="AR28" s="808"/>
      <c r="AS28" s="807">
        <v>374</v>
      </c>
      <c r="AT28" s="814"/>
      <c r="AU28" s="808"/>
      <c r="AV28" s="9">
        <v>2</v>
      </c>
      <c r="AW28" s="807">
        <v>62</v>
      </c>
      <c r="AX28" s="808"/>
      <c r="AY28" s="807">
        <v>59</v>
      </c>
      <c r="AZ28" s="808"/>
      <c r="BA28" s="15">
        <v>121</v>
      </c>
      <c r="BB28" s="805">
        <v>1</v>
      </c>
      <c r="BC28" s="806"/>
      <c r="BD28" s="807">
        <v>51</v>
      </c>
      <c r="BE28" s="808"/>
      <c r="BF28" s="807">
        <v>40</v>
      </c>
      <c r="BG28" s="814"/>
      <c r="BH28" s="808"/>
      <c r="BI28" s="807">
        <v>91</v>
      </c>
      <c r="BJ28" s="808"/>
      <c r="BK28" s="805">
        <v>1</v>
      </c>
      <c r="BL28" s="806"/>
      <c r="BM28" s="807">
        <v>24</v>
      </c>
      <c r="BN28" s="814"/>
      <c r="BO28" s="814"/>
      <c r="BP28" s="808"/>
      <c r="BQ28" s="15">
        <v>21</v>
      </c>
      <c r="BR28" s="807">
        <v>45</v>
      </c>
      <c r="BS28" s="808"/>
      <c r="BT28" s="807">
        <v>4</v>
      </c>
      <c r="BU28" s="808"/>
      <c r="BV28" s="807">
        <v>137</v>
      </c>
      <c r="BW28" s="814"/>
      <c r="BX28" s="808"/>
      <c r="BY28" s="807">
        <v>120</v>
      </c>
      <c r="BZ28" s="808"/>
      <c r="CA28" s="805">
        <v>257</v>
      </c>
      <c r="CB28" s="815"/>
      <c r="CC28" s="806"/>
      <c r="CD28" s="807">
        <v>10</v>
      </c>
      <c r="CE28" s="814"/>
      <c r="CF28" s="808"/>
      <c r="CG28" s="807">
        <v>307</v>
      </c>
      <c r="CH28" s="814"/>
      <c r="CI28" s="808"/>
      <c r="CJ28" s="805">
        <v>324</v>
      </c>
      <c r="CK28" s="815"/>
      <c r="CL28" s="806"/>
      <c r="CM28" s="811">
        <v>631</v>
      </c>
      <c r="CN28" s="812"/>
      <c r="CO28" s="813"/>
      <c r="CP28" s="939">
        <v>8</v>
      </c>
      <c r="CQ28" s="940"/>
      <c r="CR28" s="941"/>
      <c r="CS28" s="807">
        <v>3</v>
      </c>
      <c r="CT28" s="814"/>
      <c r="CU28" s="808"/>
      <c r="CV28" s="807">
        <v>11</v>
      </c>
      <c r="CW28" s="808"/>
      <c r="CX28" s="852" t="s">
        <v>35</v>
      </c>
      <c r="CY28" s="854"/>
      <c r="CZ28" s="854"/>
      <c r="DA28" s="853"/>
      <c r="DB28" s="298">
        <f t="shared" si="0"/>
        <v>90000</v>
      </c>
    </row>
    <row r="29" spans="1:106" ht="18.75">
      <c r="A29" s="297">
        <v>22</v>
      </c>
      <c r="B29" s="857" t="s">
        <v>495</v>
      </c>
      <c r="C29" s="904"/>
      <c r="D29" s="904"/>
      <c r="E29" s="904"/>
      <c r="F29" s="858"/>
      <c r="G29" s="1080" t="s">
        <v>496</v>
      </c>
      <c r="H29" s="1096"/>
      <c r="I29" s="1081"/>
      <c r="J29" s="816" t="s">
        <v>461</v>
      </c>
      <c r="K29" s="818"/>
      <c r="L29" s="807">
        <v>3</v>
      </c>
      <c r="M29" s="808"/>
      <c r="N29" s="807">
        <v>79</v>
      </c>
      <c r="O29" s="808"/>
      <c r="P29" s="807">
        <v>90</v>
      </c>
      <c r="Q29" s="808"/>
      <c r="R29" s="807">
        <v>169</v>
      </c>
      <c r="S29" s="808"/>
      <c r="T29" s="805">
        <v>2</v>
      </c>
      <c r="U29" s="806"/>
      <c r="V29" s="807">
        <v>101</v>
      </c>
      <c r="W29" s="814"/>
      <c r="X29" s="808"/>
      <c r="Y29" s="807">
        <v>73</v>
      </c>
      <c r="Z29" s="808"/>
      <c r="AA29" s="807">
        <v>174</v>
      </c>
      <c r="AB29" s="808"/>
      <c r="AC29" s="807">
        <v>2</v>
      </c>
      <c r="AD29" s="808"/>
      <c r="AE29" s="807">
        <v>94</v>
      </c>
      <c r="AF29" s="808"/>
      <c r="AG29" s="807">
        <v>96</v>
      </c>
      <c r="AH29" s="808"/>
      <c r="AI29" s="807">
        <v>190</v>
      </c>
      <c r="AJ29" s="808"/>
      <c r="AK29" s="807">
        <v>7</v>
      </c>
      <c r="AL29" s="808"/>
      <c r="AM29" s="807">
        <v>274</v>
      </c>
      <c r="AN29" s="808"/>
      <c r="AO29" s="807">
        <v>259</v>
      </c>
      <c r="AP29" s="814"/>
      <c r="AQ29" s="814"/>
      <c r="AR29" s="808"/>
      <c r="AS29" s="807">
        <v>533</v>
      </c>
      <c r="AT29" s="814"/>
      <c r="AU29" s="808"/>
      <c r="AV29" s="9">
        <v>3</v>
      </c>
      <c r="AW29" s="807">
        <v>69</v>
      </c>
      <c r="AX29" s="808"/>
      <c r="AY29" s="807">
        <v>73</v>
      </c>
      <c r="AZ29" s="808"/>
      <c r="BA29" s="15">
        <v>142</v>
      </c>
      <c r="BB29" s="805">
        <v>2</v>
      </c>
      <c r="BC29" s="806"/>
      <c r="BD29" s="807">
        <v>56</v>
      </c>
      <c r="BE29" s="808"/>
      <c r="BF29" s="807">
        <v>71</v>
      </c>
      <c r="BG29" s="814"/>
      <c r="BH29" s="808"/>
      <c r="BI29" s="807">
        <v>127</v>
      </c>
      <c r="BJ29" s="808"/>
      <c r="BK29" s="805">
        <v>1</v>
      </c>
      <c r="BL29" s="806"/>
      <c r="BM29" s="807">
        <v>25</v>
      </c>
      <c r="BN29" s="814"/>
      <c r="BO29" s="814"/>
      <c r="BP29" s="808"/>
      <c r="BQ29" s="15">
        <v>34</v>
      </c>
      <c r="BR29" s="807">
        <v>59</v>
      </c>
      <c r="BS29" s="808"/>
      <c r="BT29" s="807">
        <v>6</v>
      </c>
      <c r="BU29" s="808"/>
      <c r="BV29" s="807">
        <v>150</v>
      </c>
      <c r="BW29" s="814"/>
      <c r="BX29" s="808"/>
      <c r="BY29" s="807">
        <v>178</v>
      </c>
      <c r="BZ29" s="808"/>
      <c r="CA29" s="805">
        <v>328</v>
      </c>
      <c r="CB29" s="815"/>
      <c r="CC29" s="806"/>
      <c r="CD29" s="807">
        <v>13</v>
      </c>
      <c r="CE29" s="814"/>
      <c r="CF29" s="808"/>
      <c r="CG29" s="807">
        <v>424</v>
      </c>
      <c r="CH29" s="814"/>
      <c r="CI29" s="808"/>
      <c r="CJ29" s="805">
        <v>437</v>
      </c>
      <c r="CK29" s="815"/>
      <c r="CL29" s="806"/>
      <c r="CM29" s="811">
        <v>861</v>
      </c>
      <c r="CN29" s="812"/>
      <c r="CO29" s="813"/>
      <c r="CP29" s="939">
        <v>9</v>
      </c>
      <c r="CQ29" s="940"/>
      <c r="CR29" s="941"/>
      <c r="CS29" s="807">
        <v>4</v>
      </c>
      <c r="CT29" s="814"/>
      <c r="CU29" s="808"/>
      <c r="CV29" s="807">
        <v>13</v>
      </c>
      <c r="CW29" s="808"/>
      <c r="CX29" s="852" t="s">
        <v>35</v>
      </c>
      <c r="CY29" s="854"/>
      <c r="CZ29" s="854"/>
      <c r="DA29" s="853"/>
      <c r="DB29" s="298">
        <f t="shared" si="0"/>
        <v>90000</v>
      </c>
    </row>
    <row r="30" spans="1:106" ht="18.75">
      <c r="A30" s="299"/>
      <c r="B30" s="1786" t="s">
        <v>501</v>
      </c>
      <c r="C30" s="1787"/>
      <c r="D30" s="1787"/>
      <c r="E30" s="1787"/>
      <c r="F30" s="1788"/>
      <c r="G30" s="1117"/>
      <c r="H30" s="1118"/>
      <c r="I30" s="1119"/>
      <c r="J30" s="1117"/>
      <c r="K30" s="1119"/>
      <c r="L30" s="809">
        <v>53</v>
      </c>
      <c r="M30" s="1113"/>
      <c r="N30" s="809">
        <v>1937</v>
      </c>
      <c r="O30" s="1113"/>
      <c r="P30" s="809">
        <v>1863</v>
      </c>
      <c r="Q30" s="1113"/>
      <c r="R30" s="809">
        <v>3800</v>
      </c>
      <c r="S30" s="1113"/>
      <c r="T30" s="1111">
        <v>50</v>
      </c>
      <c r="U30" s="1112"/>
      <c r="V30" s="809">
        <v>1898</v>
      </c>
      <c r="W30" s="810"/>
      <c r="X30" s="1113"/>
      <c r="Y30" s="809">
        <v>1687</v>
      </c>
      <c r="Z30" s="1113"/>
      <c r="AA30" s="809">
        <v>3585</v>
      </c>
      <c r="AB30" s="1113"/>
      <c r="AC30" s="809">
        <v>47</v>
      </c>
      <c r="AD30" s="1113"/>
      <c r="AE30" s="809">
        <v>1632</v>
      </c>
      <c r="AF30" s="1113"/>
      <c r="AG30" s="809">
        <v>1480</v>
      </c>
      <c r="AH30" s="1113"/>
      <c r="AI30" s="809">
        <v>3112</v>
      </c>
      <c r="AJ30" s="1113"/>
      <c r="AK30" s="809">
        <v>150</v>
      </c>
      <c r="AL30" s="1113"/>
      <c r="AM30" s="809">
        <v>5467</v>
      </c>
      <c r="AN30" s="1113"/>
      <c r="AO30" s="809">
        <v>5030</v>
      </c>
      <c r="AP30" s="810"/>
      <c r="AQ30" s="810"/>
      <c r="AR30" s="1113"/>
      <c r="AS30" s="809">
        <v>10497</v>
      </c>
      <c r="AT30" s="810"/>
      <c r="AU30" s="1113"/>
      <c r="AV30" s="44">
        <v>42</v>
      </c>
      <c r="AW30" s="809">
        <v>1442</v>
      </c>
      <c r="AX30" s="1113"/>
      <c r="AY30" s="809">
        <v>1335</v>
      </c>
      <c r="AZ30" s="1113"/>
      <c r="BA30" s="60">
        <v>2777</v>
      </c>
      <c r="BB30" s="1111">
        <v>39</v>
      </c>
      <c r="BC30" s="1112"/>
      <c r="BD30" s="809">
        <v>1381</v>
      </c>
      <c r="BE30" s="1113"/>
      <c r="BF30" s="809">
        <v>1316</v>
      </c>
      <c r="BG30" s="810"/>
      <c r="BH30" s="1113"/>
      <c r="BI30" s="809">
        <v>2697</v>
      </c>
      <c r="BJ30" s="1113"/>
      <c r="BK30" s="1111">
        <v>38</v>
      </c>
      <c r="BL30" s="1112"/>
      <c r="BM30" s="809">
        <v>919</v>
      </c>
      <c r="BN30" s="810"/>
      <c r="BO30" s="810"/>
      <c r="BP30" s="1113"/>
      <c r="BQ30" s="60">
        <v>917</v>
      </c>
      <c r="BR30" s="809">
        <v>1836</v>
      </c>
      <c r="BS30" s="1113"/>
      <c r="BT30" s="809">
        <v>119</v>
      </c>
      <c r="BU30" s="1113"/>
      <c r="BV30" s="809">
        <v>3742</v>
      </c>
      <c r="BW30" s="810"/>
      <c r="BX30" s="1113"/>
      <c r="BY30" s="809">
        <v>3568</v>
      </c>
      <c r="BZ30" s="1113"/>
      <c r="CA30" s="1111">
        <v>7310</v>
      </c>
      <c r="CB30" s="1114"/>
      <c r="CC30" s="1112"/>
      <c r="CD30" s="809">
        <v>269</v>
      </c>
      <c r="CE30" s="810"/>
      <c r="CF30" s="1113"/>
      <c r="CG30" s="809">
        <v>9209</v>
      </c>
      <c r="CH30" s="810"/>
      <c r="CI30" s="1113"/>
      <c r="CJ30" s="1111">
        <v>8598</v>
      </c>
      <c r="CK30" s="1114"/>
      <c r="CL30" s="1112"/>
      <c r="CM30" s="1115">
        <v>17807</v>
      </c>
      <c r="CN30" s="1789"/>
      <c r="CO30" s="1116"/>
      <c r="CP30" s="805">
        <v>213</v>
      </c>
      <c r="CQ30" s="815"/>
      <c r="CR30" s="806"/>
      <c r="CS30" s="807">
        <v>104</v>
      </c>
      <c r="CT30" s="814"/>
      <c r="CU30" s="808"/>
      <c r="CV30" s="807">
        <v>317</v>
      </c>
      <c r="CW30" s="808"/>
      <c r="CX30" s="809">
        <v>22</v>
      </c>
      <c r="CY30" s="810"/>
      <c r="CZ30" s="810"/>
      <c r="DA30" s="810"/>
      <c r="DB30" s="298">
        <f>SUM(DB8:DB29)</f>
        <v>2280000</v>
      </c>
    </row>
    <row r="31" spans="1:106" ht="20.25">
      <c r="A31" s="1746" t="s">
        <v>497</v>
      </c>
      <c r="B31" s="1747"/>
      <c r="C31" s="1747"/>
      <c r="D31" s="1747"/>
      <c r="E31" s="1747"/>
      <c r="F31" s="1747"/>
      <c r="G31" s="1747"/>
      <c r="H31" s="1747"/>
      <c r="I31" s="1747"/>
      <c r="J31" s="1747"/>
      <c r="K31" s="1747"/>
      <c r="L31" s="1747"/>
      <c r="M31" s="1747"/>
      <c r="N31" s="1747"/>
      <c r="O31" s="1747"/>
      <c r="P31" s="1747"/>
      <c r="Q31" s="1747"/>
      <c r="R31" s="1747"/>
      <c r="S31" s="1747"/>
      <c r="T31" s="1747"/>
      <c r="U31" s="1747"/>
      <c r="V31" s="1747"/>
      <c r="W31" s="1747"/>
      <c r="X31" s="1747"/>
      <c r="Y31" s="1747"/>
      <c r="Z31" s="1747"/>
      <c r="AA31" s="1747"/>
      <c r="AB31" s="1747"/>
      <c r="AC31" s="1747"/>
      <c r="AD31" s="1747"/>
      <c r="AE31" s="1747"/>
      <c r="AF31" s="1747"/>
      <c r="AG31" s="1747"/>
      <c r="AH31" s="1747"/>
      <c r="AI31" s="1747"/>
      <c r="AJ31" s="1747"/>
      <c r="AK31" s="1747"/>
      <c r="AL31" s="1747"/>
      <c r="AM31" s="1747"/>
      <c r="AN31" s="1747"/>
      <c r="AO31" s="1747"/>
      <c r="AP31" s="1747"/>
      <c r="AQ31" s="1747"/>
      <c r="AR31" s="1747"/>
      <c r="AS31" s="1747"/>
      <c r="AT31" s="1747"/>
      <c r="AU31" s="1747"/>
      <c r="AV31" s="1747"/>
      <c r="AW31" s="1747"/>
      <c r="AX31" s="1747"/>
      <c r="AY31" s="1747"/>
      <c r="AZ31" s="1747"/>
      <c r="BA31" s="1747"/>
      <c r="BB31" s="1747"/>
      <c r="BC31" s="1747"/>
      <c r="BD31" s="1747"/>
      <c r="BE31" s="1747"/>
      <c r="BF31" s="1747"/>
      <c r="BG31" s="1747"/>
      <c r="BH31" s="1747"/>
      <c r="BI31" s="1747"/>
      <c r="BJ31" s="1747"/>
      <c r="BK31" s="1747"/>
      <c r="BL31" s="1747"/>
      <c r="BM31" s="1747"/>
      <c r="BN31" s="1747"/>
      <c r="BO31" s="1747"/>
      <c r="BP31" s="1747"/>
      <c r="BQ31" s="1747"/>
      <c r="BR31" s="1747"/>
      <c r="BS31" s="1747"/>
      <c r="BT31" s="1747"/>
      <c r="BU31" s="1747"/>
      <c r="BV31" s="1747"/>
      <c r="BW31" s="1747"/>
      <c r="BX31" s="1747"/>
      <c r="BY31" s="1747"/>
      <c r="BZ31" s="1747"/>
      <c r="CA31" s="1747"/>
      <c r="CB31" s="1747"/>
      <c r="CC31" s="1747"/>
      <c r="CD31" s="1747"/>
      <c r="CE31" s="1747"/>
      <c r="CF31" s="1747"/>
      <c r="CG31" s="1747"/>
      <c r="CH31" s="1747"/>
      <c r="CI31" s="1747"/>
      <c r="CJ31" s="1747"/>
      <c r="CK31" s="1747"/>
      <c r="CL31" s="1747"/>
      <c r="CM31" s="1747"/>
      <c r="CN31" s="1747"/>
      <c r="CO31" s="1748"/>
      <c r="CP31" s="71"/>
      <c r="CQ31" s="51"/>
      <c r="CR31" s="51"/>
      <c r="CS31" s="51"/>
      <c r="CT31" s="51"/>
      <c r="CU31" s="51"/>
      <c r="CV31" s="2">
        <f>CK30*20</f>
        <v>0</v>
      </c>
      <c r="DB31" s="298">
        <f>CM30*20</f>
        <v>356140</v>
      </c>
    </row>
    <row r="32" spans="1:106" ht="26.25" thickBot="1">
      <c r="A32" s="1749" t="s">
        <v>524</v>
      </c>
      <c r="B32" s="1750"/>
      <c r="C32" s="1750"/>
      <c r="D32" s="1750"/>
      <c r="E32" s="1750"/>
      <c r="F32" s="1750"/>
      <c r="G32" s="1750"/>
      <c r="H32" s="1750"/>
      <c r="I32" s="1750"/>
      <c r="J32" s="1750"/>
      <c r="K32" s="1750"/>
      <c r="L32" s="1750"/>
      <c r="M32" s="1750"/>
      <c r="N32" s="1750"/>
      <c r="O32" s="1750"/>
      <c r="P32" s="1750"/>
      <c r="Q32" s="1750"/>
      <c r="R32" s="1750"/>
      <c r="S32" s="1750"/>
      <c r="T32" s="1750"/>
      <c r="U32" s="1750"/>
      <c r="V32" s="1750"/>
      <c r="W32" s="1750"/>
      <c r="X32" s="1750"/>
      <c r="Y32" s="1750"/>
      <c r="Z32" s="1750"/>
      <c r="AA32" s="1750"/>
      <c r="AB32" s="1750"/>
      <c r="AC32" s="1750"/>
      <c r="AD32" s="1750"/>
      <c r="AE32" s="1750"/>
      <c r="AF32" s="1750"/>
      <c r="AG32" s="1750"/>
      <c r="AH32" s="1750"/>
      <c r="AI32" s="1750"/>
      <c r="AJ32" s="1750"/>
      <c r="AK32" s="1750"/>
      <c r="AL32" s="1750"/>
      <c r="AM32" s="1750"/>
      <c r="AN32" s="1750"/>
      <c r="AO32" s="1750"/>
      <c r="AP32" s="1750"/>
      <c r="AQ32" s="1750"/>
      <c r="AR32" s="1750"/>
      <c r="AS32" s="1750"/>
      <c r="AT32" s="1750"/>
      <c r="AU32" s="1750"/>
      <c r="AV32" s="1750"/>
      <c r="AW32" s="1750"/>
      <c r="AX32" s="1750"/>
      <c r="AY32" s="1750"/>
      <c r="AZ32" s="1750"/>
      <c r="BA32" s="1750"/>
      <c r="BB32" s="1750"/>
      <c r="BC32" s="1750"/>
      <c r="BD32" s="1750"/>
      <c r="BE32" s="1750"/>
      <c r="BF32" s="1750"/>
      <c r="BG32" s="1750"/>
      <c r="BH32" s="1750"/>
      <c r="BI32" s="1750"/>
      <c r="BJ32" s="1750"/>
      <c r="BK32" s="1750"/>
      <c r="BL32" s="1750"/>
      <c r="BM32" s="1750"/>
      <c r="BN32" s="1750"/>
      <c r="BO32" s="1750"/>
      <c r="BP32" s="1750"/>
      <c r="BQ32" s="1750"/>
      <c r="BR32" s="1750"/>
      <c r="BS32" s="1750"/>
      <c r="BT32" s="1750"/>
      <c r="BU32" s="1750"/>
      <c r="BV32" s="1750"/>
      <c r="BW32" s="1750"/>
      <c r="BX32" s="1750"/>
      <c r="BY32" s="1750"/>
      <c r="BZ32" s="1750"/>
      <c r="CA32" s="1750"/>
      <c r="CB32" s="1750"/>
      <c r="CC32" s="1750"/>
      <c r="CD32" s="1750"/>
      <c r="CE32" s="1750"/>
      <c r="CF32" s="1750"/>
      <c r="CG32" s="1750"/>
      <c r="CH32" s="1750"/>
      <c r="CI32" s="1750"/>
      <c r="CJ32" s="1750"/>
      <c r="CK32" s="1750"/>
      <c r="CL32" s="1750"/>
      <c r="CM32" s="1750"/>
      <c r="CN32" s="1750"/>
      <c r="CO32" s="1751"/>
      <c r="CP32" s="250"/>
      <c r="CQ32" s="250"/>
      <c r="CR32" s="250"/>
      <c r="CS32" s="250"/>
      <c r="CT32" s="250"/>
      <c r="CU32" s="250"/>
      <c r="CV32" s="300">
        <f>CV30+CV31</f>
        <v>317</v>
      </c>
      <c r="CW32" s="257"/>
      <c r="CX32" s="257"/>
      <c r="CY32" s="257"/>
      <c r="CZ32" s="257"/>
      <c r="DA32" s="257"/>
      <c r="DB32" s="301">
        <f>DB30+DB31</f>
        <v>2636140</v>
      </c>
    </row>
    <row r="33" spans="88:89" ht="24" customHeight="1">
      <c r="CJ33" s="4">
        <f>COUNTIF(CM8:CO30, "&lt;1000")</f>
        <v>17</v>
      </c>
      <c r="CK33" s="4">
        <f>COUNTIF(CM8:CO29, "&gt;1000")</f>
        <v>5</v>
      </c>
    </row>
  </sheetData>
  <mergeCells count="995">
    <mergeCell ref="CV30:CW30"/>
    <mergeCell ref="CX30:DA30"/>
    <mergeCell ref="CD30:CF30"/>
    <mergeCell ref="CG30:CI30"/>
    <mergeCell ref="CJ30:CL30"/>
    <mergeCell ref="CM30:CO30"/>
    <mergeCell ref="CP30:CR30"/>
    <mergeCell ref="CS30:CU30"/>
    <mergeCell ref="BM30:BP30"/>
    <mergeCell ref="BR30:BS30"/>
    <mergeCell ref="BT30:BU30"/>
    <mergeCell ref="BV30:BX30"/>
    <mergeCell ref="BY30:BZ30"/>
    <mergeCell ref="CA30:CC30"/>
    <mergeCell ref="AY30:AZ30"/>
    <mergeCell ref="BB30:BC30"/>
    <mergeCell ref="BD30:BE30"/>
    <mergeCell ref="BF30:BH30"/>
    <mergeCell ref="BI30:BJ30"/>
    <mergeCell ref="BK30:BL30"/>
    <mergeCell ref="AI30:AJ30"/>
    <mergeCell ref="AK30:AL30"/>
    <mergeCell ref="AM30:AN30"/>
    <mergeCell ref="AO30:AR30"/>
    <mergeCell ref="AS30:AU30"/>
    <mergeCell ref="AW30:AX30"/>
    <mergeCell ref="V30:X30"/>
    <mergeCell ref="Y30:Z30"/>
    <mergeCell ref="AA30:AB30"/>
    <mergeCell ref="AC30:AD30"/>
    <mergeCell ref="AE30:AF30"/>
    <mergeCell ref="AG30:AH30"/>
    <mergeCell ref="CV29:CW29"/>
    <mergeCell ref="CX29:DA29"/>
    <mergeCell ref="B30:F30"/>
    <mergeCell ref="G30:I30"/>
    <mergeCell ref="J30:K30"/>
    <mergeCell ref="L30:M30"/>
    <mergeCell ref="N30:O30"/>
    <mergeCell ref="P30:Q30"/>
    <mergeCell ref="R30:S30"/>
    <mergeCell ref="T30:U30"/>
    <mergeCell ref="CD29:CF29"/>
    <mergeCell ref="CG29:CI29"/>
    <mergeCell ref="CJ29:CL29"/>
    <mergeCell ref="CM29:CO29"/>
    <mergeCell ref="CP29:CR29"/>
    <mergeCell ref="CS29:CU29"/>
    <mergeCell ref="BM29:BP29"/>
    <mergeCell ref="BR29:BS29"/>
    <mergeCell ref="BT29:BU29"/>
    <mergeCell ref="BV29:BX29"/>
    <mergeCell ref="BY29:BZ29"/>
    <mergeCell ref="CA29:CC29"/>
    <mergeCell ref="AY29:AZ29"/>
    <mergeCell ref="BB29:BC29"/>
    <mergeCell ref="BD29:BE29"/>
    <mergeCell ref="BF29:BH29"/>
    <mergeCell ref="BI29:BJ29"/>
    <mergeCell ref="BK29:BL29"/>
    <mergeCell ref="AI29:AJ29"/>
    <mergeCell ref="AK29:AL29"/>
    <mergeCell ref="AM29:AN29"/>
    <mergeCell ref="AO29:AR29"/>
    <mergeCell ref="AS29:AU29"/>
    <mergeCell ref="AW29:AX29"/>
    <mergeCell ref="V29:X29"/>
    <mergeCell ref="Y29:Z29"/>
    <mergeCell ref="AA29:AB29"/>
    <mergeCell ref="AC29:AD29"/>
    <mergeCell ref="AE29:AF29"/>
    <mergeCell ref="AG29:AH29"/>
    <mergeCell ref="CV28:CW28"/>
    <mergeCell ref="CX28:DA28"/>
    <mergeCell ref="B29:F29"/>
    <mergeCell ref="G29:I29"/>
    <mergeCell ref="J29:K29"/>
    <mergeCell ref="L29:M29"/>
    <mergeCell ref="N29:O29"/>
    <mergeCell ref="P29:Q29"/>
    <mergeCell ref="R29:S29"/>
    <mergeCell ref="T29:U29"/>
    <mergeCell ref="CD28:CF28"/>
    <mergeCell ref="CG28:CI28"/>
    <mergeCell ref="CJ28:CL28"/>
    <mergeCell ref="CM28:CO28"/>
    <mergeCell ref="CP28:CR28"/>
    <mergeCell ref="CS28:CU28"/>
    <mergeCell ref="BM28:BP28"/>
    <mergeCell ref="BR28:BS28"/>
    <mergeCell ref="BT28:BU28"/>
    <mergeCell ref="BV28:BX28"/>
    <mergeCell ref="BY28:BZ28"/>
    <mergeCell ref="CA28:CC28"/>
    <mergeCell ref="AY28:AZ28"/>
    <mergeCell ref="BB28:BC28"/>
    <mergeCell ref="BD28:BE28"/>
    <mergeCell ref="BF28:BH28"/>
    <mergeCell ref="BI28:BJ28"/>
    <mergeCell ref="BK28:BL28"/>
    <mergeCell ref="AI28:AJ28"/>
    <mergeCell ref="AK28:AL28"/>
    <mergeCell ref="AM28:AN28"/>
    <mergeCell ref="AO28:AR28"/>
    <mergeCell ref="AS28:AU28"/>
    <mergeCell ref="AW28:AX28"/>
    <mergeCell ref="V28:X28"/>
    <mergeCell ref="Y28:Z28"/>
    <mergeCell ref="AA28:AB28"/>
    <mergeCell ref="AC28:AD28"/>
    <mergeCell ref="AE28:AF28"/>
    <mergeCell ref="AG28:AH28"/>
    <mergeCell ref="CV27:CW27"/>
    <mergeCell ref="CX27:DA27"/>
    <mergeCell ref="B28:F28"/>
    <mergeCell ref="G28:I28"/>
    <mergeCell ref="J28:K28"/>
    <mergeCell ref="L28:M28"/>
    <mergeCell ref="N28:O28"/>
    <mergeCell ref="P28:Q28"/>
    <mergeCell ref="R28:S28"/>
    <mergeCell ref="T28:U28"/>
    <mergeCell ref="CD27:CF27"/>
    <mergeCell ref="CG27:CI27"/>
    <mergeCell ref="CJ27:CL27"/>
    <mergeCell ref="CM27:CO27"/>
    <mergeCell ref="CP27:CR27"/>
    <mergeCell ref="CS27:CU27"/>
    <mergeCell ref="BM27:BP27"/>
    <mergeCell ref="BR27:BS27"/>
    <mergeCell ref="BT27:BU27"/>
    <mergeCell ref="BV27:BX27"/>
    <mergeCell ref="BY27:BZ27"/>
    <mergeCell ref="CA27:CC27"/>
    <mergeCell ref="AY27:AZ27"/>
    <mergeCell ref="BB27:BC27"/>
    <mergeCell ref="BD27:BE27"/>
    <mergeCell ref="BF27:BH27"/>
    <mergeCell ref="BI27:BJ27"/>
    <mergeCell ref="BK27:BL27"/>
    <mergeCell ref="AI27:AJ27"/>
    <mergeCell ref="AK27:AL27"/>
    <mergeCell ref="AM27:AN27"/>
    <mergeCell ref="AO27:AR27"/>
    <mergeCell ref="AS27:AU27"/>
    <mergeCell ref="AW27:AX27"/>
    <mergeCell ref="V27:X27"/>
    <mergeCell ref="Y27:Z27"/>
    <mergeCell ref="AA27:AB27"/>
    <mergeCell ref="AC27:AD27"/>
    <mergeCell ref="AE27:AF27"/>
    <mergeCell ref="AG27:AH27"/>
    <mergeCell ref="CV26:CW26"/>
    <mergeCell ref="CX26:DA26"/>
    <mergeCell ref="B27:F27"/>
    <mergeCell ref="G27:I27"/>
    <mergeCell ref="J27:K27"/>
    <mergeCell ref="L27:M27"/>
    <mergeCell ref="N27:O27"/>
    <mergeCell ref="P27:Q27"/>
    <mergeCell ref="R27:S27"/>
    <mergeCell ref="T27:U27"/>
    <mergeCell ref="CD26:CF26"/>
    <mergeCell ref="CG26:CI26"/>
    <mergeCell ref="CJ26:CL26"/>
    <mergeCell ref="CM26:CO26"/>
    <mergeCell ref="CP26:CR26"/>
    <mergeCell ref="CS26:CU26"/>
    <mergeCell ref="BM26:BP26"/>
    <mergeCell ref="BR26:BS26"/>
    <mergeCell ref="BT26:BU26"/>
    <mergeCell ref="BV26:BX26"/>
    <mergeCell ref="BY26:BZ26"/>
    <mergeCell ref="CA26:CC26"/>
    <mergeCell ref="AY26:AZ26"/>
    <mergeCell ref="BB26:BC26"/>
    <mergeCell ref="BD26:BE26"/>
    <mergeCell ref="BF26:BH26"/>
    <mergeCell ref="BI26:BJ26"/>
    <mergeCell ref="BK26:BL26"/>
    <mergeCell ref="AI26:AJ26"/>
    <mergeCell ref="AK26:AL26"/>
    <mergeCell ref="AM26:AN26"/>
    <mergeCell ref="AO26:AR26"/>
    <mergeCell ref="AS26:AU26"/>
    <mergeCell ref="AW26:AX26"/>
    <mergeCell ref="V26:X26"/>
    <mergeCell ref="Y26:Z26"/>
    <mergeCell ref="AA26:AB26"/>
    <mergeCell ref="AC26:AD26"/>
    <mergeCell ref="AE26:AF26"/>
    <mergeCell ref="AG26:AH26"/>
    <mergeCell ref="CV25:CW25"/>
    <mergeCell ref="CX25:DA25"/>
    <mergeCell ref="B26:F26"/>
    <mergeCell ref="G26:I26"/>
    <mergeCell ref="J26:K26"/>
    <mergeCell ref="L26:M26"/>
    <mergeCell ref="N26:O26"/>
    <mergeCell ref="P26:Q26"/>
    <mergeCell ref="R26:S26"/>
    <mergeCell ref="T26:U26"/>
    <mergeCell ref="CD25:CF25"/>
    <mergeCell ref="CG25:CI25"/>
    <mergeCell ref="CJ25:CL25"/>
    <mergeCell ref="CM25:CO25"/>
    <mergeCell ref="CP25:CR25"/>
    <mergeCell ref="CS25:CU25"/>
    <mergeCell ref="BM25:BP25"/>
    <mergeCell ref="BR25:BS25"/>
    <mergeCell ref="BT25:BU25"/>
    <mergeCell ref="BV25:BX25"/>
    <mergeCell ref="BY25:BZ25"/>
    <mergeCell ref="CA25:CC25"/>
    <mergeCell ref="AY25:AZ25"/>
    <mergeCell ref="BB25:BC25"/>
    <mergeCell ref="BD25:BE25"/>
    <mergeCell ref="BF25:BH25"/>
    <mergeCell ref="BI25:BJ25"/>
    <mergeCell ref="BK25:BL25"/>
    <mergeCell ref="AI25:AJ25"/>
    <mergeCell ref="AK25:AL25"/>
    <mergeCell ref="AM25:AN25"/>
    <mergeCell ref="AO25:AR25"/>
    <mergeCell ref="AS25:AU25"/>
    <mergeCell ref="AW25:AX25"/>
    <mergeCell ref="V25:X25"/>
    <mergeCell ref="Y25:Z25"/>
    <mergeCell ref="AA25:AB25"/>
    <mergeCell ref="AC25:AD25"/>
    <mergeCell ref="AE25:AF25"/>
    <mergeCell ref="AG25:AH25"/>
    <mergeCell ref="CV24:CW24"/>
    <mergeCell ref="CX24:DA24"/>
    <mergeCell ref="B25:F25"/>
    <mergeCell ref="G25:I25"/>
    <mergeCell ref="J25:K25"/>
    <mergeCell ref="L25:M25"/>
    <mergeCell ref="N25:O25"/>
    <mergeCell ref="P25:Q25"/>
    <mergeCell ref="R25:S25"/>
    <mergeCell ref="T25:U25"/>
    <mergeCell ref="CD24:CF24"/>
    <mergeCell ref="CG24:CI24"/>
    <mergeCell ref="CJ24:CL24"/>
    <mergeCell ref="CM24:CO24"/>
    <mergeCell ref="CP24:CR24"/>
    <mergeCell ref="CS24:CU24"/>
    <mergeCell ref="BM24:BP24"/>
    <mergeCell ref="BR24:BS24"/>
    <mergeCell ref="BT24:BU24"/>
    <mergeCell ref="BV24:BX24"/>
    <mergeCell ref="BY24:BZ24"/>
    <mergeCell ref="CA24:CC24"/>
    <mergeCell ref="AY24:AZ24"/>
    <mergeCell ref="BB24:BC24"/>
    <mergeCell ref="BD24:BE24"/>
    <mergeCell ref="BF24:BH24"/>
    <mergeCell ref="BI24:BJ24"/>
    <mergeCell ref="BK24:BL24"/>
    <mergeCell ref="AI24:AJ24"/>
    <mergeCell ref="AK24:AL24"/>
    <mergeCell ref="AM24:AN24"/>
    <mergeCell ref="AO24:AR24"/>
    <mergeCell ref="AS24:AU24"/>
    <mergeCell ref="AW24:AX24"/>
    <mergeCell ref="V24:X24"/>
    <mergeCell ref="Y24:Z24"/>
    <mergeCell ref="AA24:AB24"/>
    <mergeCell ref="AC24:AD24"/>
    <mergeCell ref="AE24:AF24"/>
    <mergeCell ref="AG24:AH24"/>
    <mergeCell ref="CV23:CW23"/>
    <mergeCell ref="CX23:DA23"/>
    <mergeCell ref="B24:F24"/>
    <mergeCell ref="G24:I24"/>
    <mergeCell ref="J24:K24"/>
    <mergeCell ref="L24:M24"/>
    <mergeCell ref="N24:O24"/>
    <mergeCell ref="P24:Q24"/>
    <mergeCell ref="R24:S24"/>
    <mergeCell ref="T24:U24"/>
    <mergeCell ref="CD23:CF23"/>
    <mergeCell ref="CG23:CI23"/>
    <mergeCell ref="CJ23:CL23"/>
    <mergeCell ref="CM23:CO23"/>
    <mergeCell ref="CP23:CR23"/>
    <mergeCell ref="CS23:CU23"/>
    <mergeCell ref="BM23:BP23"/>
    <mergeCell ref="BR23:BS23"/>
    <mergeCell ref="BT23:BU23"/>
    <mergeCell ref="BV23:BX23"/>
    <mergeCell ref="BY23:BZ23"/>
    <mergeCell ref="CA23:CC23"/>
    <mergeCell ref="AY23:AZ23"/>
    <mergeCell ref="BB23:BC23"/>
    <mergeCell ref="BD23:BE23"/>
    <mergeCell ref="BF23:BH23"/>
    <mergeCell ref="BI23:BJ23"/>
    <mergeCell ref="BK23:BL23"/>
    <mergeCell ref="AI23:AJ23"/>
    <mergeCell ref="AK23:AL23"/>
    <mergeCell ref="AM23:AN23"/>
    <mergeCell ref="AO23:AR23"/>
    <mergeCell ref="AS23:AU23"/>
    <mergeCell ref="AW23:AX23"/>
    <mergeCell ref="V23:X23"/>
    <mergeCell ref="Y23:Z23"/>
    <mergeCell ref="AA23:AB23"/>
    <mergeCell ref="AC23:AD23"/>
    <mergeCell ref="AE23:AF23"/>
    <mergeCell ref="AG23:AH23"/>
    <mergeCell ref="CV22:CW22"/>
    <mergeCell ref="CX22:DA22"/>
    <mergeCell ref="B23:F23"/>
    <mergeCell ref="G23:I23"/>
    <mergeCell ref="J23:K23"/>
    <mergeCell ref="L23:M23"/>
    <mergeCell ref="N23:O23"/>
    <mergeCell ref="P23:Q23"/>
    <mergeCell ref="R23:S23"/>
    <mergeCell ref="T23:U23"/>
    <mergeCell ref="CD22:CF22"/>
    <mergeCell ref="CG22:CI22"/>
    <mergeCell ref="CJ22:CL22"/>
    <mergeCell ref="CM22:CO22"/>
    <mergeCell ref="CP22:CR22"/>
    <mergeCell ref="CS22:CU22"/>
    <mergeCell ref="BM22:BP22"/>
    <mergeCell ref="BR22:BS22"/>
    <mergeCell ref="BT22:BU22"/>
    <mergeCell ref="BV22:BX22"/>
    <mergeCell ref="BY22:BZ22"/>
    <mergeCell ref="CA22:CC22"/>
    <mergeCell ref="AY22:AZ22"/>
    <mergeCell ref="BB22:BC22"/>
    <mergeCell ref="BD22:BE22"/>
    <mergeCell ref="BF22:BH22"/>
    <mergeCell ref="BI22:BJ22"/>
    <mergeCell ref="BK22:BL22"/>
    <mergeCell ref="AI22:AJ22"/>
    <mergeCell ref="AK22:AL22"/>
    <mergeCell ref="AM22:AN22"/>
    <mergeCell ref="AO22:AR22"/>
    <mergeCell ref="AS22:AU22"/>
    <mergeCell ref="AW22:AX22"/>
    <mergeCell ref="V22:X22"/>
    <mergeCell ref="Y22:Z22"/>
    <mergeCell ref="AA22:AB22"/>
    <mergeCell ref="AC22:AD22"/>
    <mergeCell ref="AE22:AF22"/>
    <mergeCell ref="AG22:AH22"/>
    <mergeCell ref="CV21:CW21"/>
    <mergeCell ref="CX21:DA21"/>
    <mergeCell ref="B22:F22"/>
    <mergeCell ref="G22:I22"/>
    <mergeCell ref="J22:K22"/>
    <mergeCell ref="L22:M22"/>
    <mergeCell ref="N22:O22"/>
    <mergeCell ref="P22:Q22"/>
    <mergeCell ref="R22:S22"/>
    <mergeCell ref="T22:U22"/>
    <mergeCell ref="CD21:CF21"/>
    <mergeCell ref="CG21:CI21"/>
    <mergeCell ref="CJ21:CL21"/>
    <mergeCell ref="CM21:CO21"/>
    <mergeCell ref="CP21:CR21"/>
    <mergeCell ref="CS21:CU21"/>
    <mergeCell ref="BM21:BP21"/>
    <mergeCell ref="BR21:BS21"/>
    <mergeCell ref="BT21:BU21"/>
    <mergeCell ref="BV21:BX21"/>
    <mergeCell ref="BY21:BZ21"/>
    <mergeCell ref="CA21:CC21"/>
    <mergeCell ref="AY21:AZ21"/>
    <mergeCell ref="BB21:BC21"/>
    <mergeCell ref="BD21:BE21"/>
    <mergeCell ref="BF21:BH21"/>
    <mergeCell ref="BI21:BJ21"/>
    <mergeCell ref="BK21:BL21"/>
    <mergeCell ref="AI21:AJ21"/>
    <mergeCell ref="AK21:AL21"/>
    <mergeCell ref="AM21:AN21"/>
    <mergeCell ref="AO21:AR21"/>
    <mergeCell ref="AS21:AU21"/>
    <mergeCell ref="AW21:AX21"/>
    <mergeCell ref="V21:X21"/>
    <mergeCell ref="Y21:Z21"/>
    <mergeCell ref="AA21:AB21"/>
    <mergeCell ref="AC21:AD21"/>
    <mergeCell ref="AE21:AF21"/>
    <mergeCell ref="AG21:AH21"/>
    <mergeCell ref="CV20:CW20"/>
    <mergeCell ref="CX20:DA20"/>
    <mergeCell ref="B21:F21"/>
    <mergeCell ref="G21:I21"/>
    <mergeCell ref="J21:K21"/>
    <mergeCell ref="L21:M21"/>
    <mergeCell ref="N21:O21"/>
    <mergeCell ref="P21:Q21"/>
    <mergeCell ref="R21:S21"/>
    <mergeCell ref="T21:U21"/>
    <mergeCell ref="CD20:CF20"/>
    <mergeCell ref="CG20:CI20"/>
    <mergeCell ref="CJ20:CL20"/>
    <mergeCell ref="CM20:CO20"/>
    <mergeCell ref="CP20:CR20"/>
    <mergeCell ref="CS20:CU20"/>
    <mergeCell ref="BM20:BP20"/>
    <mergeCell ref="BR20:BS20"/>
    <mergeCell ref="BT20:BU20"/>
    <mergeCell ref="BV20:BX20"/>
    <mergeCell ref="BY20:BZ20"/>
    <mergeCell ref="CA20:CC20"/>
    <mergeCell ref="AY20:AZ20"/>
    <mergeCell ref="BB20:BC20"/>
    <mergeCell ref="BD20:BE20"/>
    <mergeCell ref="BF20:BH20"/>
    <mergeCell ref="BI20:BJ20"/>
    <mergeCell ref="BK20:BL20"/>
    <mergeCell ref="AI20:AJ20"/>
    <mergeCell ref="AK20:AL20"/>
    <mergeCell ref="AM20:AN20"/>
    <mergeCell ref="AO20:AR20"/>
    <mergeCell ref="AS20:AU20"/>
    <mergeCell ref="AW20:AX20"/>
    <mergeCell ref="V20:X20"/>
    <mergeCell ref="Y20:Z20"/>
    <mergeCell ref="AA20:AB20"/>
    <mergeCell ref="AC20:AD20"/>
    <mergeCell ref="AE20:AF20"/>
    <mergeCell ref="AG20:AH20"/>
    <mergeCell ref="CV19:CW19"/>
    <mergeCell ref="CX19:DA19"/>
    <mergeCell ref="B20:F20"/>
    <mergeCell ref="G20:I20"/>
    <mergeCell ref="J20:K20"/>
    <mergeCell ref="L20:M20"/>
    <mergeCell ref="N20:O20"/>
    <mergeCell ref="P20:Q20"/>
    <mergeCell ref="R20:S20"/>
    <mergeCell ref="T20:U20"/>
    <mergeCell ref="CD19:CF19"/>
    <mergeCell ref="CG19:CI19"/>
    <mergeCell ref="CJ19:CL19"/>
    <mergeCell ref="CM19:CO19"/>
    <mergeCell ref="CP19:CR19"/>
    <mergeCell ref="CS19:CU19"/>
    <mergeCell ref="BM19:BP19"/>
    <mergeCell ref="BR19:BS19"/>
    <mergeCell ref="BT19:BU19"/>
    <mergeCell ref="BV19:BX19"/>
    <mergeCell ref="BY19:BZ19"/>
    <mergeCell ref="CA19:CC19"/>
    <mergeCell ref="AY19:AZ19"/>
    <mergeCell ref="BB19:BC19"/>
    <mergeCell ref="BD19:BE19"/>
    <mergeCell ref="BF19:BH19"/>
    <mergeCell ref="BI19:BJ19"/>
    <mergeCell ref="BK19:BL19"/>
    <mergeCell ref="AI19:AJ19"/>
    <mergeCell ref="AK19:AL19"/>
    <mergeCell ref="AM19:AN19"/>
    <mergeCell ref="AO19:AR19"/>
    <mergeCell ref="AS19:AU19"/>
    <mergeCell ref="AW19:AX19"/>
    <mergeCell ref="V19:X19"/>
    <mergeCell ref="Y19:Z19"/>
    <mergeCell ref="AA19:AB19"/>
    <mergeCell ref="AC19:AD19"/>
    <mergeCell ref="AE19:AF19"/>
    <mergeCell ref="AG19:AH19"/>
    <mergeCell ref="CV18:CW18"/>
    <mergeCell ref="CX18:DA18"/>
    <mergeCell ref="B19:F19"/>
    <mergeCell ref="G19:I19"/>
    <mergeCell ref="J19:K19"/>
    <mergeCell ref="L19:M19"/>
    <mergeCell ref="N19:O19"/>
    <mergeCell ref="P19:Q19"/>
    <mergeCell ref="R19:S19"/>
    <mergeCell ref="T19:U19"/>
    <mergeCell ref="CD18:CF18"/>
    <mergeCell ref="CG18:CI18"/>
    <mergeCell ref="CJ18:CL18"/>
    <mergeCell ref="CM18:CO18"/>
    <mergeCell ref="CP18:CR18"/>
    <mergeCell ref="CS18:CU18"/>
    <mergeCell ref="BM18:BP18"/>
    <mergeCell ref="BR18:BS18"/>
    <mergeCell ref="BT18:BU18"/>
    <mergeCell ref="BV18:BX18"/>
    <mergeCell ref="BY18:BZ18"/>
    <mergeCell ref="CA18:CC18"/>
    <mergeCell ref="AY18:AZ18"/>
    <mergeCell ref="BB18:BC18"/>
    <mergeCell ref="BD18:BE18"/>
    <mergeCell ref="BF18:BH18"/>
    <mergeCell ref="BI18:BJ18"/>
    <mergeCell ref="BK18:BL18"/>
    <mergeCell ref="AI18:AJ18"/>
    <mergeCell ref="AK18:AL18"/>
    <mergeCell ref="AM18:AN18"/>
    <mergeCell ref="AO18:AR18"/>
    <mergeCell ref="AS18:AU18"/>
    <mergeCell ref="AW18:AX18"/>
    <mergeCell ref="V18:X18"/>
    <mergeCell ref="Y18:Z18"/>
    <mergeCell ref="AA18:AB18"/>
    <mergeCell ref="AC18:AD18"/>
    <mergeCell ref="AE18:AF18"/>
    <mergeCell ref="AG18:AH18"/>
    <mergeCell ref="CV17:CW17"/>
    <mergeCell ref="CX17:DA17"/>
    <mergeCell ref="B18:F18"/>
    <mergeCell ref="G18:I18"/>
    <mergeCell ref="J18:K18"/>
    <mergeCell ref="L18:M18"/>
    <mergeCell ref="N18:O18"/>
    <mergeCell ref="P18:Q18"/>
    <mergeCell ref="R18:S18"/>
    <mergeCell ref="T18:U18"/>
    <mergeCell ref="CD17:CF17"/>
    <mergeCell ref="CG17:CI17"/>
    <mergeCell ref="CJ17:CL17"/>
    <mergeCell ref="CM17:CO17"/>
    <mergeCell ref="CP17:CR17"/>
    <mergeCell ref="CS17:CU17"/>
    <mergeCell ref="BM17:BP17"/>
    <mergeCell ref="BR17:BS17"/>
    <mergeCell ref="BT17:BU17"/>
    <mergeCell ref="BV17:BX17"/>
    <mergeCell ref="BY17:BZ17"/>
    <mergeCell ref="CA17:CC17"/>
    <mergeCell ref="AY17:AZ17"/>
    <mergeCell ref="BB17:BC17"/>
    <mergeCell ref="BD17:BE17"/>
    <mergeCell ref="BF17:BH17"/>
    <mergeCell ref="BI17:BJ17"/>
    <mergeCell ref="BK17:BL17"/>
    <mergeCell ref="AI17:AJ17"/>
    <mergeCell ref="AK17:AL17"/>
    <mergeCell ref="AM17:AN17"/>
    <mergeCell ref="AO17:AR17"/>
    <mergeCell ref="AS17:AU17"/>
    <mergeCell ref="AW17:AX17"/>
    <mergeCell ref="V17:X17"/>
    <mergeCell ref="Y17:Z17"/>
    <mergeCell ref="AA17:AB17"/>
    <mergeCell ref="AC17:AD17"/>
    <mergeCell ref="AE17:AF17"/>
    <mergeCell ref="AG17:AH17"/>
    <mergeCell ref="CV16:CW16"/>
    <mergeCell ref="CX16:DA16"/>
    <mergeCell ref="B17:F17"/>
    <mergeCell ref="G17:I17"/>
    <mergeCell ref="J17:K17"/>
    <mergeCell ref="L17:M17"/>
    <mergeCell ref="N17:O17"/>
    <mergeCell ref="P17:Q17"/>
    <mergeCell ref="R17:S17"/>
    <mergeCell ref="T17:U17"/>
    <mergeCell ref="CD16:CF16"/>
    <mergeCell ref="CG16:CI16"/>
    <mergeCell ref="CJ16:CL16"/>
    <mergeCell ref="CM16:CO16"/>
    <mergeCell ref="CP16:CR16"/>
    <mergeCell ref="CS16:CU16"/>
    <mergeCell ref="BM16:BP16"/>
    <mergeCell ref="BR16:BS16"/>
    <mergeCell ref="BT16:BU16"/>
    <mergeCell ref="BV16:BX16"/>
    <mergeCell ref="BY16:BZ16"/>
    <mergeCell ref="CA16:CC16"/>
    <mergeCell ref="AY16:AZ16"/>
    <mergeCell ref="BB16:BC16"/>
    <mergeCell ref="BD16:BE16"/>
    <mergeCell ref="BF16:BH16"/>
    <mergeCell ref="BI16:BJ16"/>
    <mergeCell ref="BK16:BL16"/>
    <mergeCell ref="AI16:AJ16"/>
    <mergeCell ref="AK16:AL16"/>
    <mergeCell ref="AM16:AN16"/>
    <mergeCell ref="AO16:AR16"/>
    <mergeCell ref="AS16:AU16"/>
    <mergeCell ref="AW16:AX16"/>
    <mergeCell ref="V16:X16"/>
    <mergeCell ref="Y16:Z16"/>
    <mergeCell ref="AA16:AB16"/>
    <mergeCell ref="AC16:AD16"/>
    <mergeCell ref="AE16:AF16"/>
    <mergeCell ref="AG16:AH16"/>
    <mergeCell ref="CV15:CW15"/>
    <mergeCell ref="CX15:DA15"/>
    <mergeCell ref="B16:F16"/>
    <mergeCell ref="G16:I16"/>
    <mergeCell ref="J16:K16"/>
    <mergeCell ref="L16:M16"/>
    <mergeCell ref="N16:O16"/>
    <mergeCell ref="P16:Q16"/>
    <mergeCell ref="R16:S16"/>
    <mergeCell ref="T16:U16"/>
    <mergeCell ref="CD15:CF15"/>
    <mergeCell ref="CG15:CI15"/>
    <mergeCell ref="CJ15:CL15"/>
    <mergeCell ref="CM15:CO15"/>
    <mergeCell ref="CP15:CR15"/>
    <mergeCell ref="CS15:CU15"/>
    <mergeCell ref="BM15:BP15"/>
    <mergeCell ref="BR15:BS15"/>
    <mergeCell ref="BT15:BU15"/>
    <mergeCell ref="BV15:BX15"/>
    <mergeCell ref="BY15:BZ15"/>
    <mergeCell ref="CA15:CC15"/>
    <mergeCell ref="AY15:AZ15"/>
    <mergeCell ref="BB15:BC15"/>
    <mergeCell ref="BD15:BE15"/>
    <mergeCell ref="BF15:BH15"/>
    <mergeCell ref="BI15:BJ15"/>
    <mergeCell ref="BK15:BL15"/>
    <mergeCell ref="AI15:AJ15"/>
    <mergeCell ref="AK15:AL15"/>
    <mergeCell ref="AM15:AN15"/>
    <mergeCell ref="AO15:AR15"/>
    <mergeCell ref="AS15:AU15"/>
    <mergeCell ref="AW15:AX15"/>
    <mergeCell ref="V15:X15"/>
    <mergeCell ref="Y15:Z15"/>
    <mergeCell ref="AA15:AB15"/>
    <mergeCell ref="AC15:AD15"/>
    <mergeCell ref="AE15:AF15"/>
    <mergeCell ref="AG15:AH15"/>
    <mergeCell ref="CV14:CW14"/>
    <mergeCell ref="CX14:DA14"/>
    <mergeCell ref="B15:F15"/>
    <mergeCell ref="G15:I15"/>
    <mergeCell ref="J15:K15"/>
    <mergeCell ref="L15:M15"/>
    <mergeCell ref="N15:O15"/>
    <mergeCell ref="P15:Q15"/>
    <mergeCell ref="R15:S15"/>
    <mergeCell ref="T15:U15"/>
    <mergeCell ref="CD14:CF14"/>
    <mergeCell ref="CG14:CI14"/>
    <mergeCell ref="CJ14:CL14"/>
    <mergeCell ref="CM14:CO14"/>
    <mergeCell ref="CP14:CR14"/>
    <mergeCell ref="CS14:CU14"/>
    <mergeCell ref="BM14:BP14"/>
    <mergeCell ref="BR14:BS14"/>
    <mergeCell ref="BT14:BU14"/>
    <mergeCell ref="BV14:BX14"/>
    <mergeCell ref="BY14:BZ14"/>
    <mergeCell ref="CA14:CC14"/>
    <mergeCell ref="AY14:AZ14"/>
    <mergeCell ref="BB14:BC14"/>
    <mergeCell ref="BD14:BE14"/>
    <mergeCell ref="BF14:BH14"/>
    <mergeCell ref="BI14:BJ14"/>
    <mergeCell ref="BK14:BL14"/>
    <mergeCell ref="AI14:AJ14"/>
    <mergeCell ref="AK14:AL14"/>
    <mergeCell ref="AM14:AN14"/>
    <mergeCell ref="AO14:AR14"/>
    <mergeCell ref="AS14:AU14"/>
    <mergeCell ref="AW14:AX14"/>
    <mergeCell ref="V14:X14"/>
    <mergeCell ref="Y14:Z14"/>
    <mergeCell ref="AA14:AB14"/>
    <mergeCell ref="AC14:AD14"/>
    <mergeCell ref="AE14:AF14"/>
    <mergeCell ref="AG14:AH14"/>
    <mergeCell ref="CV13:CW13"/>
    <mergeCell ref="CX13:DA13"/>
    <mergeCell ref="B14:F14"/>
    <mergeCell ref="G14:I14"/>
    <mergeCell ref="J14:K14"/>
    <mergeCell ref="L14:M14"/>
    <mergeCell ref="N14:O14"/>
    <mergeCell ref="P14:Q14"/>
    <mergeCell ref="R14:S14"/>
    <mergeCell ref="T14:U14"/>
    <mergeCell ref="CD13:CF13"/>
    <mergeCell ref="CG13:CI13"/>
    <mergeCell ref="CJ13:CL13"/>
    <mergeCell ref="CM13:CO13"/>
    <mergeCell ref="CP13:CR13"/>
    <mergeCell ref="CS13:CU13"/>
    <mergeCell ref="BM13:BP13"/>
    <mergeCell ref="BR13:BS13"/>
    <mergeCell ref="BT13:BU13"/>
    <mergeCell ref="BV13:BX13"/>
    <mergeCell ref="BY13:BZ13"/>
    <mergeCell ref="CA13:CC13"/>
    <mergeCell ref="AY13:AZ13"/>
    <mergeCell ref="BB13:BC13"/>
    <mergeCell ref="BD13:BE13"/>
    <mergeCell ref="BF13:BH13"/>
    <mergeCell ref="BI13:BJ13"/>
    <mergeCell ref="BK13:BL13"/>
    <mergeCell ref="AI13:AJ13"/>
    <mergeCell ref="AK13:AL13"/>
    <mergeCell ref="AM13:AN13"/>
    <mergeCell ref="AO13:AR13"/>
    <mergeCell ref="AS13:AU13"/>
    <mergeCell ref="AW13:AX13"/>
    <mergeCell ref="V13:X13"/>
    <mergeCell ref="Y13:Z13"/>
    <mergeCell ref="AA13:AB13"/>
    <mergeCell ref="AC13:AD13"/>
    <mergeCell ref="AE13:AF13"/>
    <mergeCell ref="AG13:AH13"/>
    <mergeCell ref="CV12:CW12"/>
    <mergeCell ref="CX12:DA12"/>
    <mergeCell ref="B13:F13"/>
    <mergeCell ref="G13:I13"/>
    <mergeCell ref="J13:K13"/>
    <mergeCell ref="L13:M13"/>
    <mergeCell ref="N13:O13"/>
    <mergeCell ref="P13:Q13"/>
    <mergeCell ref="R13:S13"/>
    <mergeCell ref="T13:U13"/>
    <mergeCell ref="CD12:CF12"/>
    <mergeCell ref="CG12:CI12"/>
    <mergeCell ref="CJ12:CL12"/>
    <mergeCell ref="CM12:CO12"/>
    <mergeCell ref="CP12:CR12"/>
    <mergeCell ref="CS12:CU12"/>
    <mergeCell ref="BM12:BP12"/>
    <mergeCell ref="BR12:BS12"/>
    <mergeCell ref="BT12:BU12"/>
    <mergeCell ref="BV12:BX12"/>
    <mergeCell ref="BY12:BZ12"/>
    <mergeCell ref="CA12:CC12"/>
    <mergeCell ref="AY12:AZ12"/>
    <mergeCell ref="BB12:BC12"/>
    <mergeCell ref="BD12:BE12"/>
    <mergeCell ref="BF12:BH12"/>
    <mergeCell ref="BI12:BJ12"/>
    <mergeCell ref="BK12:BL12"/>
    <mergeCell ref="AI12:AJ12"/>
    <mergeCell ref="AK12:AL12"/>
    <mergeCell ref="AM12:AN12"/>
    <mergeCell ref="AO12:AR12"/>
    <mergeCell ref="AS12:AU12"/>
    <mergeCell ref="AW12:AX12"/>
    <mergeCell ref="V12:X12"/>
    <mergeCell ref="Y12:Z12"/>
    <mergeCell ref="AA12:AB12"/>
    <mergeCell ref="AC12:AD12"/>
    <mergeCell ref="AE12:AF12"/>
    <mergeCell ref="AG12:AH12"/>
    <mergeCell ref="CV11:CW11"/>
    <mergeCell ref="CX11:DA11"/>
    <mergeCell ref="B12:F12"/>
    <mergeCell ref="G12:I12"/>
    <mergeCell ref="J12:K12"/>
    <mergeCell ref="L12:M12"/>
    <mergeCell ref="N12:O12"/>
    <mergeCell ref="P12:Q12"/>
    <mergeCell ref="R12:S12"/>
    <mergeCell ref="T12:U12"/>
    <mergeCell ref="CD11:CF11"/>
    <mergeCell ref="CG11:CI11"/>
    <mergeCell ref="CJ11:CL11"/>
    <mergeCell ref="CM11:CO11"/>
    <mergeCell ref="CP11:CR11"/>
    <mergeCell ref="CS11:CU11"/>
    <mergeCell ref="BM11:BP11"/>
    <mergeCell ref="BR11:BS11"/>
    <mergeCell ref="BT11:BU11"/>
    <mergeCell ref="BV11:BX11"/>
    <mergeCell ref="BY11:BZ11"/>
    <mergeCell ref="CA11:CC11"/>
    <mergeCell ref="AY11:AZ11"/>
    <mergeCell ref="BB11:BC11"/>
    <mergeCell ref="BD11:BE11"/>
    <mergeCell ref="BF11:BH11"/>
    <mergeCell ref="BI11:BJ11"/>
    <mergeCell ref="BK11:BL11"/>
    <mergeCell ref="AI11:AJ11"/>
    <mergeCell ref="AK11:AL11"/>
    <mergeCell ref="AM11:AN11"/>
    <mergeCell ref="AO11:AR11"/>
    <mergeCell ref="AS11:AU11"/>
    <mergeCell ref="AW11:AX11"/>
    <mergeCell ref="V11:X11"/>
    <mergeCell ref="Y11:Z11"/>
    <mergeCell ref="AA11:AB11"/>
    <mergeCell ref="AC11:AD11"/>
    <mergeCell ref="AE11:AF11"/>
    <mergeCell ref="AG11:AH11"/>
    <mergeCell ref="CV10:CW10"/>
    <mergeCell ref="CX10:DA10"/>
    <mergeCell ref="B11:F11"/>
    <mergeCell ref="G11:I11"/>
    <mergeCell ref="J11:K11"/>
    <mergeCell ref="L11:M11"/>
    <mergeCell ref="N11:O11"/>
    <mergeCell ref="P11:Q11"/>
    <mergeCell ref="R11:S11"/>
    <mergeCell ref="T11:U11"/>
    <mergeCell ref="CD10:CF10"/>
    <mergeCell ref="CG10:CI10"/>
    <mergeCell ref="CJ10:CL10"/>
    <mergeCell ref="CM10:CO10"/>
    <mergeCell ref="CP10:CR10"/>
    <mergeCell ref="CS10:CU10"/>
    <mergeCell ref="BM10:BP10"/>
    <mergeCell ref="BR10:BS10"/>
    <mergeCell ref="BT10:BU10"/>
    <mergeCell ref="BV10:BX10"/>
    <mergeCell ref="BY10:BZ10"/>
    <mergeCell ref="CA10:CC10"/>
    <mergeCell ref="AY10:AZ10"/>
    <mergeCell ref="BB10:BC10"/>
    <mergeCell ref="BD10:BE10"/>
    <mergeCell ref="BF10:BH10"/>
    <mergeCell ref="BI10:BJ10"/>
    <mergeCell ref="BK10:BL10"/>
    <mergeCell ref="AI10:AJ10"/>
    <mergeCell ref="AK10:AL10"/>
    <mergeCell ref="AM10:AN10"/>
    <mergeCell ref="AO10:AR10"/>
    <mergeCell ref="AS10:AU10"/>
    <mergeCell ref="AW10:AX10"/>
    <mergeCell ref="V10:X10"/>
    <mergeCell ref="Y10:Z10"/>
    <mergeCell ref="AA10:AB10"/>
    <mergeCell ref="AC10:AD10"/>
    <mergeCell ref="AE10:AF10"/>
    <mergeCell ref="AG10:AH10"/>
    <mergeCell ref="CV9:CW9"/>
    <mergeCell ref="CX9:DA9"/>
    <mergeCell ref="B10:F10"/>
    <mergeCell ref="G10:I10"/>
    <mergeCell ref="J10:K10"/>
    <mergeCell ref="L10:M10"/>
    <mergeCell ref="N10:O10"/>
    <mergeCell ref="P10:Q10"/>
    <mergeCell ref="R10:S10"/>
    <mergeCell ref="T10:U10"/>
    <mergeCell ref="CD9:CF9"/>
    <mergeCell ref="CG9:CI9"/>
    <mergeCell ref="CJ9:CL9"/>
    <mergeCell ref="CM9:CO9"/>
    <mergeCell ref="CP9:CR9"/>
    <mergeCell ref="CS9:CU9"/>
    <mergeCell ref="BM9:BP9"/>
    <mergeCell ref="BR9:BS9"/>
    <mergeCell ref="BT9:BU9"/>
    <mergeCell ref="BV9:BX9"/>
    <mergeCell ref="BY9:BZ9"/>
    <mergeCell ref="CA9:CC9"/>
    <mergeCell ref="AY9:AZ9"/>
    <mergeCell ref="BB9:BC9"/>
    <mergeCell ref="BD9:BE9"/>
    <mergeCell ref="BF9:BH9"/>
    <mergeCell ref="BI9:BJ9"/>
    <mergeCell ref="BK9:BL9"/>
    <mergeCell ref="AI9:AJ9"/>
    <mergeCell ref="AK9:AL9"/>
    <mergeCell ref="AM9:AN9"/>
    <mergeCell ref="AO9:AR9"/>
    <mergeCell ref="AS9:AU9"/>
    <mergeCell ref="AW9:AX9"/>
    <mergeCell ref="V9:X9"/>
    <mergeCell ref="Y9:Z9"/>
    <mergeCell ref="AA9:AB9"/>
    <mergeCell ref="AC9:AD9"/>
    <mergeCell ref="AE9:AF9"/>
    <mergeCell ref="AG9:AH9"/>
    <mergeCell ref="CV8:CW8"/>
    <mergeCell ref="CX8:DA8"/>
    <mergeCell ref="B9:F9"/>
    <mergeCell ref="G9:I9"/>
    <mergeCell ref="J9:K9"/>
    <mergeCell ref="L9:M9"/>
    <mergeCell ref="N9:O9"/>
    <mergeCell ref="P9:Q9"/>
    <mergeCell ref="R9:S9"/>
    <mergeCell ref="T9:U9"/>
    <mergeCell ref="CD8:CF8"/>
    <mergeCell ref="CG8:CI8"/>
    <mergeCell ref="CJ8:CL8"/>
    <mergeCell ref="CM8:CO8"/>
    <mergeCell ref="CP8:CR8"/>
    <mergeCell ref="CS8:CU8"/>
    <mergeCell ref="BM8:BP8"/>
    <mergeCell ref="BR8:BS8"/>
    <mergeCell ref="BT8:BU8"/>
    <mergeCell ref="BV8:BX8"/>
    <mergeCell ref="BY8:BZ8"/>
    <mergeCell ref="CA8:CC8"/>
    <mergeCell ref="AY8:AZ8"/>
    <mergeCell ref="BB8:BC8"/>
    <mergeCell ref="BD8:BE8"/>
    <mergeCell ref="BF8:BH8"/>
    <mergeCell ref="BI8:BJ8"/>
    <mergeCell ref="BK8:BL8"/>
    <mergeCell ref="AI8:AJ8"/>
    <mergeCell ref="AK8:AL8"/>
    <mergeCell ref="AM8:AN8"/>
    <mergeCell ref="AO8:AR8"/>
    <mergeCell ref="AS8:AU8"/>
    <mergeCell ref="AW8:AX8"/>
    <mergeCell ref="V8:X8"/>
    <mergeCell ref="Y8:Z8"/>
    <mergeCell ref="AA8:AB8"/>
    <mergeCell ref="AC8:AD8"/>
    <mergeCell ref="AE8:AF8"/>
    <mergeCell ref="AG8:AH8"/>
    <mergeCell ref="CS7:CU7"/>
    <mergeCell ref="CV7:CW7"/>
    <mergeCell ref="B8:F8"/>
    <mergeCell ref="G8:I8"/>
    <mergeCell ref="J8:K8"/>
    <mergeCell ref="L8:M8"/>
    <mergeCell ref="N8:O8"/>
    <mergeCell ref="P8:Q8"/>
    <mergeCell ref="R8:S8"/>
    <mergeCell ref="T8:U8"/>
    <mergeCell ref="CA7:CC7"/>
    <mergeCell ref="CD7:CF7"/>
    <mergeCell ref="CG7:CI7"/>
    <mergeCell ref="CJ7:CL7"/>
    <mergeCell ref="CM7:CO7"/>
    <mergeCell ref="CP7:CR7"/>
    <mergeCell ref="BK7:BL7"/>
    <mergeCell ref="BM7:BP7"/>
    <mergeCell ref="BT7:BU7"/>
    <mergeCell ref="BV7:BX7"/>
    <mergeCell ref="BY7:BZ7"/>
    <mergeCell ref="AK7:AL7"/>
    <mergeCell ref="AM7:AN7"/>
    <mergeCell ref="BT6:CC6"/>
    <mergeCell ref="AO7:AR7"/>
    <mergeCell ref="AS7:AU7"/>
    <mergeCell ref="AW7:AX7"/>
    <mergeCell ref="AY7:AZ7"/>
    <mergeCell ref="AY5:BL5"/>
    <mergeCell ref="BM5:BP5"/>
    <mergeCell ref="T5:U5"/>
    <mergeCell ref="L7:M7"/>
    <mergeCell ref="N7:O7"/>
    <mergeCell ref="P7:Q7"/>
    <mergeCell ref="R7:S7"/>
    <mergeCell ref="T7:U7"/>
    <mergeCell ref="V7:X7"/>
    <mergeCell ref="BB6:BJ6"/>
    <mergeCell ref="BK6:BS6"/>
    <mergeCell ref="BI7:BJ7"/>
    <mergeCell ref="Y7:Z7"/>
    <mergeCell ref="AA7:AB7"/>
    <mergeCell ref="AC7:AD7"/>
    <mergeCell ref="AE7:AF7"/>
    <mergeCell ref="AG7:AH7"/>
    <mergeCell ref="AI7:AJ7"/>
    <mergeCell ref="AO5:AR5"/>
    <mergeCell ref="AS5:AU5"/>
    <mergeCell ref="AW5:AX5"/>
    <mergeCell ref="BR7:BS7"/>
    <mergeCell ref="A6:A7"/>
    <mergeCell ref="B6:F7"/>
    <mergeCell ref="G6:I7"/>
    <mergeCell ref="J6:K7"/>
    <mergeCell ref="L6:S6"/>
    <mergeCell ref="T6:AB6"/>
    <mergeCell ref="AC6:AJ6"/>
    <mergeCell ref="AK6:AU6"/>
    <mergeCell ref="AV6:BA6"/>
    <mergeCell ref="A1:DB1"/>
    <mergeCell ref="A2:DB2"/>
    <mergeCell ref="A4:DB4"/>
    <mergeCell ref="BQ5:DB5"/>
    <mergeCell ref="A3:DB3"/>
    <mergeCell ref="A31:CO31"/>
    <mergeCell ref="A32:CO32"/>
    <mergeCell ref="V5:X5"/>
    <mergeCell ref="Y5:Z5"/>
    <mergeCell ref="AA5:AB5"/>
    <mergeCell ref="AC5:AD5"/>
    <mergeCell ref="AE5:AN5"/>
    <mergeCell ref="A5:F5"/>
    <mergeCell ref="G5:K5"/>
    <mergeCell ref="L5:M5"/>
    <mergeCell ref="N5:O5"/>
    <mergeCell ref="P5:Q5"/>
    <mergeCell ref="R5:S5"/>
    <mergeCell ref="CD6:CO6"/>
    <mergeCell ref="CP6:CW6"/>
    <mergeCell ref="CX6:DA7"/>
    <mergeCell ref="BB7:BC7"/>
    <mergeCell ref="BD7:BE7"/>
    <mergeCell ref="BF7:BH7"/>
  </mergeCells>
  <pageMargins left="0.7" right="0.7" top="0.75" bottom="0.75" header="0.3" footer="0.3"/>
  <pageSetup paperSize="9" scale="52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view="pageBreakPreview" topLeftCell="A27" zoomScale="60" workbookViewId="0">
      <selection activeCell="B4" sqref="B4"/>
    </sheetView>
  </sheetViews>
  <sheetFormatPr defaultRowHeight="15"/>
  <cols>
    <col min="1" max="1" width="9.33203125" style="549"/>
    <col min="2" max="2" width="67.33203125" style="549" customWidth="1"/>
    <col min="3" max="16384" width="9.33203125" style="549"/>
  </cols>
  <sheetData>
    <row r="1" spans="1:2" ht="17.25">
      <c r="A1" s="549">
        <v>9</v>
      </c>
      <c r="B1" s="550" t="s">
        <v>724</v>
      </c>
    </row>
    <row r="2" spans="1:2" ht="17.25">
      <c r="B2" s="550" t="s">
        <v>725</v>
      </c>
    </row>
    <row r="3" spans="1:2" ht="17.25">
      <c r="B3" s="550"/>
    </row>
    <row r="4" spans="1:2" ht="17.25">
      <c r="B4" s="550" t="s">
        <v>1018</v>
      </c>
    </row>
    <row r="5" spans="1:2" ht="17.25">
      <c r="B5" s="550"/>
    </row>
    <row r="6" spans="1:2" ht="17.25">
      <c r="B6" s="550" t="s">
        <v>1035</v>
      </c>
    </row>
    <row r="8" spans="1:2" ht="64.5" customHeight="1">
      <c r="A8" s="551" t="s">
        <v>0</v>
      </c>
      <c r="B8" s="551" t="s">
        <v>520</v>
      </c>
    </row>
    <row r="9" spans="1:2" ht="18">
      <c r="A9" s="552">
        <v>1</v>
      </c>
      <c r="B9" s="619" t="s">
        <v>1036</v>
      </c>
    </row>
    <row r="10" spans="1:2" ht="18">
      <c r="A10" s="552">
        <v>2</v>
      </c>
      <c r="B10" s="620" t="s">
        <v>1037</v>
      </c>
    </row>
    <row r="11" spans="1:2" ht="36">
      <c r="A11" s="552">
        <v>3</v>
      </c>
      <c r="B11" s="619" t="s">
        <v>1038</v>
      </c>
    </row>
    <row r="12" spans="1:2" ht="18">
      <c r="A12" s="552">
        <v>4</v>
      </c>
      <c r="B12" s="620" t="s">
        <v>1039</v>
      </c>
    </row>
    <row r="13" spans="1:2" ht="18">
      <c r="A13" s="552">
        <v>5</v>
      </c>
      <c r="B13" s="619" t="s">
        <v>1040</v>
      </c>
    </row>
    <row r="14" spans="1:2" ht="18">
      <c r="A14" s="552">
        <v>6</v>
      </c>
      <c r="B14" s="619" t="s">
        <v>1041</v>
      </c>
    </row>
    <row r="15" spans="1:2" ht="36">
      <c r="A15" s="552">
        <v>7</v>
      </c>
      <c r="B15" s="619" t="s">
        <v>1042</v>
      </c>
    </row>
    <row r="16" spans="1:2" ht="36">
      <c r="A16" s="552">
        <v>8</v>
      </c>
      <c r="B16" s="619" t="s">
        <v>1043</v>
      </c>
    </row>
    <row r="17" spans="1:2" ht="18">
      <c r="A17" s="552">
        <v>9</v>
      </c>
      <c r="B17" s="620" t="s">
        <v>1044</v>
      </c>
    </row>
    <row r="18" spans="1:2" ht="18">
      <c r="A18" s="552">
        <v>10</v>
      </c>
      <c r="B18" s="619" t="s">
        <v>1045</v>
      </c>
    </row>
    <row r="19" spans="1:2" ht="18">
      <c r="A19" s="552">
        <v>11</v>
      </c>
      <c r="B19" s="620" t="s">
        <v>1046</v>
      </c>
    </row>
    <row r="20" spans="1:2" ht="36">
      <c r="A20" s="552">
        <v>12</v>
      </c>
      <c r="B20" s="619" t="s">
        <v>1047</v>
      </c>
    </row>
    <row r="21" spans="1:2" ht="18">
      <c r="A21" s="552">
        <v>13</v>
      </c>
      <c r="B21" s="619" t="s">
        <v>1048</v>
      </c>
    </row>
    <row r="22" spans="1:2" ht="36">
      <c r="A22" s="552">
        <v>14</v>
      </c>
      <c r="B22" s="619" t="s">
        <v>1049</v>
      </c>
    </row>
    <row r="23" spans="1:2" ht="36">
      <c r="A23" s="552">
        <v>15</v>
      </c>
      <c r="B23" s="621" t="s">
        <v>1050</v>
      </c>
    </row>
    <row r="24" spans="1:2" ht="18">
      <c r="A24" s="552">
        <v>16</v>
      </c>
      <c r="B24" s="622" t="s">
        <v>1051</v>
      </c>
    </row>
    <row r="25" spans="1:2" ht="18">
      <c r="A25" s="552">
        <v>17</v>
      </c>
      <c r="B25" s="621" t="s">
        <v>1052</v>
      </c>
    </row>
    <row r="26" spans="1:2" ht="18">
      <c r="A26" s="552">
        <v>18</v>
      </c>
      <c r="B26" s="621" t="s">
        <v>1053</v>
      </c>
    </row>
    <row r="27" spans="1:2" ht="18">
      <c r="A27" s="552">
        <v>19</v>
      </c>
      <c r="B27" s="621" t="s">
        <v>1054</v>
      </c>
    </row>
    <row r="28" spans="1:2" ht="48.75" customHeight="1">
      <c r="A28" s="1790"/>
      <c r="B28" s="1791"/>
    </row>
    <row r="29" spans="1:2" ht="21">
      <c r="A29" s="482">
        <f>COUNTA(A9:A27)</f>
        <v>19</v>
      </c>
      <c r="B29" s="557"/>
    </row>
  </sheetData>
  <mergeCells count="1">
    <mergeCell ref="A28:B28"/>
  </mergeCells>
  <printOptions horizontalCentered="1"/>
  <pageMargins left="0.7" right="0.7" top="0.75" bottom="0.75" header="0.3" footer="0.3"/>
  <pageSetup paperSize="8" scale="99" orientation="landscape" r:id="rId1"/>
  <rowBreaks count="1" manualBreakCount="1">
    <brk id="1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5" sqref="I25"/>
    </sheetView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view="pageBreakPreview" topLeftCell="A20" zoomScale="80" zoomScaleSheetLayoutView="80" workbookViewId="0">
      <selection activeCell="R35" sqref="R35"/>
    </sheetView>
  </sheetViews>
  <sheetFormatPr defaultRowHeight="15"/>
  <cols>
    <col min="1" max="1" width="9.1640625" style="549" customWidth="1"/>
    <col min="2" max="2" width="121.1640625" style="549" customWidth="1"/>
    <col min="3" max="3" width="11.33203125" style="549" customWidth="1"/>
    <col min="4" max="16384" width="9.33203125" style="549"/>
  </cols>
  <sheetData>
    <row r="1" spans="1:2">
      <c r="B1" s="558" t="s">
        <v>566</v>
      </c>
    </row>
    <row r="2" spans="1:2">
      <c r="B2" s="558" t="s">
        <v>1056</v>
      </c>
    </row>
    <row r="3" spans="1:2">
      <c r="B3" s="558" t="s">
        <v>1057</v>
      </c>
    </row>
    <row r="4" spans="1:2" ht="59.25" customHeight="1">
      <c r="A4" s="559" t="s">
        <v>0</v>
      </c>
      <c r="B4" s="560" t="s">
        <v>551</v>
      </c>
    </row>
    <row r="5" spans="1:2">
      <c r="A5" s="559"/>
      <c r="B5" s="560" t="s">
        <v>557</v>
      </c>
    </row>
    <row r="6" spans="1:2" ht="34.5" customHeight="1">
      <c r="A6" s="561">
        <v>1</v>
      </c>
      <c r="B6" s="561" t="s">
        <v>1058</v>
      </c>
    </row>
    <row r="7" spans="1:2" ht="23.25">
      <c r="A7" s="561">
        <v>2</v>
      </c>
      <c r="B7" s="561" t="s">
        <v>1059</v>
      </c>
    </row>
    <row r="8" spans="1:2" ht="23.25">
      <c r="A8" s="561">
        <v>3</v>
      </c>
      <c r="B8" s="561" t="s">
        <v>1060</v>
      </c>
    </row>
    <row r="9" spans="1:2" ht="23.25">
      <c r="A9" s="561">
        <v>4</v>
      </c>
      <c r="B9" s="561" t="s">
        <v>1061</v>
      </c>
    </row>
    <row r="10" spans="1:2" ht="23.25">
      <c r="A10" s="561">
        <v>5</v>
      </c>
      <c r="B10" s="561" t="s">
        <v>1062</v>
      </c>
    </row>
    <row r="11" spans="1:2" ht="23.25">
      <c r="A11" s="561">
        <v>6</v>
      </c>
      <c r="B11" s="561" t="s">
        <v>1063</v>
      </c>
    </row>
    <row r="12" spans="1:2" ht="23.25">
      <c r="A12" s="561">
        <v>7</v>
      </c>
      <c r="B12" s="561" t="s">
        <v>1064</v>
      </c>
    </row>
    <row r="13" spans="1:2" ht="23.25">
      <c r="A13" s="561">
        <v>8</v>
      </c>
      <c r="B13" s="561" t="s">
        <v>1065</v>
      </c>
    </row>
    <row r="14" spans="1:2" ht="23.25">
      <c r="A14" s="561"/>
      <c r="B14" s="561"/>
    </row>
    <row r="15" spans="1:2" ht="23.25">
      <c r="A15" s="561"/>
      <c r="B15" s="562" t="s">
        <v>556</v>
      </c>
    </row>
    <row r="16" spans="1:2" ht="23.25">
      <c r="A16" s="561">
        <v>1</v>
      </c>
      <c r="B16" s="561" t="s">
        <v>1066</v>
      </c>
    </row>
    <row r="17" spans="1:2" ht="23.25">
      <c r="A17" s="561">
        <v>2</v>
      </c>
      <c r="B17" s="561" t="s">
        <v>1059</v>
      </c>
    </row>
    <row r="18" spans="1:2" ht="23.25">
      <c r="A18" s="561">
        <v>3</v>
      </c>
      <c r="B18" s="561" t="s">
        <v>1060</v>
      </c>
    </row>
    <row r="19" spans="1:2" ht="23.25">
      <c r="A19" s="561">
        <v>4</v>
      </c>
      <c r="B19" s="561" t="s">
        <v>1061</v>
      </c>
    </row>
    <row r="20" spans="1:2" ht="23.25">
      <c r="A20" s="561">
        <v>5</v>
      </c>
      <c r="B20" s="561" t="s">
        <v>1062</v>
      </c>
    </row>
    <row r="21" spans="1:2" ht="23.25">
      <c r="A21" s="561">
        <v>6</v>
      </c>
      <c r="B21" s="561" t="s">
        <v>1063</v>
      </c>
    </row>
    <row r="22" spans="1:2" ht="23.25">
      <c r="A22" s="561">
        <v>7</v>
      </c>
      <c r="B22" s="561" t="s">
        <v>1064</v>
      </c>
    </row>
    <row r="23" spans="1:2" ht="23.25">
      <c r="A23" s="561">
        <v>8</v>
      </c>
      <c r="B23" s="561" t="s">
        <v>1065</v>
      </c>
    </row>
    <row r="24" spans="1:2" ht="23.25">
      <c r="A24" s="561"/>
      <c r="B24" s="562" t="s">
        <v>558</v>
      </c>
    </row>
    <row r="25" spans="1:2" ht="23.25">
      <c r="A25" s="561">
        <v>1</v>
      </c>
      <c r="B25" s="561" t="s">
        <v>1067</v>
      </c>
    </row>
    <row r="26" spans="1:2" ht="23.25">
      <c r="A26" s="561">
        <v>2</v>
      </c>
      <c r="B26" s="561" t="s">
        <v>256</v>
      </c>
    </row>
    <row r="27" spans="1:2" ht="23.25">
      <c r="A27" s="561">
        <v>3</v>
      </c>
      <c r="B27" s="561" t="s">
        <v>1068</v>
      </c>
    </row>
    <row r="28" spans="1:2" ht="23.25">
      <c r="A28" s="561">
        <v>4</v>
      </c>
      <c r="B28" s="561" t="s">
        <v>1069</v>
      </c>
    </row>
    <row r="29" spans="1:2" ht="23.25">
      <c r="A29" s="561">
        <v>5</v>
      </c>
      <c r="B29" s="561" t="s">
        <v>1070</v>
      </c>
    </row>
    <row r="30" spans="1:2" ht="23.25">
      <c r="A30" s="561">
        <v>6</v>
      </c>
      <c r="B30" s="561" t="s">
        <v>1071</v>
      </c>
    </row>
    <row r="31" spans="1:2" ht="23.25">
      <c r="A31" s="561">
        <v>7</v>
      </c>
      <c r="B31" s="561" t="s">
        <v>1072</v>
      </c>
    </row>
    <row r="32" spans="1:2" ht="23.25">
      <c r="A32" s="561">
        <v>8</v>
      </c>
      <c r="B32" s="561" t="s">
        <v>1073</v>
      </c>
    </row>
    <row r="33" spans="1:13" ht="23.25">
      <c r="A33" s="561">
        <v>9</v>
      </c>
      <c r="B33" s="561" t="s">
        <v>1074</v>
      </c>
    </row>
    <row r="34" spans="1:13" ht="23.25">
      <c r="A34" s="561">
        <v>10</v>
      </c>
      <c r="B34" s="561" t="s">
        <v>1075</v>
      </c>
    </row>
    <row r="35" spans="1:13" ht="23.25">
      <c r="A35" s="563">
        <v>11</v>
      </c>
      <c r="B35" s="561" t="s">
        <v>1076</v>
      </c>
    </row>
    <row r="36" spans="1:13" ht="23.25">
      <c r="A36" s="564">
        <v>12</v>
      </c>
      <c r="B36" s="565" t="s">
        <v>1077</v>
      </c>
      <c r="K36" s="559"/>
    </row>
    <row r="37" spans="1:13" s="559" customFormat="1" ht="23.25">
      <c r="A37" s="561"/>
      <c r="B37" s="561"/>
      <c r="C37" s="549"/>
      <c r="D37" s="549"/>
      <c r="E37" s="549"/>
      <c r="F37" s="549"/>
      <c r="G37" s="549"/>
      <c r="H37" s="549"/>
      <c r="I37" s="549"/>
      <c r="J37" s="549"/>
      <c r="K37" s="549"/>
      <c r="L37" s="549"/>
      <c r="M37" s="549"/>
    </row>
    <row r="38" spans="1:13" ht="29.25" customHeight="1">
      <c r="A38" s="482">
        <f>COUNTA(A6:A36)</f>
        <v>28</v>
      </c>
      <c r="B38" s="557"/>
    </row>
  </sheetData>
  <pageMargins left="0.7" right="0.7" top="0.75" bottom="0.75" header="0.3" footer="0.3"/>
  <pageSetup paperSize="9" scale="42" orientation="portrait" r:id="rId1"/>
  <colBreaks count="1" manualBreakCount="1">
    <brk id="2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view="pageBreakPreview" topLeftCell="A15" zoomScale="60" zoomScaleNormal="60" workbookViewId="0">
      <selection activeCell="B15" sqref="B15"/>
    </sheetView>
  </sheetViews>
  <sheetFormatPr defaultRowHeight="15"/>
  <cols>
    <col min="1" max="1" width="10.5" style="566" bestFit="1" customWidth="1"/>
    <col min="2" max="2" width="128.5" style="566" customWidth="1"/>
    <col min="3" max="16384" width="9.33203125" style="566"/>
  </cols>
  <sheetData>
    <row r="1" spans="1:3" ht="51" customHeight="1">
      <c r="A1" s="1792" t="s">
        <v>1078</v>
      </c>
      <c r="B1" s="1792"/>
    </row>
    <row r="2" spans="1:3" ht="45" customHeight="1">
      <c r="A2" s="1792" t="s">
        <v>410</v>
      </c>
      <c r="B2" s="1792"/>
    </row>
    <row r="3" spans="1:3" ht="49.5" customHeight="1">
      <c r="A3" s="1793" t="s">
        <v>17</v>
      </c>
      <c r="B3" s="1793"/>
    </row>
    <row r="4" spans="1:3" s="568" customFormat="1" ht="93" customHeight="1">
      <c r="A4" s="567" t="s">
        <v>0</v>
      </c>
      <c r="B4" s="567" t="s">
        <v>1079</v>
      </c>
    </row>
    <row r="5" spans="1:3" ht="31.5">
      <c r="A5" s="569">
        <v>1</v>
      </c>
      <c r="B5" s="569" t="s">
        <v>1080</v>
      </c>
      <c r="C5" s="570"/>
    </row>
    <row r="6" spans="1:3" ht="31.5">
      <c r="A6" s="569">
        <v>2</v>
      </c>
      <c r="B6" s="569" t="s">
        <v>1081</v>
      </c>
      <c r="C6" s="570"/>
    </row>
    <row r="7" spans="1:3" ht="31.5">
      <c r="A7" s="569">
        <v>3</v>
      </c>
      <c r="B7" s="569" t="s">
        <v>1082</v>
      </c>
      <c r="C7" s="570"/>
    </row>
    <row r="8" spans="1:3" ht="31.5">
      <c r="A8" s="569">
        <v>4</v>
      </c>
      <c r="B8" s="569" t="s">
        <v>1083</v>
      </c>
      <c r="C8" s="570"/>
    </row>
    <row r="9" spans="1:3" ht="31.5">
      <c r="A9" s="569">
        <v>5</v>
      </c>
      <c r="B9" s="569" t="s">
        <v>1084</v>
      </c>
      <c r="C9" s="570"/>
    </row>
    <row r="10" spans="1:3" ht="31.5">
      <c r="A10" s="569">
        <v>6</v>
      </c>
      <c r="B10" s="569" t="s">
        <v>1085</v>
      </c>
      <c r="C10" s="570"/>
    </row>
    <row r="11" spans="1:3" ht="31.5">
      <c r="A11" s="569">
        <v>7</v>
      </c>
      <c r="B11" s="569" t="s">
        <v>1086</v>
      </c>
      <c r="C11" s="570"/>
    </row>
    <row r="12" spans="1:3" ht="31.5">
      <c r="A12" s="569">
        <v>8</v>
      </c>
      <c r="B12" s="569" t="s">
        <v>1087</v>
      </c>
      <c r="C12" s="570"/>
    </row>
    <row r="13" spans="1:3" ht="31.5">
      <c r="A13" s="569">
        <v>9</v>
      </c>
      <c r="B13" s="569" t="s">
        <v>1088</v>
      </c>
      <c r="C13" s="570"/>
    </row>
    <row r="14" spans="1:3" ht="31.5">
      <c r="A14" s="569">
        <v>10</v>
      </c>
      <c r="B14" s="569" t="s">
        <v>1089</v>
      </c>
      <c r="C14" s="570"/>
    </row>
    <row r="15" spans="1:3" ht="31.5">
      <c r="A15" s="569">
        <v>11</v>
      </c>
      <c r="B15" s="569" t="s">
        <v>1090</v>
      </c>
      <c r="C15" s="570"/>
    </row>
    <row r="16" spans="1:3" ht="31.5">
      <c r="A16" s="569"/>
      <c r="B16" s="571" t="s">
        <v>1091</v>
      </c>
      <c r="C16" s="570"/>
    </row>
    <row r="17" spans="1:3" ht="31.5">
      <c r="A17" s="569">
        <v>12</v>
      </c>
      <c r="B17" s="569" t="s">
        <v>1080</v>
      </c>
      <c r="C17" s="570"/>
    </row>
    <row r="18" spans="1:3" ht="31.5">
      <c r="A18" s="569">
        <v>13</v>
      </c>
      <c r="B18" s="569" t="s">
        <v>1092</v>
      </c>
      <c r="C18" s="570"/>
    </row>
    <row r="19" spans="1:3" ht="31.5">
      <c r="A19" s="569">
        <v>14</v>
      </c>
      <c r="B19" s="569" t="s">
        <v>1093</v>
      </c>
    </row>
    <row r="20" spans="1:3" ht="31.5">
      <c r="A20" s="569">
        <v>15</v>
      </c>
      <c r="B20" s="569" t="s">
        <v>1094</v>
      </c>
    </row>
    <row r="21" spans="1:3" ht="31.5">
      <c r="A21" s="569">
        <v>16</v>
      </c>
      <c r="B21" s="569" t="s">
        <v>1084</v>
      </c>
    </row>
    <row r="22" spans="1:3" ht="31.5">
      <c r="A22" s="569">
        <v>17</v>
      </c>
      <c r="B22" s="569" t="s">
        <v>1095</v>
      </c>
    </row>
    <row r="23" spans="1:3" ht="31.5">
      <c r="A23" s="569">
        <v>18</v>
      </c>
      <c r="B23" s="569" t="s">
        <v>1096</v>
      </c>
    </row>
    <row r="24" spans="1:3" ht="31.5">
      <c r="A24" s="569">
        <v>19</v>
      </c>
      <c r="B24" s="569" t="s">
        <v>1097</v>
      </c>
    </row>
    <row r="25" spans="1:3" ht="31.5">
      <c r="A25" s="569">
        <v>20</v>
      </c>
      <c r="B25" s="569" t="s">
        <v>1098</v>
      </c>
    </row>
    <row r="26" spans="1:3" ht="31.5">
      <c r="A26" s="569">
        <v>21</v>
      </c>
      <c r="B26" s="569" t="s">
        <v>1099</v>
      </c>
    </row>
    <row r="27" spans="1:3" ht="31.5">
      <c r="A27" s="569">
        <v>22</v>
      </c>
      <c r="B27" s="569" t="s">
        <v>1090</v>
      </c>
    </row>
    <row r="28" spans="1:3" ht="31.5">
      <c r="A28" s="569"/>
      <c r="B28" s="571" t="s">
        <v>1100</v>
      </c>
    </row>
    <row r="29" spans="1:3" ht="31.5">
      <c r="A29" s="569">
        <v>23</v>
      </c>
      <c r="B29" s="569" t="s">
        <v>1101</v>
      </c>
    </row>
    <row r="30" spans="1:3" ht="31.5">
      <c r="A30" s="569">
        <v>24</v>
      </c>
      <c r="B30" s="569" t="s">
        <v>1102</v>
      </c>
    </row>
    <row r="31" spans="1:3" ht="31.5">
      <c r="A31" s="569">
        <v>25</v>
      </c>
      <c r="B31" s="569" t="s">
        <v>158</v>
      </c>
    </row>
    <row r="32" spans="1:3" ht="31.5">
      <c r="A32" s="569">
        <v>26</v>
      </c>
      <c r="B32" s="569" t="s">
        <v>1103</v>
      </c>
    </row>
    <row r="33" spans="1:2" ht="45" customHeight="1">
      <c r="B33" s="572" t="s">
        <v>421</v>
      </c>
    </row>
    <row r="34" spans="1:2" ht="51" customHeight="1">
      <c r="A34" s="482">
        <f>COUNTA(A5:A32)</f>
        <v>26</v>
      </c>
      <c r="B34" s="557"/>
    </row>
    <row r="35" spans="1:2">
      <c r="A35" s="573" t="s">
        <v>1104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scale="31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42"/>
  <sheetViews>
    <sheetView view="pageBreakPreview" topLeftCell="A5" zoomScale="10" zoomScaleSheetLayoutView="10" workbookViewId="0">
      <selection activeCell="L32" sqref="L32:M34"/>
    </sheetView>
  </sheetViews>
  <sheetFormatPr defaultRowHeight="34.5"/>
  <cols>
    <col min="1" max="1" width="43.83203125" style="84" customWidth="1"/>
    <col min="2" max="2" width="218.1640625" style="42" customWidth="1"/>
    <col min="3" max="3" width="4" style="42" hidden="1" customWidth="1"/>
    <col min="4" max="5" width="255.83203125" style="42" hidden="1" customWidth="1"/>
    <col min="6" max="6" width="169.83203125" style="42" customWidth="1"/>
    <col min="7" max="7" width="255.6640625" style="42" hidden="1" customWidth="1"/>
    <col min="8" max="8" width="163.1640625" style="42" hidden="1" customWidth="1"/>
    <col min="9" max="9" width="155.6640625" style="42" customWidth="1"/>
    <col min="10" max="10" width="154.83203125" style="42" customWidth="1"/>
    <col min="11" max="11" width="255.6640625" style="42" customWidth="1"/>
    <col min="12" max="12" width="223.1640625" style="42" customWidth="1"/>
    <col min="13" max="13" width="197.83203125" style="42" customWidth="1"/>
    <col min="14" max="14" width="135" style="206" customWidth="1"/>
    <col min="15" max="15" width="37.6640625" style="42" customWidth="1"/>
    <col min="16" max="16" width="9.33203125" style="42"/>
    <col min="17" max="17" width="1.83203125" style="42" customWidth="1"/>
    <col min="18" max="102" width="9.33203125" style="42" customWidth="1"/>
    <col min="103" max="103" width="14.5" style="42" customWidth="1"/>
    <col min="104" max="104" width="26.6640625" style="42" customWidth="1"/>
    <col min="105" max="105" width="24.33203125" style="42" customWidth="1"/>
    <col min="106" max="16384" width="9.33203125" style="42"/>
  </cols>
  <sheetData>
    <row r="1" spans="1:105" ht="121.5" thickBot="1">
      <c r="A1" s="1801" t="s">
        <v>409</v>
      </c>
      <c r="B1" s="1802"/>
      <c r="C1" s="1802"/>
      <c r="D1" s="1802"/>
      <c r="E1" s="1802"/>
      <c r="F1" s="1802"/>
      <c r="G1" s="1802"/>
      <c r="H1" s="1802"/>
      <c r="I1" s="1802"/>
      <c r="J1" s="1802"/>
      <c r="K1" s="1802"/>
      <c r="L1" s="1802"/>
      <c r="M1" s="1803"/>
      <c r="N1" s="202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5"/>
    </row>
    <row r="2" spans="1:105" ht="120.75">
      <c r="A2" s="1804" t="s">
        <v>536</v>
      </c>
      <c r="B2" s="1805"/>
      <c r="C2" s="1805"/>
      <c r="D2" s="1805"/>
      <c r="E2" s="1805"/>
      <c r="F2" s="1805"/>
      <c r="G2" s="1805"/>
      <c r="H2" s="1805"/>
      <c r="I2" s="1805"/>
      <c r="J2" s="1805"/>
      <c r="K2" s="1805"/>
      <c r="L2" s="1805"/>
      <c r="M2" s="1806"/>
      <c r="N2" s="203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7"/>
    </row>
    <row r="3" spans="1:105" ht="120.75">
      <c r="A3" s="1807" t="s">
        <v>507</v>
      </c>
      <c r="B3" s="1808"/>
      <c r="C3" s="1808"/>
      <c r="D3" s="1808"/>
      <c r="E3" s="1808"/>
      <c r="F3" s="1808"/>
      <c r="G3" s="1808"/>
      <c r="H3" s="1808"/>
      <c r="I3" s="1808"/>
      <c r="J3" s="1808"/>
      <c r="K3" s="1808"/>
      <c r="L3" s="1808"/>
      <c r="M3" s="1809"/>
      <c r="N3" s="203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7"/>
    </row>
    <row r="4" spans="1:105" ht="21" hidden="1" customHeight="1" thickBot="1">
      <c r="A4" s="1807"/>
      <c r="B4" s="1808"/>
      <c r="C4" s="1808"/>
      <c r="D4" s="1808"/>
      <c r="E4" s="1808"/>
      <c r="F4" s="1808"/>
      <c r="G4" s="1808"/>
      <c r="H4" s="1808"/>
      <c r="I4" s="1808"/>
      <c r="J4" s="1808"/>
      <c r="K4" s="1808"/>
      <c r="L4" s="1808"/>
      <c r="M4" s="1809"/>
      <c r="N4" s="204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9"/>
    </row>
    <row r="5" spans="1:105" ht="120.75">
      <c r="A5" s="1810" t="s">
        <v>519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2"/>
      <c r="N5" s="203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7"/>
    </row>
    <row r="6" spans="1:105" ht="393.75" customHeight="1">
      <c r="A6" s="198" t="s">
        <v>0</v>
      </c>
      <c r="B6" s="1797" t="s">
        <v>434</v>
      </c>
      <c r="C6" s="1797"/>
      <c r="D6" s="199" t="s">
        <v>503</v>
      </c>
      <c r="E6" s="199" t="s">
        <v>504</v>
      </c>
      <c r="F6" s="199" t="s">
        <v>518</v>
      </c>
      <c r="G6" s="199" t="s">
        <v>499</v>
      </c>
      <c r="H6" s="199" t="s">
        <v>498</v>
      </c>
      <c r="I6" s="209" t="s">
        <v>540</v>
      </c>
      <c r="J6" s="208" t="s">
        <v>541</v>
      </c>
      <c r="K6" s="199" t="s">
        <v>500</v>
      </c>
      <c r="L6" s="215" t="s">
        <v>539</v>
      </c>
      <c r="M6" s="279" t="s">
        <v>505</v>
      </c>
      <c r="N6" s="205"/>
      <c r="O6" s="63"/>
      <c r="P6" s="63"/>
      <c r="Q6" s="63"/>
      <c r="DA6" s="79"/>
    </row>
    <row r="7" spans="1:105" ht="125.25">
      <c r="A7" s="220">
        <v>1</v>
      </c>
      <c r="B7" s="221" t="s">
        <v>435</v>
      </c>
      <c r="C7" s="221"/>
      <c r="D7" s="222">
        <f>'ABEOKUTA NORTH'!CM33</f>
        <v>27701</v>
      </c>
      <c r="E7" s="223" t="s">
        <v>502</v>
      </c>
      <c r="F7" s="222">
        <f>SUM(D7:E7)</f>
        <v>27701</v>
      </c>
      <c r="G7" s="224">
        <f>'ABEOKUTA NORTH'!CX33</f>
        <v>3000000</v>
      </c>
      <c r="H7" s="224" t="s">
        <v>502</v>
      </c>
      <c r="I7" s="222" t="e">
        <f>'ABEOKUTA NORTH'!CG36</f>
        <v>#REF!</v>
      </c>
      <c r="J7" s="222">
        <f>'ABEOKUTA NORTH'!CH36</f>
        <v>11</v>
      </c>
      <c r="K7" s="224">
        <f>'ABEOKUTA NORTH'!CX34</f>
        <v>554020</v>
      </c>
      <c r="L7" s="224">
        <f>'ABEOKUTA NORTH'!CX33</f>
        <v>3000000</v>
      </c>
      <c r="M7" s="229">
        <f>K7+L7</f>
        <v>3554020</v>
      </c>
      <c r="N7" s="277" t="e">
        <f>(I7*90000+J7*150000)</f>
        <v>#REF!</v>
      </c>
      <c r="DA7" s="79"/>
    </row>
    <row r="8" spans="1:105" ht="125.25">
      <c r="A8" s="220">
        <v>2</v>
      </c>
      <c r="B8" s="221" t="s">
        <v>436</v>
      </c>
      <c r="C8" s="221"/>
      <c r="D8" s="222">
        <f>'ABEOKUTA SOUTH'!CP47-E8</f>
        <v>0</v>
      </c>
      <c r="E8" s="222">
        <f>'ABEOKUTA SOUTH'!CP46</f>
        <v>0</v>
      </c>
      <c r="F8" s="222">
        <f t="shared" ref="F8:F26" si="0">SUM(D8:E8)</f>
        <v>0</v>
      </c>
      <c r="G8" s="224">
        <f>'ABEOKUTA SOUTH'!CY47-H8</f>
        <v>0</v>
      </c>
      <c r="H8" s="224">
        <f>E8*1200</f>
        <v>0</v>
      </c>
      <c r="I8" s="222">
        <f>'ABEOKUTA SOUTH'!CK50</f>
        <v>0</v>
      </c>
      <c r="J8" s="222">
        <f>'ABEOKUTA SOUTH'!CL50</f>
        <v>0</v>
      </c>
      <c r="K8" s="224">
        <f>'ABEOKUTA SOUTH'!CY48</f>
        <v>0</v>
      </c>
      <c r="L8" s="224">
        <f>'ABEOKUTA SOUTH'!CY47</f>
        <v>0</v>
      </c>
      <c r="M8" s="229">
        <f t="shared" ref="M8:M26" si="1">K8+L8</f>
        <v>0</v>
      </c>
      <c r="N8" s="277">
        <f t="shared" ref="N8:N26" si="2">(I8*90000+J8*150000)</f>
        <v>0</v>
      </c>
      <c r="DA8" s="79"/>
    </row>
    <row r="9" spans="1:105" ht="125.25">
      <c r="A9" s="220">
        <v>3</v>
      </c>
      <c r="B9" s="221" t="s">
        <v>437</v>
      </c>
      <c r="C9" s="221"/>
      <c r="D9" s="222" t="e">
        <f>#REF!-E9</f>
        <v>#REF!</v>
      </c>
      <c r="E9" s="222" t="e">
        <f>#REF!</f>
        <v>#REF!</v>
      </c>
      <c r="F9" s="222" t="e">
        <f t="shared" si="0"/>
        <v>#REF!</v>
      </c>
      <c r="G9" s="224" t="e">
        <f>#REF!-H9</f>
        <v>#REF!</v>
      </c>
      <c r="H9" s="224" t="e">
        <f>E9*1200</f>
        <v>#REF!</v>
      </c>
      <c r="I9" s="222" t="e">
        <f>#REF!</f>
        <v>#REF!</v>
      </c>
      <c r="J9" s="222" t="e">
        <f>#REF!</f>
        <v>#REF!</v>
      </c>
      <c r="K9" s="224" t="e">
        <f>#REF!</f>
        <v>#REF!</v>
      </c>
      <c r="L9" s="224" t="e">
        <f>#REF!</f>
        <v>#REF!</v>
      </c>
      <c r="M9" s="229" t="e">
        <f t="shared" si="1"/>
        <v>#REF!</v>
      </c>
      <c r="N9" s="277" t="e">
        <f t="shared" si="2"/>
        <v>#REF!</v>
      </c>
      <c r="DA9" s="79"/>
    </row>
    <row r="10" spans="1:105" ht="125.25">
      <c r="A10" s="220">
        <v>4</v>
      </c>
      <c r="B10" s="221" t="s">
        <v>438</v>
      </c>
      <c r="C10" s="221"/>
      <c r="D10" s="222">
        <f>EWEKORO!CM20-E10</f>
        <v>13111</v>
      </c>
      <c r="E10" s="222">
        <f>EWEKORO!CM19</f>
        <v>233</v>
      </c>
      <c r="F10" s="222">
        <f t="shared" si="0"/>
        <v>13344</v>
      </c>
      <c r="G10" s="224">
        <f>EWEKORO!CP20-H10</f>
        <v>1190400</v>
      </c>
      <c r="H10" s="224">
        <f>E10*1200</f>
        <v>279600</v>
      </c>
      <c r="I10" s="222">
        <f>EWEKORO!CG23</f>
        <v>8</v>
      </c>
      <c r="J10" s="222">
        <f>EWEKORO!CH23</f>
        <v>5</v>
      </c>
      <c r="K10" s="224">
        <f>EWEKORO!CP21</f>
        <v>266880</v>
      </c>
      <c r="L10" s="224">
        <f>EWEKORO!CP20</f>
        <v>1470000</v>
      </c>
      <c r="M10" s="229">
        <f t="shared" si="1"/>
        <v>1736880</v>
      </c>
      <c r="N10" s="277">
        <f t="shared" si="2"/>
        <v>1470000</v>
      </c>
      <c r="DA10" s="79"/>
    </row>
    <row r="11" spans="1:105" ht="125.25">
      <c r="A11" s="220">
        <v>5</v>
      </c>
      <c r="B11" s="221" t="s">
        <v>439</v>
      </c>
      <c r="C11" s="221"/>
      <c r="D11" s="222" t="e">
        <f>Ifo!#REF!</f>
        <v>#REF!</v>
      </c>
      <c r="E11" s="223" t="s">
        <v>502</v>
      </c>
      <c r="F11" s="222" t="e">
        <f t="shared" si="0"/>
        <v>#REF!</v>
      </c>
      <c r="G11" s="224">
        <f>Ifo!CO39</f>
        <v>0</v>
      </c>
      <c r="H11" s="224" t="s">
        <v>502</v>
      </c>
      <c r="I11" s="222">
        <f>Ifo!BZ44</f>
        <v>0</v>
      </c>
      <c r="J11" s="222">
        <f>Ifo!CA44</f>
        <v>0</v>
      </c>
      <c r="K11" s="224">
        <f>Ifo!CO40</f>
        <v>0</v>
      </c>
      <c r="L11" s="224">
        <f>Ifo!CO39</f>
        <v>0</v>
      </c>
      <c r="M11" s="229">
        <f t="shared" si="1"/>
        <v>0</v>
      </c>
      <c r="N11" s="277">
        <f t="shared" si="2"/>
        <v>0</v>
      </c>
      <c r="DA11" s="79"/>
    </row>
    <row r="12" spans="1:105" ht="125.25">
      <c r="A12" s="220">
        <v>6</v>
      </c>
      <c r="B12" s="221" t="s">
        <v>440</v>
      </c>
      <c r="C12" s="221"/>
      <c r="D12" s="222">
        <f>'Ijebu East'!CM25</f>
        <v>0</v>
      </c>
      <c r="E12" s="223" t="s">
        <v>502</v>
      </c>
      <c r="F12" s="222">
        <f t="shared" si="0"/>
        <v>0</v>
      </c>
      <c r="G12" s="224">
        <f>'Ijebu East'!CO25</f>
        <v>0</v>
      </c>
      <c r="H12" s="224" t="s">
        <v>502</v>
      </c>
      <c r="I12" s="222">
        <f>'Ijebu East'!CG28</f>
        <v>0</v>
      </c>
      <c r="J12" s="222">
        <f>'Ijebu East'!CH28</f>
        <v>0</v>
      </c>
      <c r="K12" s="224">
        <f>'Ijebu East'!CO26</f>
        <v>0</v>
      </c>
      <c r="L12" s="224">
        <f>'Ijebu East'!CO25</f>
        <v>0</v>
      </c>
      <c r="M12" s="229">
        <f t="shared" si="1"/>
        <v>0</v>
      </c>
      <c r="N12" s="277">
        <f t="shared" si="2"/>
        <v>0</v>
      </c>
      <c r="DA12" s="79"/>
    </row>
    <row r="13" spans="1:105" ht="125.25">
      <c r="A13" s="220">
        <v>7</v>
      </c>
      <c r="B13" s="221" t="s">
        <v>441</v>
      </c>
      <c r="C13" s="221"/>
      <c r="D13" s="222">
        <f>'Ijebu North EAST'!CV20</f>
        <v>4175</v>
      </c>
      <c r="E13" s="223" t="s">
        <v>502</v>
      </c>
      <c r="F13" s="222">
        <f t="shared" si="0"/>
        <v>4175</v>
      </c>
      <c r="G13" s="224">
        <f>'Ijebu North EAST'!DB20</f>
        <v>1170000</v>
      </c>
      <c r="H13" s="224" t="s">
        <v>502</v>
      </c>
      <c r="I13" s="222">
        <f>'Ijebu North EAST'!CP23</f>
        <v>13</v>
      </c>
      <c r="J13" s="222">
        <f>'Ijebu North EAST'!CQ23</f>
        <v>0</v>
      </c>
      <c r="K13" s="224">
        <f>'Ijebu North EAST'!DB21</f>
        <v>83500</v>
      </c>
      <c r="L13" s="224">
        <f>'Ijebu North EAST'!DB20</f>
        <v>1170000</v>
      </c>
      <c r="M13" s="229">
        <f t="shared" si="1"/>
        <v>1253500</v>
      </c>
      <c r="N13" s="277">
        <f t="shared" si="2"/>
        <v>1170000</v>
      </c>
      <c r="DA13" s="79"/>
    </row>
    <row r="14" spans="1:105" ht="125.25">
      <c r="A14" s="220">
        <v>8</v>
      </c>
      <c r="B14" s="221" t="s">
        <v>442</v>
      </c>
      <c r="C14" s="221"/>
      <c r="D14" s="222">
        <f>'Ijebu North'!CD44-E14</f>
        <v>16768</v>
      </c>
      <c r="E14" s="222">
        <f>'Ijebu North'!CD27</f>
        <v>106</v>
      </c>
      <c r="F14" s="222">
        <f>D14+E14</f>
        <v>16874</v>
      </c>
      <c r="G14" s="224">
        <f>'Ijebu North'!CI44-H14</f>
        <v>3292800</v>
      </c>
      <c r="H14" s="224">
        <f>E14*1200</f>
        <v>127200</v>
      </c>
      <c r="I14" s="222">
        <f>'Ijebu North'!BY47</f>
        <v>33</v>
      </c>
      <c r="J14" s="222">
        <f>'Ijebu North'!BZ47</f>
        <v>3</v>
      </c>
      <c r="K14" s="224">
        <f>'Ijebu North'!CI45</f>
        <v>337480</v>
      </c>
      <c r="L14" s="224">
        <f>'Ijebu North'!CI44</f>
        <v>3420000</v>
      </c>
      <c r="M14" s="229">
        <f t="shared" si="1"/>
        <v>3757480</v>
      </c>
      <c r="N14" s="277">
        <f t="shared" si="2"/>
        <v>3420000</v>
      </c>
      <c r="O14" s="85">
        <f>N14+H14</f>
        <v>3547200</v>
      </c>
      <c r="DA14" s="79"/>
    </row>
    <row r="15" spans="1:105" ht="125.25">
      <c r="A15" s="220">
        <v>9</v>
      </c>
      <c r="B15" s="221" t="s">
        <v>443</v>
      </c>
      <c r="C15" s="221"/>
      <c r="D15" s="222">
        <f>'Ijebu Ode'!CM33-E15</f>
        <v>25755</v>
      </c>
      <c r="E15" s="222">
        <f>'Ijebu Ode'!CM30</f>
        <v>489</v>
      </c>
      <c r="F15" s="222">
        <f t="shared" si="0"/>
        <v>26244</v>
      </c>
      <c r="G15" s="224">
        <f>'Ijebu Ode'!DB33-H15</f>
        <v>2413200</v>
      </c>
      <c r="H15" s="224">
        <f>E15*1200</f>
        <v>586800</v>
      </c>
      <c r="I15" s="222">
        <f>'Ijebu Ode'!CG36</f>
        <v>15</v>
      </c>
      <c r="J15" s="222">
        <f>'Ijebu Ode'!CH36</f>
        <v>11</v>
      </c>
      <c r="K15" s="224">
        <f>'Ijebu Ode'!DB34</f>
        <v>524880</v>
      </c>
      <c r="L15" s="224">
        <f>'Ijebu Ode'!DB33</f>
        <v>3000000</v>
      </c>
      <c r="M15" s="229">
        <f t="shared" si="1"/>
        <v>3524880</v>
      </c>
      <c r="N15" s="277">
        <f t="shared" si="2"/>
        <v>3000000</v>
      </c>
      <c r="DA15" s="79"/>
    </row>
    <row r="16" spans="1:105" ht="125.25">
      <c r="A16" s="220">
        <v>10</v>
      </c>
      <c r="B16" s="221" t="s">
        <v>444</v>
      </c>
      <c r="C16" s="221"/>
      <c r="D16" s="222">
        <f>Ikenne!CM24</f>
        <v>0</v>
      </c>
      <c r="E16" s="223" t="s">
        <v>502</v>
      </c>
      <c r="F16" s="222">
        <f t="shared" si="0"/>
        <v>0</v>
      </c>
      <c r="G16" s="224">
        <f>Ikenne!DA24</f>
        <v>1800000</v>
      </c>
      <c r="H16" s="224" t="s">
        <v>502</v>
      </c>
      <c r="I16" s="222">
        <f>Ikenne!CI27</f>
        <v>15</v>
      </c>
      <c r="J16" s="222">
        <f>Ikenne!CJ27</f>
        <v>3</v>
      </c>
      <c r="K16" s="224">
        <f>Ikenne!DA25</f>
        <v>0</v>
      </c>
      <c r="L16" s="224">
        <f>Ikenne!DA24</f>
        <v>1800000</v>
      </c>
      <c r="M16" s="229">
        <f t="shared" si="1"/>
        <v>1800000</v>
      </c>
      <c r="N16" s="277">
        <f t="shared" si="2"/>
        <v>1800000</v>
      </c>
      <c r="DA16" s="79"/>
    </row>
    <row r="17" spans="1:105" ht="125.25">
      <c r="A17" s="220">
        <v>11</v>
      </c>
      <c r="B17" s="221" t="s">
        <v>445</v>
      </c>
      <c r="C17" s="221"/>
      <c r="D17" s="225">
        <f>'Imeko Afon'!CN55</f>
        <v>6371</v>
      </c>
      <c r="E17" s="223" t="s">
        <v>502</v>
      </c>
      <c r="F17" s="222">
        <f t="shared" si="0"/>
        <v>6371</v>
      </c>
      <c r="G17" s="224">
        <f>'Imeko Afon'!DA55</f>
        <v>1530000</v>
      </c>
      <c r="H17" s="224" t="s">
        <v>502</v>
      </c>
      <c r="I17" s="222">
        <f>'Imeko Afon'!CH58</f>
        <v>17</v>
      </c>
      <c r="J17" s="222">
        <f>'Imeko Afon'!CI58</f>
        <v>0</v>
      </c>
      <c r="K17" s="224">
        <f>'Imeko Afon'!DA56</f>
        <v>127420</v>
      </c>
      <c r="L17" s="224">
        <f>'Imeko Afon'!DA55</f>
        <v>1530000</v>
      </c>
      <c r="M17" s="229">
        <f t="shared" si="1"/>
        <v>1657420</v>
      </c>
      <c r="N17" s="277">
        <f t="shared" si="2"/>
        <v>1530000</v>
      </c>
      <c r="DA17" s="79"/>
    </row>
    <row r="18" spans="1:105" ht="125.25">
      <c r="A18" s="220">
        <v>12</v>
      </c>
      <c r="B18" s="221" t="s">
        <v>446</v>
      </c>
      <c r="C18" s="221"/>
      <c r="D18" s="222">
        <f>IPOKIA!CM30</f>
        <v>17807</v>
      </c>
      <c r="E18" s="223" t="s">
        <v>502</v>
      </c>
      <c r="F18" s="222">
        <f t="shared" si="0"/>
        <v>17807</v>
      </c>
      <c r="G18" s="224">
        <f>IPOKIA!DB30</f>
        <v>2280000</v>
      </c>
      <c r="H18" s="224" t="s">
        <v>502</v>
      </c>
      <c r="I18" s="222">
        <f>IPOKIA!CJ33</f>
        <v>17</v>
      </c>
      <c r="J18" s="222">
        <f>IPOKIA!CK33</f>
        <v>5</v>
      </c>
      <c r="K18" s="224">
        <f>IPOKIA!DB31</f>
        <v>356140</v>
      </c>
      <c r="L18" s="224">
        <f>IPOKIA!DB30</f>
        <v>2280000</v>
      </c>
      <c r="M18" s="229">
        <f t="shared" si="1"/>
        <v>2636140</v>
      </c>
      <c r="N18" s="277">
        <f t="shared" si="2"/>
        <v>2280000</v>
      </c>
      <c r="DA18" s="79"/>
    </row>
    <row r="19" spans="1:105" ht="125.25">
      <c r="A19" s="220">
        <v>13</v>
      </c>
      <c r="B19" s="221" t="s">
        <v>447</v>
      </c>
      <c r="C19" s="221"/>
      <c r="D19" s="222">
        <f>'Obafemi Owode'!CX29</f>
        <v>0</v>
      </c>
      <c r="E19" s="223" t="s">
        <v>502</v>
      </c>
      <c r="F19" s="222">
        <f t="shared" si="0"/>
        <v>0</v>
      </c>
      <c r="G19" s="224">
        <f>'Obafemi Owode'!DG29</f>
        <v>0</v>
      </c>
      <c r="H19" s="224" t="s">
        <v>502</v>
      </c>
      <c r="I19" s="222">
        <f>'Obafemi Owode'!CR33</f>
        <v>22</v>
      </c>
      <c r="J19" s="222">
        <f>'Obafemi Owode'!CS33</f>
        <v>0</v>
      </c>
      <c r="K19" s="224">
        <f>'Obafemi Owode'!DG30</f>
        <v>0</v>
      </c>
      <c r="L19" s="224">
        <f>'Obafemi Owode'!DG29</f>
        <v>0</v>
      </c>
      <c r="M19" s="229">
        <f t="shared" si="1"/>
        <v>0</v>
      </c>
      <c r="N19" s="277">
        <f t="shared" si="2"/>
        <v>1980000</v>
      </c>
      <c r="DA19" s="79"/>
    </row>
    <row r="20" spans="1:105" ht="125.25">
      <c r="A20" s="220">
        <v>14</v>
      </c>
      <c r="B20" s="221" t="s">
        <v>414</v>
      </c>
      <c r="C20" s="221"/>
      <c r="D20" s="222">
        <f>Odeda!CJ25</f>
        <v>0</v>
      </c>
      <c r="E20" s="223" t="s">
        <v>502</v>
      </c>
      <c r="F20" s="222">
        <f t="shared" si="0"/>
        <v>0</v>
      </c>
      <c r="G20" s="224">
        <f>Odeda!CM25</f>
        <v>0</v>
      </c>
      <c r="H20" s="224" t="s">
        <v>502</v>
      </c>
      <c r="I20" s="222">
        <f>Odeda!CD28</f>
        <v>0</v>
      </c>
      <c r="J20" s="222">
        <f>Odeda!CE28</f>
        <v>0</v>
      </c>
      <c r="K20" s="224">
        <f>Odeda!CM26</f>
        <v>0</v>
      </c>
      <c r="L20" s="224">
        <f>Odeda!CM25</f>
        <v>0</v>
      </c>
      <c r="M20" s="229">
        <f t="shared" si="1"/>
        <v>0</v>
      </c>
      <c r="N20" s="277">
        <f t="shared" si="2"/>
        <v>0</v>
      </c>
      <c r="DA20" s="79"/>
    </row>
    <row r="21" spans="1:105" ht="125.25">
      <c r="A21" s="220">
        <v>15</v>
      </c>
      <c r="B21" s="221" t="s">
        <v>415</v>
      </c>
      <c r="C21" s="221"/>
      <c r="D21" s="222">
        <f>ODOGBOLU!CM32</f>
        <v>8515</v>
      </c>
      <c r="E21" s="223" t="s">
        <v>502</v>
      </c>
      <c r="F21" s="222">
        <f t="shared" si="0"/>
        <v>8515</v>
      </c>
      <c r="G21" s="224">
        <f>ODOGBOLU!DB32</f>
        <v>2250000</v>
      </c>
      <c r="H21" s="224" t="s">
        <v>502</v>
      </c>
      <c r="I21" s="222">
        <f>ODOGBOLU!CG35</f>
        <v>25</v>
      </c>
      <c r="J21" s="222">
        <f>ODOGBOLU!CH35</f>
        <v>0</v>
      </c>
      <c r="K21" s="224">
        <f>ODOGBOLU!DB33</f>
        <v>170300</v>
      </c>
      <c r="L21" s="224">
        <f>ODOGBOLU!DB32</f>
        <v>2250000</v>
      </c>
      <c r="M21" s="229">
        <f t="shared" si="1"/>
        <v>2420300</v>
      </c>
      <c r="N21" s="277">
        <f t="shared" si="2"/>
        <v>2250000</v>
      </c>
      <c r="DA21" s="79"/>
    </row>
    <row r="22" spans="1:105" ht="125.25">
      <c r="A22" s="220">
        <v>16</v>
      </c>
      <c r="B22" s="221" t="s">
        <v>448</v>
      </c>
      <c r="C22" s="221"/>
      <c r="D22" s="225">
        <f>'Remo North'!CM16-E22</f>
        <v>3485</v>
      </c>
      <c r="E22" s="225">
        <f>'Remo North'!CM15</f>
        <v>28</v>
      </c>
      <c r="F22" s="222">
        <f t="shared" si="0"/>
        <v>3513</v>
      </c>
      <c r="G22" s="224">
        <f>'Remo North'!DB16-H22</f>
        <v>776400</v>
      </c>
      <c r="H22" s="224">
        <f>E22*1200</f>
        <v>33600</v>
      </c>
      <c r="I22" s="222">
        <f>'Remo North'!CD19</f>
        <v>9</v>
      </c>
      <c r="J22" s="222">
        <f>'Remo North'!CE19</f>
        <v>0</v>
      </c>
      <c r="K22" s="224">
        <f>'Remo North'!DB17</f>
        <v>70260</v>
      </c>
      <c r="L22" s="224">
        <f>'Remo North'!DB16</f>
        <v>810000</v>
      </c>
      <c r="M22" s="229">
        <f t="shared" si="1"/>
        <v>880260</v>
      </c>
      <c r="N22" s="277">
        <f t="shared" si="2"/>
        <v>810000</v>
      </c>
      <c r="DA22" s="79"/>
    </row>
    <row r="23" spans="1:105" ht="125.25">
      <c r="A23" s="220">
        <v>17</v>
      </c>
      <c r="B23" s="221" t="s">
        <v>449</v>
      </c>
      <c r="C23" s="221"/>
      <c r="D23" s="222">
        <f>Sagamu!CD35</f>
        <v>29003</v>
      </c>
      <c r="E23" s="223" t="s">
        <v>502</v>
      </c>
      <c r="F23" s="222">
        <f t="shared" si="0"/>
        <v>29003</v>
      </c>
      <c r="G23" s="224">
        <f>Sagamu!CT35</f>
        <v>3210000</v>
      </c>
      <c r="H23" s="224" t="s">
        <v>502</v>
      </c>
      <c r="I23" s="222">
        <f>Sagamu!BZ38</f>
        <v>14</v>
      </c>
      <c r="J23" s="222">
        <f>Sagamu!CA38</f>
        <v>13</v>
      </c>
      <c r="K23" s="224">
        <f>Sagamu!CT36</f>
        <v>580060</v>
      </c>
      <c r="L23" s="224">
        <f>Sagamu!CT35</f>
        <v>3210000</v>
      </c>
      <c r="M23" s="229">
        <f t="shared" si="1"/>
        <v>3790060</v>
      </c>
      <c r="N23" s="277">
        <f t="shared" si="2"/>
        <v>3210000</v>
      </c>
      <c r="DA23" s="79"/>
    </row>
    <row r="24" spans="1:105" ht="125.25">
      <c r="A24" s="220">
        <v>18</v>
      </c>
      <c r="B24" s="221" t="s">
        <v>417</v>
      </c>
      <c r="C24" s="221"/>
      <c r="D24" s="222">
        <f>'OGUN WATERSIDE'!CN55</f>
        <v>6789</v>
      </c>
      <c r="E24" s="223" t="s">
        <v>502</v>
      </c>
      <c r="F24" s="222">
        <f t="shared" si="0"/>
        <v>6789</v>
      </c>
      <c r="G24" s="224">
        <f>'OGUN WATERSIDE'!DD55</f>
        <v>1710000</v>
      </c>
      <c r="H24" s="224" t="s">
        <v>502</v>
      </c>
      <c r="I24" s="222">
        <f>'OGUN WATERSIDE'!CK58</f>
        <v>19</v>
      </c>
      <c r="J24" s="222">
        <f>'OGUN WATERSIDE'!CL58</f>
        <v>0</v>
      </c>
      <c r="K24" s="224">
        <f>'OGUN WATERSIDE'!DD56</f>
        <v>135780</v>
      </c>
      <c r="L24" s="224">
        <f>'OGUN WATERSIDE'!DD55</f>
        <v>1710000</v>
      </c>
      <c r="M24" s="229">
        <f t="shared" si="1"/>
        <v>1845780</v>
      </c>
      <c r="N24" s="277">
        <f t="shared" si="2"/>
        <v>1710000</v>
      </c>
      <c r="DA24" s="79"/>
    </row>
    <row r="25" spans="1:105" ht="125.25">
      <c r="A25" s="220">
        <v>19</v>
      </c>
      <c r="B25" s="221" t="s">
        <v>450</v>
      </c>
      <c r="C25" s="221"/>
      <c r="D25" s="222">
        <f>'YEWA NORTH'!CJ40-E25</f>
        <v>15782</v>
      </c>
      <c r="E25" s="222">
        <f>'YEWA NORTH'!CJ18</f>
        <v>437</v>
      </c>
      <c r="F25" s="222">
        <f t="shared" si="0"/>
        <v>16219</v>
      </c>
      <c r="G25" s="224">
        <f>'YEWA NORTH'!CY40-H25</f>
        <v>2595600</v>
      </c>
      <c r="H25" s="224">
        <f>E25*1200</f>
        <v>524400</v>
      </c>
      <c r="I25" s="222">
        <f>'YEWA NORTH'!CD43</f>
        <v>28</v>
      </c>
      <c r="J25" s="222">
        <f>'YEWA NORTH'!CE43</f>
        <v>4</v>
      </c>
      <c r="K25" s="224">
        <f>'YEWA NORTH'!CY41</f>
        <v>324380</v>
      </c>
      <c r="L25" s="224">
        <f>'YEWA NORTH'!CY40</f>
        <v>3120000</v>
      </c>
      <c r="M25" s="229">
        <f t="shared" si="1"/>
        <v>3444380</v>
      </c>
      <c r="N25" s="277">
        <f t="shared" si="2"/>
        <v>3120000</v>
      </c>
      <c r="DA25" s="79"/>
    </row>
    <row r="26" spans="1:105" ht="125.25">
      <c r="A26" s="220">
        <v>20</v>
      </c>
      <c r="B26" s="221" t="s">
        <v>451</v>
      </c>
      <c r="C26" s="221"/>
      <c r="D26" s="222">
        <f>'YEWA SOUTH'!CN51</f>
        <v>22911</v>
      </c>
      <c r="E26" s="223" t="s">
        <v>502</v>
      </c>
      <c r="F26" s="222">
        <f t="shared" si="0"/>
        <v>22911</v>
      </c>
      <c r="G26" s="224">
        <f>'YEWA SOUTH'!DA51</f>
        <v>2610000</v>
      </c>
      <c r="H26" s="224" t="s">
        <v>502</v>
      </c>
      <c r="I26" s="222">
        <f>'YEWA SOUTH'!CK54</f>
        <v>14</v>
      </c>
      <c r="J26" s="222">
        <f>'YEWA SOUTH'!CL54</f>
        <v>9</v>
      </c>
      <c r="K26" s="224">
        <f>'YEWA SOUTH'!DA52</f>
        <v>458220</v>
      </c>
      <c r="L26" s="224">
        <f>'YEWA SOUTH'!DA51</f>
        <v>2610000</v>
      </c>
      <c r="M26" s="229">
        <f t="shared" si="1"/>
        <v>3068220</v>
      </c>
      <c r="N26" s="277">
        <f t="shared" si="2"/>
        <v>2610000</v>
      </c>
      <c r="DA26" s="79"/>
    </row>
    <row r="27" spans="1:105" ht="127.5" customHeight="1">
      <c r="A27" s="220"/>
      <c r="B27" s="226" t="s">
        <v>25</v>
      </c>
      <c r="C27" s="227"/>
      <c r="D27" s="222" t="e">
        <f>SUM(D7:D26)</f>
        <v>#REF!</v>
      </c>
      <c r="E27" s="222" t="e">
        <f t="shared" ref="E27:K27" si="3">SUM(E7:E26)</f>
        <v>#REF!</v>
      </c>
      <c r="F27" s="222" t="e">
        <f>SUM(F7:F26)</f>
        <v>#REF!</v>
      </c>
      <c r="G27" s="224" t="e">
        <f>SUM(G7:G26)</f>
        <v>#REF!</v>
      </c>
      <c r="H27" s="224" t="e">
        <f>SUM(H7:H26)</f>
        <v>#REF!</v>
      </c>
      <c r="I27" s="222" t="e">
        <f t="shared" ref="I27:J27" si="4">SUM(I7:I26)</f>
        <v>#REF!</v>
      </c>
      <c r="J27" s="222" t="e">
        <f t="shared" si="4"/>
        <v>#REF!</v>
      </c>
      <c r="K27" s="224" t="e">
        <f t="shared" si="3"/>
        <v>#REF!</v>
      </c>
      <c r="L27" s="228" t="e">
        <f>SUM(L7:L26)</f>
        <v>#REF!</v>
      </c>
      <c r="M27" s="229" t="e">
        <f>SUM(M7:M26)</f>
        <v>#REF!</v>
      </c>
      <c r="N27" s="278" t="e">
        <f>SUM(N7:N26)</f>
        <v>#REF!</v>
      </c>
      <c r="DA27" s="79"/>
    </row>
    <row r="28" spans="1:105" ht="127.5" customHeight="1">
      <c r="A28" s="230"/>
      <c r="B28" s="231"/>
      <c r="C28" s="231"/>
      <c r="D28" s="232"/>
      <c r="E28" s="232"/>
      <c r="F28" s="232"/>
      <c r="G28" s="233"/>
      <c r="H28" s="233"/>
      <c r="I28" s="232"/>
      <c r="J28" s="232"/>
      <c r="K28" s="233"/>
      <c r="L28" s="233"/>
      <c r="M28" s="235"/>
      <c r="N28" s="234"/>
      <c r="DA28" s="79"/>
    </row>
    <row r="29" spans="1:105" ht="109.5">
      <c r="A29" s="1794" t="s">
        <v>508</v>
      </c>
      <c r="B29" s="1795"/>
      <c r="C29" s="1795"/>
      <c r="D29" s="1795"/>
      <c r="E29" s="1795"/>
      <c r="F29" s="1795"/>
      <c r="G29" s="1795"/>
      <c r="H29" s="1795"/>
      <c r="I29" s="1795"/>
      <c r="J29" s="1795"/>
      <c r="K29" s="1795"/>
      <c r="L29" s="1795"/>
      <c r="M29" s="1796"/>
      <c r="DA29" s="79"/>
    </row>
    <row r="30" spans="1:105" ht="59.25" hidden="1" customHeight="1" thickBot="1">
      <c r="A30" s="1798" t="s">
        <v>509</v>
      </c>
      <c r="B30" s="1799"/>
      <c r="C30" s="1799"/>
      <c r="D30" s="1799"/>
      <c r="E30" s="1799"/>
      <c r="F30" s="1799"/>
      <c r="G30" s="1799"/>
      <c r="H30" s="1799"/>
      <c r="I30" s="1799"/>
      <c r="J30" s="1800"/>
      <c r="K30" s="214" t="e">
        <f>E27</f>
        <v>#REF!</v>
      </c>
      <c r="L30" s="1828"/>
      <c r="M30" s="1829"/>
      <c r="N30" s="207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/>
      <c r="CU30" s="82"/>
      <c r="CV30" s="82"/>
      <c r="CW30" s="82"/>
      <c r="CX30" s="82"/>
      <c r="CY30" s="82"/>
      <c r="CZ30" s="82"/>
      <c r="DA30" s="83"/>
    </row>
    <row r="31" spans="1:105" ht="87.75" customHeight="1">
      <c r="A31" s="1798" t="s">
        <v>547</v>
      </c>
      <c r="B31" s="1799"/>
      <c r="C31" s="1799"/>
      <c r="D31" s="1799"/>
      <c r="E31" s="1799"/>
      <c r="F31" s="1799"/>
      <c r="G31" s="1799"/>
      <c r="H31" s="1799"/>
      <c r="I31" s="1799"/>
      <c r="J31" s="1800"/>
      <c r="K31" s="214" t="e">
        <f>F27</f>
        <v>#REF!</v>
      </c>
      <c r="L31" s="1830">
        <v>396079</v>
      </c>
      <c r="M31" s="1831"/>
      <c r="N31" s="206">
        <v>58898550</v>
      </c>
    </row>
    <row r="32" spans="1:105" ht="87.75" customHeight="1">
      <c r="A32" s="1798" t="s">
        <v>540</v>
      </c>
      <c r="B32" s="1799"/>
      <c r="C32" s="1799"/>
      <c r="D32" s="1799"/>
      <c r="E32" s="1799"/>
      <c r="F32" s="1799"/>
      <c r="G32" s="1799"/>
      <c r="H32" s="1799"/>
      <c r="I32" s="1799"/>
      <c r="J32" s="1800"/>
      <c r="K32" s="210" t="e">
        <f>I27</f>
        <v>#REF!</v>
      </c>
      <c r="L32" s="1828">
        <v>478</v>
      </c>
      <c r="M32" s="1829"/>
    </row>
    <row r="33" spans="1:13" ht="87.75" customHeight="1">
      <c r="A33" s="1798" t="s">
        <v>541</v>
      </c>
      <c r="B33" s="1799"/>
      <c r="C33" s="1799"/>
      <c r="D33" s="1799"/>
      <c r="E33" s="1799"/>
      <c r="F33" s="1799"/>
      <c r="G33" s="1799"/>
      <c r="H33" s="1799"/>
      <c r="I33" s="1799"/>
      <c r="J33" s="1800"/>
      <c r="K33" s="210" t="e">
        <f>J27</f>
        <v>#REF!</v>
      </c>
      <c r="L33" s="1832"/>
      <c r="M33" s="1833"/>
    </row>
    <row r="34" spans="1:13" ht="132.75" customHeight="1">
      <c r="A34" s="280"/>
      <c r="B34" s="218" t="s">
        <v>543</v>
      </c>
      <c r="C34" s="218"/>
      <c r="D34" s="218"/>
      <c r="E34" s="218"/>
      <c r="F34" s="218"/>
      <c r="G34" s="218"/>
      <c r="H34" s="218"/>
      <c r="I34" s="218"/>
      <c r="J34" s="219"/>
      <c r="K34" s="236" t="e">
        <f>K32+K33</f>
        <v>#REF!</v>
      </c>
      <c r="L34" s="1834"/>
      <c r="M34" s="1835"/>
    </row>
    <row r="35" spans="1:13" ht="219" customHeight="1">
      <c r="A35" s="1822" t="s">
        <v>542</v>
      </c>
      <c r="B35" s="1823"/>
      <c r="C35" s="1823"/>
      <c r="D35" s="1823"/>
      <c r="E35" s="1823"/>
      <c r="F35" s="1823"/>
      <c r="G35" s="1823"/>
      <c r="H35" s="1823"/>
      <c r="I35" s="1823"/>
      <c r="J35" s="1824"/>
      <c r="K35" s="197" t="e">
        <f>L27</f>
        <v>#REF!</v>
      </c>
      <c r="L35" s="1816" t="e">
        <f>K35+K37</f>
        <v>#REF!</v>
      </c>
      <c r="M35" s="1817"/>
    </row>
    <row r="36" spans="1:13" ht="87.75" hidden="1" customHeight="1">
      <c r="A36" s="1798" t="s">
        <v>498</v>
      </c>
      <c r="B36" s="1799"/>
      <c r="C36" s="1799"/>
      <c r="D36" s="1799"/>
      <c r="E36" s="1799"/>
      <c r="F36" s="1799"/>
      <c r="G36" s="1799"/>
      <c r="H36" s="1799"/>
      <c r="I36" s="1799"/>
      <c r="J36" s="1800"/>
      <c r="K36" s="197" t="e">
        <f>K27</f>
        <v>#REF!</v>
      </c>
      <c r="L36" s="1818"/>
      <c r="M36" s="1819"/>
    </row>
    <row r="37" spans="1:13" ht="181.5" customHeight="1">
      <c r="A37" s="1825" t="s">
        <v>510</v>
      </c>
      <c r="B37" s="1826"/>
      <c r="C37" s="1826"/>
      <c r="D37" s="1826"/>
      <c r="E37" s="1826"/>
      <c r="F37" s="1826"/>
      <c r="G37" s="1826"/>
      <c r="H37" s="1826"/>
      <c r="I37" s="1826"/>
      <c r="J37" s="1827"/>
      <c r="K37" s="197" t="e">
        <f>K27</f>
        <v>#REF!</v>
      </c>
      <c r="L37" s="1818"/>
      <c r="M37" s="1819"/>
    </row>
    <row r="38" spans="1:13" ht="136.5" customHeight="1" thickBot="1">
      <c r="A38" s="1813" t="s">
        <v>546</v>
      </c>
      <c r="B38" s="1814"/>
      <c r="C38" s="1814"/>
      <c r="D38" s="1814"/>
      <c r="E38" s="1814"/>
      <c r="F38" s="1814"/>
      <c r="G38" s="1814"/>
      <c r="H38" s="1814"/>
      <c r="I38" s="1814"/>
      <c r="J38" s="1815"/>
      <c r="K38" s="281" t="e">
        <f>K35+K37</f>
        <v>#REF!</v>
      </c>
      <c r="L38" s="1820"/>
      <c r="M38" s="1821"/>
    </row>
    <row r="39" spans="1:13">
      <c r="A39" s="80"/>
      <c r="M39" s="79"/>
    </row>
    <row r="40" spans="1:13">
      <c r="A40" s="80"/>
      <c r="D40" s="42" t="e">
        <f>D27*150</f>
        <v>#REF!</v>
      </c>
      <c r="E40" s="42">
        <f>D14*150</f>
        <v>2515200</v>
      </c>
      <c r="M40" s="79"/>
    </row>
    <row r="41" spans="1:13">
      <c r="A41" s="80"/>
      <c r="E41" s="42" t="e">
        <f>E27*1200</f>
        <v>#REF!</v>
      </c>
      <c r="M41" s="79"/>
    </row>
    <row r="42" spans="1:13" ht="35.25" thickBot="1">
      <c r="A42" s="81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3"/>
    </row>
  </sheetData>
  <mergeCells count="19">
    <mergeCell ref="A38:J38"/>
    <mergeCell ref="L35:M38"/>
    <mergeCell ref="A30:J30"/>
    <mergeCell ref="A31:J31"/>
    <mergeCell ref="A35:J35"/>
    <mergeCell ref="A36:J36"/>
    <mergeCell ref="A37:J37"/>
    <mergeCell ref="A32:J32"/>
    <mergeCell ref="L30:M30"/>
    <mergeCell ref="L31:M31"/>
    <mergeCell ref="L32:M34"/>
    <mergeCell ref="A29:M29"/>
    <mergeCell ref="B6:C6"/>
    <mergeCell ref="A33:J33"/>
    <mergeCell ref="A1:M1"/>
    <mergeCell ref="A2:M2"/>
    <mergeCell ref="A3:M3"/>
    <mergeCell ref="A4:M4"/>
    <mergeCell ref="A5:M5"/>
  </mergeCells>
  <pageMargins left="0.25" right="0.25" top="0.75" bottom="0.75" header="0.3" footer="0.3"/>
  <pageSetup paperSize="9" scale="1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8"/>
  <sheetViews>
    <sheetView view="pageBreakPreview" topLeftCell="A16" zoomScale="60" workbookViewId="0">
      <selection activeCell="DB21" sqref="DB21"/>
    </sheetView>
  </sheetViews>
  <sheetFormatPr defaultRowHeight="12.75"/>
  <cols>
    <col min="6" max="6" width="127.33203125" customWidth="1"/>
    <col min="7" max="83" width="0" hidden="1" customWidth="1"/>
    <col min="84" max="84" width="14.1640625" hidden="1" customWidth="1"/>
    <col min="87" max="87" width="4.6640625" customWidth="1"/>
    <col min="88" max="88" width="0.5" hidden="1" customWidth="1"/>
    <col min="89" max="89" width="9.33203125" hidden="1" customWidth="1"/>
    <col min="90" max="90" width="13.83203125" style="53" customWidth="1"/>
    <col min="94" max="105" width="0" hidden="1" customWidth="1"/>
    <col min="106" max="106" width="49.5" style="42" customWidth="1"/>
  </cols>
  <sheetData>
    <row r="1" spans="1:106" s="51" customFormat="1" ht="45">
      <c r="A1" s="1836" t="s">
        <v>409</v>
      </c>
      <c r="B1" s="1837"/>
      <c r="C1" s="1837"/>
      <c r="D1" s="1837"/>
      <c r="E1" s="1837"/>
      <c r="F1" s="1837"/>
      <c r="G1" s="1837"/>
      <c r="H1" s="1837"/>
      <c r="I1" s="1837"/>
      <c r="J1" s="1837"/>
      <c r="K1" s="1837"/>
      <c r="L1" s="1837"/>
      <c r="M1" s="1837"/>
      <c r="N1" s="1837"/>
      <c r="O1" s="1837"/>
      <c r="P1" s="1837"/>
      <c r="Q1" s="1837"/>
      <c r="R1" s="1837"/>
      <c r="S1" s="1837"/>
      <c r="T1" s="1837"/>
      <c r="U1" s="1837"/>
      <c r="V1" s="1837"/>
      <c r="W1" s="1837"/>
      <c r="X1" s="1837"/>
      <c r="Y1" s="1837"/>
      <c r="Z1" s="1837"/>
      <c r="AA1" s="1837"/>
      <c r="AB1" s="1837"/>
      <c r="AC1" s="1837"/>
      <c r="AD1" s="1837"/>
      <c r="AE1" s="1837"/>
      <c r="AF1" s="1837"/>
      <c r="AG1" s="1837"/>
      <c r="AH1" s="1837"/>
      <c r="AI1" s="1837"/>
      <c r="AJ1" s="1837"/>
      <c r="AK1" s="1837"/>
      <c r="AL1" s="1837"/>
      <c r="AM1" s="1837"/>
      <c r="AN1" s="1837"/>
      <c r="AO1" s="1837"/>
      <c r="AP1" s="1837"/>
      <c r="AQ1" s="1837"/>
      <c r="AR1" s="1837"/>
      <c r="AS1" s="1837"/>
      <c r="AT1" s="1837"/>
      <c r="AU1" s="1837"/>
      <c r="AV1" s="1837"/>
      <c r="AW1" s="1837"/>
      <c r="AX1" s="1837"/>
      <c r="AY1" s="1837"/>
      <c r="AZ1" s="1837"/>
      <c r="BA1" s="1837"/>
      <c r="BB1" s="1837"/>
      <c r="BC1" s="1837"/>
      <c r="BD1" s="1837"/>
      <c r="BE1" s="1837"/>
      <c r="BF1" s="1837"/>
      <c r="BG1" s="1837"/>
      <c r="BH1" s="1837"/>
      <c r="BI1" s="1837"/>
      <c r="BJ1" s="1837"/>
      <c r="BK1" s="1837"/>
      <c r="BL1" s="1837"/>
      <c r="BM1" s="1837"/>
      <c r="BN1" s="1837"/>
      <c r="BO1" s="1837"/>
      <c r="BP1" s="1837"/>
      <c r="BQ1" s="1837"/>
      <c r="BR1" s="1837"/>
      <c r="BS1" s="1837"/>
      <c r="BT1" s="1837"/>
      <c r="BU1" s="1837"/>
      <c r="BV1" s="1837"/>
      <c r="BW1" s="1837"/>
      <c r="BX1" s="1837"/>
      <c r="BY1" s="1837"/>
      <c r="BZ1" s="1837"/>
      <c r="CA1" s="1837"/>
      <c r="CB1" s="1837"/>
      <c r="CC1" s="1837"/>
      <c r="CD1" s="1837"/>
      <c r="CE1" s="1837"/>
      <c r="CF1" s="1837"/>
      <c r="CG1" s="1837"/>
      <c r="CH1" s="1837"/>
      <c r="CI1" s="1837"/>
      <c r="CJ1" s="1837"/>
      <c r="CK1" s="1837"/>
      <c r="CL1" s="1837"/>
      <c r="CM1" s="1837"/>
      <c r="CN1" s="1837"/>
      <c r="CO1" s="1837"/>
      <c r="CP1" s="1837"/>
      <c r="CQ1" s="1837"/>
      <c r="CR1" s="1837"/>
      <c r="CS1" s="1837"/>
      <c r="CT1" s="1837"/>
      <c r="CU1" s="1837"/>
      <c r="CV1" s="1837"/>
      <c r="CW1" s="1837"/>
      <c r="CX1" s="1837"/>
      <c r="CY1" s="1837"/>
      <c r="CZ1" s="1837"/>
      <c r="DA1" s="1837"/>
      <c r="DB1" s="1838"/>
    </row>
    <row r="2" spans="1:106" s="51" customFormat="1" ht="45.75" customHeight="1">
      <c r="A2" s="1839" t="s">
        <v>522</v>
      </c>
      <c r="B2" s="1840"/>
      <c r="C2" s="1840"/>
      <c r="D2" s="1840"/>
      <c r="E2" s="1840"/>
      <c r="F2" s="1840"/>
      <c r="G2" s="1840"/>
      <c r="H2" s="1840"/>
      <c r="I2" s="1840"/>
      <c r="J2" s="1840"/>
      <c r="K2" s="1840"/>
      <c r="L2" s="1840"/>
      <c r="M2" s="1840"/>
      <c r="N2" s="1840"/>
      <c r="O2" s="1840"/>
      <c r="P2" s="1840"/>
      <c r="Q2" s="1840"/>
      <c r="R2" s="1840"/>
      <c r="S2" s="1840"/>
      <c r="T2" s="1840"/>
      <c r="U2" s="1840"/>
      <c r="V2" s="1840"/>
      <c r="W2" s="1840"/>
      <c r="X2" s="1840"/>
      <c r="Y2" s="1840"/>
      <c r="Z2" s="1840"/>
      <c r="AA2" s="1840"/>
      <c r="AB2" s="1840"/>
      <c r="AC2" s="1840"/>
      <c r="AD2" s="1840"/>
      <c r="AE2" s="1840"/>
      <c r="AF2" s="1840"/>
      <c r="AG2" s="1840"/>
      <c r="AH2" s="1840"/>
      <c r="AI2" s="1840"/>
      <c r="AJ2" s="1840"/>
      <c r="AK2" s="1840"/>
      <c r="AL2" s="1840"/>
      <c r="AM2" s="1840"/>
      <c r="AN2" s="1840"/>
      <c r="AO2" s="1840"/>
      <c r="AP2" s="1840"/>
      <c r="AQ2" s="1840"/>
      <c r="AR2" s="1840"/>
      <c r="AS2" s="1840"/>
      <c r="AT2" s="1840"/>
      <c r="AU2" s="1840"/>
      <c r="AV2" s="1840"/>
      <c r="AW2" s="1840"/>
      <c r="AX2" s="1840"/>
      <c r="AY2" s="1840"/>
      <c r="AZ2" s="1840"/>
      <c r="BA2" s="1840"/>
      <c r="BB2" s="1840"/>
      <c r="BC2" s="1840"/>
      <c r="BD2" s="1840"/>
      <c r="BE2" s="1840"/>
      <c r="BF2" s="1840"/>
      <c r="BG2" s="1840"/>
      <c r="BH2" s="1840"/>
      <c r="BI2" s="1840"/>
      <c r="BJ2" s="1840"/>
      <c r="BK2" s="1840"/>
      <c r="BL2" s="1840"/>
      <c r="BM2" s="1840"/>
      <c r="BN2" s="1840"/>
      <c r="BO2" s="1840"/>
      <c r="BP2" s="1840"/>
      <c r="BQ2" s="1840"/>
      <c r="BR2" s="1840"/>
      <c r="BS2" s="1840"/>
      <c r="BT2" s="1840"/>
      <c r="BU2" s="1840"/>
      <c r="BV2" s="1840"/>
      <c r="BW2" s="1840"/>
      <c r="BX2" s="1840"/>
      <c r="BY2" s="1840"/>
      <c r="BZ2" s="1840"/>
      <c r="CA2" s="1840"/>
      <c r="CB2" s="1840"/>
      <c r="CC2" s="1840"/>
      <c r="CD2" s="1840"/>
      <c r="CE2" s="1840"/>
      <c r="CF2" s="1840"/>
      <c r="CG2" s="1840"/>
      <c r="CH2" s="1840"/>
      <c r="CI2" s="1840"/>
      <c r="CJ2" s="1840"/>
      <c r="CK2" s="1840"/>
      <c r="CL2" s="1840"/>
      <c r="CM2" s="1840"/>
      <c r="CN2" s="1840"/>
      <c r="CO2" s="1840"/>
      <c r="CP2" s="1840"/>
      <c r="CQ2" s="1840"/>
      <c r="CR2" s="1840"/>
      <c r="CS2" s="1840"/>
      <c r="CT2" s="1840"/>
      <c r="CU2" s="1840"/>
      <c r="CV2" s="1840"/>
      <c r="CW2" s="1840"/>
      <c r="CX2" s="1840"/>
      <c r="CY2" s="1840"/>
      <c r="CZ2" s="1840"/>
      <c r="DA2" s="1840"/>
      <c r="DB2" s="1841"/>
    </row>
    <row r="3" spans="1:106" s="51" customFormat="1" ht="45.75" customHeight="1">
      <c r="A3" s="1839" t="s">
        <v>523</v>
      </c>
      <c r="B3" s="1840"/>
      <c r="C3" s="1840"/>
      <c r="D3" s="1840"/>
      <c r="E3" s="1840"/>
      <c r="F3" s="1840"/>
      <c r="G3" s="1840"/>
      <c r="H3" s="1840"/>
      <c r="I3" s="1840"/>
      <c r="J3" s="1840"/>
      <c r="K3" s="1840"/>
      <c r="L3" s="1840"/>
      <c r="M3" s="1840"/>
      <c r="N3" s="1840"/>
      <c r="O3" s="1840"/>
      <c r="P3" s="1840"/>
      <c r="Q3" s="1840"/>
      <c r="R3" s="1840"/>
      <c r="S3" s="1840"/>
      <c r="T3" s="1840"/>
      <c r="U3" s="1840"/>
      <c r="V3" s="1840"/>
      <c r="W3" s="1840"/>
      <c r="X3" s="1840"/>
      <c r="Y3" s="1840"/>
      <c r="Z3" s="1840"/>
      <c r="AA3" s="1840"/>
      <c r="AB3" s="1840"/>
      <c r="AC3" s="1840"/>
      <c r="AD3" s="1840"/>
      <c r="AE3" s="1840"/>
      <c r="AF3" s="1840"/>
      <c r="AG3" s="1840"/>
      <c r="AH3" s="1840"/>
      <c r="AI3" s="1840"/>
      <c r="AJ3" s="1840"/>
      <c r="AK3" s="1840"/>
      <c r="AL3" s="1840"/>
      <c r="AM3" s="1840"/>
      <c r="AN3" s="1840"/>
      <c r="AO3" s="1840"/>
      <c r="AP3" s="1840"/>
      <c r="AQ3" s="1840"/>
      <c r="AR3" s="1840"/>
      <c r="AS3" s="1840"/>
      <c r="AT3" s="1840"/>
      <c r="AU3" s="1840"/>
      <c r="AV3" s="1840"/>
      <c r="AW3" s="1840"/>
      <c r="AX3" s="1840"/>
      <c r="AY3" s="1840"/>
      <c r="AZ3" s="1840"/>
      <c r="BA3" s="1840"/>
      <c r="BB3" s="1840"/>
      <c r="BC3" s="1840"/>
      <c r="BD3" s="1840"/>
      <c r="BE3" s="1840"/>
      <c r="BF3" s="1840"/>
      <c r="BG3" s="1840"/>
      <c r="BH3" s="1840"/>
      <c r="BI3" s="1840"/>
      <c r="BJ3" s="1840"/>
      <c r="BK3" s="1840"/>
      <c r="BL3" s="1840"/>
      <c r="BM3" s="1840"/>
      <c r="BN3" s="1840"/>
      <c r="BO3" s="1840"/>
      <c r="BP3" s="1840"/>
      <c r="BQ3" s="1840"/>
      <c r="BR3" s="1840"/>
      <c r="BS3" s="1840"/>
      <c r="BT3" s="1840"/>
      <c r="BU3" s="1840"/>
      <c r="BV3" s="1840"/>
      <c r="BW3" s="1840"/>
      <c r="BX3" s="1840"/>
      <c r="BY3" s="1840"/>
      <c r="BZ3" s="1840"/>
      <c r="CA3" s="1840"/>
      <c r="CB3" s="1840"/>
      <c r="CC3" s="1840"/>
      <c r="CD3" s="1840"/>
      <c r="CE3" s="1840"/>
      <c r="CF3" s="1840"/>
      <c r="CG3" s="1840"/>
      <c r="CH3" s="1840"/>
      <c r="CI3" s="1840"/>
      <c r="CJ3" s="1840"/>
      <c r="CK3" s="1840"/>
      <c r="CL3" s="1840"/>
      <c r="CM3" s="1840"/>
      <c r="CN3" s="1840"/>
      <c r="CO3" s="1840"/>
      <c r="CP3" s="1840"/>
      <c r="CQ3" s="1840"/>
      <c r="CR3" s="1840"/>
      <c r="CS3" s="1840"/>
      <c r="CT3" s="1840"/>
      <c r="CU3" s="1840"/>
      <c r="CV3" s="1840"/>
      <c r="CW3" s="1840"/>
      <c r="CX3" s="1840"/>
      <c r="CY3" s="1840"/>
      <c r="CZ3" s="1840"/>
      <c r="DA3" s="1840"/>
      <c r="DB3" s="1841"/>
    </row>
    <row r="4" spans="1:106" s="51" customFormat="1" ht="45">
      <c r="A4" s="1842" t="s">
        <v>532</v>
      </c>
      <c r="B4" s="1843"/>
      <c r="C4" s="1843"/>
      <c r="D4" s="1843"/>
      <c r="E4" s="1843"/>
      <c r="F4" s="1843"/>
      <c r="G4" s="1843"/>
      <c r="H4" s="1843"/>
      <c r="I4" s="1843"/>
      <c r="J4" s="1843"/>
      <c r="K4" s="1843"/>
      <c r="L4" s="1843"/>
      <c r="M4" s="1843"/>
      <c r="N4" s="1843"/>
      <c r="O4" s="1843"/>
      <c r="P4" s="1843"/>
      <c r="Q4" s="1843"/>
      <c r="R4" s="1843"/>
      <c r="S4" s="1843"/>
      <c r="T4" s="1843"/>
      <c r="U4" s="1843"/>
      <c r="V4" s="1843"/>
      <c r="W4" s="1843"/>
      <c r="X4" s="1843"/>
      <c r="Y4" s="1843"/>
      <c r="Z4" s="1843"/>
      <c r="AA4" s="1843"/>
      <c r="AB4" s="1843"/>
      <c r="AC4" s="1843"/>
      <c r="AD4" s="1843"/>
      <c r="AE4" s="1843"/>
      <c r="AF4" s="1843"/>
      <c r="AG4" s="1843"/>
      <c r="AH4" s="1843"/>
      <c r="AI4" s="1843"/>
      <c r="AJ4" s="1843"/>
      <c r="AK4" s="1843"/>
      <c r="AL4" s="1843"/>
      <c r="AM4" s="1843"/>
      <c r="AN4" s="1843"/>
      <c r="AO4" s="1843"/>
      <c r="AP4" s="1843"/>
      <c r="AQ4" s="1843"/>
      <c r="AR4" s="1843"/>
      <c r="AS4" s="1843"/>
      <c r="AT4" s="1843"/>
      <c r="AU4" s="1843"/>
      <c r="AV4" s="1843"/>
      <c r="AW4" s="1843"/>
      <c r="AX4" s="1843"/>
      <c r="AY4" s="1843"/>
      <c r="AZ4" s="1843"/>
      <c r="BA4" s="1843"/>
      <c r="BB4" s="1843"/>
      <c r="BC4" s="1843"/>
      <c r="BD4" s="1843"/>
      <c r="BE4" s="1843"/>
      <c r="BF4" s="1843"/>
      <c r="BG4" s="1843"/>
      <c r="BH4" s="1843"/>
      <c r="BI4" s="1843"/>
      <c r="BJ4" s="1843"/>
      <c r="BK4" s="1843"/>
      <c r="BL4" s="1843"/>
      <c r="BM4" s="1843"/>
      <c r="BN4" s="1843"/>
      <c r="BO4" s="1843"/>
      <c r="BP4" s="1843"/>
      <c r="BQ4" s="1843"/>
      <c r="BR4" s="1843"/>
      <c r="BS4" s="1843"/>
      <c r="BT4" s="1843"/>
      <c r="BU4" s="1843"/>
      <c r="BV4" s="1843"/>
      <c r="BW4" s="1843"/>
      <c r="BX4" s="1843"/>
      <c r="BY4" s="1843"/>
      <c r="BZ4" s="1843"/>
      <c r="CA4" s="1843"/>
      <c r="CB4" s="1843"/>
      <c r="CC4" s="1843"/>
      <c r="CD4" s="1843"/>
      <c r="CE4" s="1843"/>
      <c r="CF4" s="1843"/>
      <c r="CG4" s="1843"/>
      <c r="CH4" s="1843"/>
      <c r="CI4" s="1843"/>
      <c r="CJ4" s="1843"/>
      <c r="CK4" s="1843"/>
      <c r="CL4" s="1843"/>
      <c r="CM4" s="1843"/>
      <c r="CN4" s="1843"/>
      <c r="CO4" s="1843"/>
      <c r="CP4" s="1843"/>
      <c r="CQ4" s="1843"/>
      <c r="CR4" s="1843"/>
      <c r="CS4" s="1843"/>
      <c r="CT4" s="1843"/>
      <c r="CU4" s="1843"/>
      <c r="CV4" s="1843"/>
      <c r="CW4" s="1843"/>
      <c r="CX4" s="1843"/>
      <c r="CY4" s="1843"/>
      <c r="CZ4" s="1843"/>
      <c r="DA4" s="1843"/>
      <c r="DB4" s="1844"/>
    </row>
    <row r="5" spans="1:106" ht="26.25" customHeight="1">
      <c r="A5" s="1845" t="s">
        <v>0</v>
      </c>
      <c r="B5" s="714" t="s">
        <v>511</v>
      </c>
      <c r="C5" s="715"/>
      <c r="D5" s="715"/>
      <c r="E5" s="715"/>
      <c r="F5" s="716"/>
      <c r="G5" s="720" t="s">
        <v>29</v>
      </c>
      <c r="H5" s="721"/>
      <c r="I5" s="722"/>
      <c r="J5" s="720" t="s">
        <v>30</v>
      </c>
      <c r="K5" s="722"/>
      <c r="L5" s="1846" t="s">
        <v>1</v>
      </c>
      <c r="M5" s="1847"/>
      <c r="N5" s="1847"/>
      <c r="O5" s="1847"/>
      <c r="P5" s="1847"/>
      <c r="Q5" s="1847"/>
      <c r="R5" s="1847"/>
      <c r="S5" s="1848"/>
      <c r="T5" s="1846" t="s">
        <v>2</v>
      </c>
      <c r="U5" s="1847"/>
      <c r="V5" s="1847"/>
      <c r="W5" s="1847"/>
      <c r="X5" s="1847"/>
      <c r="Y5" s="1847"/>
      <c r="Z5" s="1847"/>
      <c r="AA5" s="1847"/>
      <c r="AB5" s="1848"/>
      <c r="AC5" s="1846" t="s">
        <v>3</v>
      </c>
      <c r="AD5" s="1847"/>
      <c r="AE5" s="1847"/>
      <c r="AF5" s="1847"/>
      <c r="AG5" s="1847"/>
      <c r="AH5" s="1847"/>
      <c r="AI5" s="1847"/>
      <c r="AJ5" s="1848"/>
      <c r="AK5" s="1849" t="s">
        <v>31</v>
      </c>
      <c r="AL5" s="1850"/>
      <c r="AM5" s="1850"/>
      <c r="AN5" s="1850"/>
      <c r="AO5" s="1850"/>
      <c r="AP5" s="1850"/>
      <c r="AQ5" s="1850"/>
      <c r="AR5" s="1850"/>
      <c r="AS5" s="1850"/>
      <c r="AT5" s="1850"/>
      <c r="AU5" s="1851"/>
      <c r="AV5" s="1846" t="s">
        <v>4</v>
      </c>
      <c r="AW5" s="1847"/>
      <c r="AX5" s="1847"/>
      <c r="AY5" s="1847"/>
      <c r="AZ5" s="1847"/>
      <c r="BA5" s="1848"/>
      <c r="BB5" s="1846" t="s">
        <v>5</v>
      </c>
      <c r="BC5" s="1847"/>
      <c r="BD5" s="1847"/>
      <c r="BE5" s="1847"/>
      <c r="BF5" s="1847"/>
      <c r="BG5" s="1847"/>
      <c r="BH5" s="1847"/>
      <c r="BI5" s="1847"/>
      <c r="BJ5" s="1848"/>
      <c r="BK5" s="1846" t="s">
        <v>6</v>
      </c>
      <c r="BL5" s="1847"/>
      <c r="BM5" s="1847"/>
      <c r="BN5" s="1847"/>
      <c r="BO5" s="1847"/>
      <c r="BP5" s="1847"/>
      <c r="BQ5" s="1847"/>
      <c r="BR5" s="1847"/>
      <c r="BS5" s="1848"/>
      <c r="BT5" s="1856" t="s">
        <v>32</v>
      </c>
      <c r="BU5" s="1857"/>
      <c r="BV5" s="1857"/>
      <c r="BW5" s="1857"/>
      <c r="BX5" s="1857"/>
      <c r="BY5" s="1857"/>
      <c r="BZ5" s="1857"/>
      <c r="CA5" s="1857"/>
      <c r="CB5" s="1857"/>
      <c r="CC5" s="1858"/>
      <c r="CD5" s="1859"/>
      <c r="CE5" s="1860"/>
      <c r="CF5" s="1860"/>
      <c r="CG5" s="1860"/>
      <c r="CH5" s="1860"/>
      <c r="CI5" s="1860"/>
      <c r="CJ5" s="1860"/>
      <c r="CK5" s="1860"/>
      <c r="CL5" s="1860"/>
      <c r="CM5" s="1860"/>
      <c r="CN5" s="1860"/>
      <c r="CO5" s="1861"/>
      <c r="CP5" s="1856" t="s">
        <v>7</v>
      </c>
      <c r="CQ5" s="1857"/>
      <c r="CR5" s="1857"/>
      <c r="CS5" s="1857"/>
      <c r="CT5" s="1857"/>
      <c r="CU5" s="1857"/>
      <c r="CV5" s="1857"/>
      <c r="CW5" s="1858"/>
      <c r="CX5" s="1014" t="s">
        <v>33</v>
      </c>
      <c r="CY5" s="1016"/>
      <c r="CZ5" s="1016"/>
      <c r="DA5" s="1016"/>
      <c r="DB5" s="1852" t="s">
        <v>537</v>
      </c>
    </row>
    <row r="6" spans="1:106" ht="105" customHeight="1">
      <c r="A6" s="1478"/>
      <c r="B6" s="717"/>
      <c r="C6" s="718"/>
      <c r="D6" s="718"/>
      <c r="E6" s="718"/>
      <c r="F6" s="719"/>
      <c r="G6" s="723"/>
      <c r="H6" s="724"/>
      <c r="I6" s="725"/>
      <c r="J6" s="723"/>
      <c r="K6" s="725"/>
      <c r="L6" s="736" t="s">
        <v>8</v>
      </c>
      <c r="M6" s="738"/>
      <c r="N6" s="705" t="s">
        <v>9</v>
      </c>
      <c r="O6" s="706"/>
      <c r="P6" s="707" t="s">
        <v>10</v>
      </c>
      <c r="Q6" s="708"/>
      <c r="R6" s="736" t="s">
        <v>11</v>
      </c>
      <c r="S6" s="738"/>
      <c r="T6" s="705" t="s">
        <v>8</v>
      </c>
      <c r="U6" s="706"/>
      <c r="V6" s="707" t="s">
        <v>9</v>
      </c>
      <c r="W6" s="710"/>
      <c r="X6" s="708"/>
      <c r="Y6" s="707" t="s">
        <v>10</v>
      </c>
      <c r="Z6" s="708"/>
      <c r="AA6" s="736" t="s">
        <v>11</v>
      </c>
      <c r="AB6" s="738"/>
      <c r="AC6" s="705" t="s">
        <v>8</v>
      </c>
      <c r="AD6" s="706"/>
      <c r="AE6" s="705" t="s">
        <v>9</v>
      </c>
      <c r="AF6" s="706"/>
      <c r="AG6" s="703" t="s">
        <v>10</v>
      </c>
      <c r="AH6" s="711"/>
      <c r="AI6" s="736" t="s">
        <v>11</v>
      </c>
      <c r="AJ6" s="738"/>
      <c r="AK6" s="705" t="s">
        <v>8</v>
      </c>
      <c r="AL6" s="706"/>
      <c r="AM6" s="705" t="s">
        <v>9</v>
      </c>
      <c r="AN6" s="706"/>
      <c r="AO6" s="705" t="s">
        <v>10</v>
      </c>
      <c r="AP6" s="709"/>
      <c r="AQ6" s="709"/>
      <c r="AR6" s="706"/>
      <c r="AS6" s="707" t="s">
        <v>11</v>
      </c>
      <c r="AT6" s="710"/>
      <c r="AU6" s="708"/>
      <c r="AV6" s="89" t="s">
        <v>8</v>
      </c>
      <c r="AW6" s="705" t="s">
        <v>9</v>
      </c>
      <c r="AX6" s="706"/>
      <c r="AY6" s="703" t="s">
        <v>10</v>
      </c>
      <c r="AZ6" s="711"/>
      <c r="BA6" s="90" t="s">
        <v>11</v>
      </c>
      <c r="BB6" s="705" t="s">
        <v>8</v>
      </c>
      <c r="BC6" s="706"/>
      <c r="BD6" s="705" t="s">
        <v>9</v>
      </c>
      <c r="BE6" s="706"/>
      <c r="BF6" s="705" t="s">
        <v>10</v>
      </c>
      <c r="BG6" s="709"/>
      <c r="BH6" s="706"/>
      <c r="BI6" s="707" t="s">
        <v>11</v>
      </c>
      <c r="BJ6" s="708"/>
      <c r="BK6" s="703" t="s">
        <v>8</v>
      </c>
      <c r="BL6" s="711"/>
      <c r="BM6" s="703" t="s">
        <v>9</v>
      </c>
      <c r="BN6" s="704"/>
      <c r="BO6" s="711"/>
      <c r="BP6" s="705" t="s">
        <v>10</v>
      </c>
      <c r="BQ6" s="706"/>
      <c r="BR6" s="705" t="s">
        <v>11</v>
      </c>
      <c r="BS6" s="706"/>
      <c r="BT6" s="705" t="s">
        <v>8</v>
      </c>
      <c r="BU6" s="706"/>
      <c r="BV6" s="705" t="s">
        <v>9</v>
      </c>
      <c r="BW6" s="709"/>
      <c r="BX6" s="706"/>
      <c r="BY6" s="707" t="s">
        <v>10</v>
      </c>
      <c r="BZ6" s="708"/>
      <c r="CA6" s="705" t="s">
        <v>11</v>
      </c>
      <c r="CB6" s="709"/>
      <c r="CC6" s="706"/>
      <c r="CD6" s="705" t="s">
        <v>8</v>
      </c>
      <c r="CE6" s="709"/>
      <c r="CF6" s="706"/>
      <c r="CG6" s="707" t="s">
        <v>9</v>
      </c>
      <c r="CH6" s="710"/>
      <c r="CI6" s="708"/>
      <c r="CJ6" s="736" t="s">
        <v>10</v>
      </c>
      <c r="CK6" s="737"/>
      <c r="CL6" s="738"/>
      <c r="CM6" s="707" t="s">
        <v>11</v>
      </c>
      <c r="CN6" s="710"/>
      <c r="CO6" s="708"/>
      <c r="CP6" s="705" t="s">
        <v>9</v>
      </c>
      <c r="CQ6" s="709"/>
      <c r="CR6" s="706"/>
      <c r="CS6" s="736" t="s">
        <v>10</v>
      </c>
      <c r="CT6" s="737"/>
      <c r="CU6" s="738"/>
      <c r="CV6" s="707" t="s">
        <v>11</v>
      </c>
      <c r="CW6" s="708"/>
      <c r="CX6" s="1862"/>
      <c r="CY6" s="1863"/>
      <c r="CZ6" s="1863"/>
      <c r="DA6" s="1863"/>
      <c r="DB6" s="1853"/>
    </row>
    <row r="7" spans="1:106" ht="26.25">
      <c r="A7" s="238">
        <v>1</v>
      </c>
      <c r="B7" s="703" t="s">
        <v>239</v>
      </c>
      <c r="C7" s="704"/>
      <c r="D7" s="704"/>
      <c r="E7" s="704"/>
      <c r="F7" s="711"/>
      <c r="G7" s="955" t="s">
        <v>19</v>
      </c>
      <c r="H7" s="956"/>
      <c r="I7" s="957"/>
      <c r="J7" s="942">
        <v>11</v>
      </c>
      <c r="K7" s="944"/>
      <c r="L7" s="950">
        <v>4</v>
      </c>
      <c r="M7" s="951"/>
      <c r="N7" s="942">
        <v>105</v>
      </c>
      <c r="O7" s="944"/>
      <c r="P7" s="945">
        <v>83</v>
      </c>
      <c r="Q7" s="947"/>
      <c r="R7" s="950">
        <v>188</v>
      </c>
      <c r="S7" s="951"/>
      <c r="T7" s="942">
        <v>4</v>
      </c>
      <c r="U7" s="944"/>
      <c r="V7" s="945">
        <v>116</v>
      </c>
      <c r="W7" s="946"/>
      <c r="X7" s="947"/>
      <c r="Y7" s="945">
        <v>95</v>
      </c>
      <c r="Z7" s="947"/>
      <c r="AA7" s="950">
        <v>211</v>
      </c>
      <c r="AB7" s="951"/>
      <c r="AC7" s="942">
        <v>4</v>
      </c>
      <c r="AD7" s="944"/>
      <c r="AE7" s="942">
        <v>84</v>
      </c>
      <c r="AF7" s="944"/>
      <c r="AG7" s="945">
        <v>88</v>
      </c>
      <c r="AH7" s="947"/>
      <c r="AI7" s="950">
        <v>172</v>
      </c>
      <c r="AJ7" s="951"/>
      <c r="AK7" s="942">
        <v>12</v>
      </c>
      <c r="AL7" s="944"/>
      <c r="AM7" s="942">
        <v>305</v>
      </c>
      <c r="AN7" s="944"/>
      <c r="AO7" s="942">
        <v>266</v>
      </c>
      <c r="AP7" s="943"/>
      <c r="AQ7" s="943"/>
      <c r="AR7" s="944"/>
      <c r="AS7" s="945">
        <v>571</v>
      </c>
      <c r="AT7" s="946"/>
      <c r="AU7" s="947"/>
      <c r="AV7" s="92">
        <v>0</v>
      </c>
      <c r="AW7" s="942">
        <v>0</v>
      </c>
      <c r="AX7" s="944"/>
      <c r="AY7" s="945">
        <v>0</v>
      </c>
      <c r="AZ7" s="947"/>
      <c r="BA7" s="91">
        <v>0</v>
      </c>
      <c r="BB7" s="942">
        <v>0</v>
      </c>
      <c r="BC7" s="944"/>
      <c r="BD7" s="942">
        <v>0</v>
      </c>
      <c r="BE7" s="944"/>
      <c r="BF7" s="942">
        <v>0</v>
      </c>
      <c r="BG7" s="943"/>
      <c r="BH7" s="944"/>
      <c r="BI7" s="952">
        <v>0</v>
      </c>
      <c r="BJ7" s="954"/>
      <c r="BK7" s="945">
        <v>0</v>
      </c>
      <c r="BL7" s="947"/>
      <c r="BM7" s="945">
        <v>0</v>
      </c>
      <c r="BN7" s="946"/>
      <c r="BO7" s="947"/>
      <c r="BP7" s="942">
        <v>0</v>
      </c>
      <c r="BQ7" s="944"/>
      <c r="BR7" s="942">
        <v>0</v>
      </c>
      <c r="BS7" s="944"/>
      <c r="BT7" s="942">
        <v>0</v>
      </c>
      <c r="BU7" s="944"/>
      <c r="BV7" s="942">
        <v>0</v>
      </c>
      <c r="BW7" s="943"/>
      <c r="BX7" s="944"/>
      <c r="BY7" s="952">
        <v>0</v>
      </c>
      <c r="BZ7" s="954"/>
      <c r="CA7" s="942">
        <v>0</v>
      </c>
      <c r="CB7" s="943"/>
      <c r="CC7" s="944"/>
      <c r="CD7" s="942">
        <v>12</v>
      </c>
      <c r="CE7" s="943"/>
      <c r="CF7" s="944"/>
      <c r="CG7" s="945">
        <v>305</v>
      </c>
      <c r="CH7" s="946"/>
      <c r="CI7" s="947"/>
      <c r="CJ7" s="945">
        <v>266</v>
      </c>
      <c r="CK7" s="946"/>
      <c r="CL7" s="947"/>
      <c r="CM7" s="945">
        <v>571</v>
      </c>
      <c r="CN7" s="946"/>
      <c r="CO7" s="947"/>
      <c r="CP7" s="942">
        <v>6</v>
      </c>
      <c r="CQ7" s="943"/>
      <c r="CR7" s="944"/>
      <c r="CS7" s="950">
        <v>19</v>
      </c>
      <c r="CT7" s="1059"/>
      <c r="CU7" s="951"/>
      <c r="CV7" s="945">
        <v>25</v>
      </c>
      <c r="CW7" s="947"/>
      <c r="CX7" s="955" t="s">
        <v>35</v>
      </c>
      <c r="CY7" s="956"/>
      <c r="CZ7" s="956"/>
      <c r="DA7" s="957"/>
      <c r="DB7" s="239">
        <f>IF(CM7&lt;1001,30000 * 3,50000*3)</f>
        <v>90000</v>
      </c>
    </row>
    <row r="8" spans="1:106" ht="26.25">
      <c r="A8" s="238">
        <v>2</v>
      </c>
      <c r="B8" s="703" t="s">
        <v>240</v>
      </c>
      <c r="C8" s="704"/>
      <c r="D8" s="704"/>
      <c r="E8" s="704"/>
      <c r="F8" s="711"/>
      <c r="G8" s="955" t="s">
        <v>19</v>
      </c>
      <c r="H8" s="956"/>
      <c r="I8" s="957"/>
      <c r="J8" s="942">
        <v>9</v>
      </c>
      <c r="K8" s="944"/>
      <c r="L8" s="950">
        <v>4</v>
      </c>
      <c r="M8" s="951"/>
      <c r="N8" s="942">
        <v>66</v>
      </c>
      <c r="O8" s="944"/>
      <c r="P8" s="945">
        <v>57</v>
      </c>
      <c r="Q8" s="947"/>
      <c r="R8" s="950">
        <v>123</v>
      </c>
      <c r="S8" s="951"/>
      <c r="T8" s="942">
        <v>4</v>
      </c>
      <c r="U8" s="944"/>
      <c r="V8" s="945">
        <v>56</v>
      </c>
      <c r="W8" s="946"/>
      <c r="X8" s="947"/>
      <c r="Y8" s="945">
        <v>50</v>
      </c>
      <c r="Z8" s="947"/>
      <c r="AA8" s="950">
        <v>106</v>
      </c>
      <c r="AB8" s="951"/>
      <c r="AC8" s="942">
        <v>4</v>
      </c>
      <c r="AD8" s="944"/>
      <c r="AE8" s="942">
        <v>64</v>
      </c>
      <c r="AF8" s="944"/>
      <c r="AG8" s="945">
        <v>56</v>
      </c>
      <c r="AH8" s="947"/>
      <c r="AI8" s="950">
        <v>120</v>
      </c>
      <c r="AJ8" s="951"/>
      <c r="AK8" s="942">
        <v>12</v>
      </c>
      <c r="AL8" s="944"/>
      <c r="AM8" s="942">
        <v>186</v>
      </c>
      <c r="AN8" s="944"/>
      <c r="AO8" s="942">
        <v>163</v>
      </c>
      <c r="AP8" s="943"/>
      <c r="AQ8" s="943"/>
      <c r="AR8" s="944"/>
      <c r="AS8" s="945">
        <v>349</v>
      </c>
      <c r="AT8" s="946"/>
      <c r="AU8" s="947"/>
      <c r="AV8" s="92">
        <v>0</v>
      </c>
      <c r="AW8" s="942">
        <v>0</v>
      </c>
      <c r="AX8" s="944"/>
      <c r="AY8" s="945">
        <v>0</v>
      </c>
      <c r="AZ8" s="947"/>
      <c r="BA8" s="91">
        <v>0</v>
      </c>
      <c r="BB8" s="942">
        <v>0</v>
      </c>
      <c r="BC8" s="944"/>
      <c r="BD8" s="942">
        <v>0</v>
      </c>
      <c r="BE8" s="944"/>
      <c r="BF8" s="942">
        <v>0</v>
      </c>
      <c r="BG8" s="943"/>
      <c r="BH8" s="944"/>
      <c r="BI8" s="952">
        <v>0</v>
      </c>
      <c r="BJ8" s="954"/>
      <c r="BK8" s="945">
        <v>0</v>
      </c>
      <c r="BL8" s="947"/>
      <c r="BM8" s="945">
        <v>0</v>
      </c>
      <c r="BN8" s="946"/>
      <c r="BO8" s="947"/>
      <c r="BP8" s="942">
        <v>0</v>
      </c>
      <c r="BQ8" s="944"/>
      <c r="BR8" s="942">
        <v>0</v>
      </c>
      <c r="BS8" s="944"/>
      <c r="BT8" s="942">
        <v>0</v>
      </c>
      <c r="BU8" s="944"/>
      <c r="BV8" s="942">
        <v>0</v>
      </c>
      <c r="BW8" s="943"/>
      <c r="BX8" s="944"/>
      <c r="BY8" s="952">
        <v>0</v>
      </c>
      <c r="BZ8" s="954"/>
      <c r="CA8" s="942">
        <v>0</v>
      </c>
      <c r="CB8" s="943"/>
      <c r="CC8" s="944"/>
      <c r="CD8" s="942">
        <v>12</v>
      </c>
      <c r="CE8" s="943"/>
      <c r="CF8" s="944"/>
      <c r="CG8" s="945">
        <v>186</v>
      </c>
      <c r="CH8" s="946"/>
      <c r="CI8" s="947"/>
      <c r="CJ8" s="945">
        <v>163</v>
      </c>
      <c r="CK8" s="946"/>
      <c r="CL8" s="947"/>
      <c r="CM8" s="945">
        <v>349</v>
      </c>
      <c r="CN8" s="946"/>
      <c r="CO8" s="947"/>
      <c r="CP8" s="942">
        <v>7</v>
      </c>
      <c r="CQ8" s="943"/>
      <c r="CR8" s="944"/>
      <c r="CS8" s="972">
        <v>7</v>
      </c>
      <c r="CT8" s="1520"/>
      <c r="CU8" s="973"/>
      <c r="CV8" s="945">
        <v>14</v>
      </c>
      <c r="CW8" s="947"/>
      <c r="CX8" s="955" t="s">
        <v>35</v>
      </c>
      <c r="CY8" s="956"/>
      <c r="CZ8" s="956"/>
      <c r="DA8" s="957"/>
      <c r="DB8" s="239">
        <f t="shared" ref="DB8:DB31" si="0">IF(CM8&lt;1001,30000 * 3,50000*3)</f>
        <v>90000</v>
      </c>
    </row>
    <row r="9" spans="1:106" ht="26.25">
      <c r="A9" s="238">
        <v>3</v>
      </c>
      <c r="B9" s="703" t="s">
        <v>241</v>
      </c>
      <c r="C9" s="704"/>
      <c r="D9" s="704"/>
      <c r="E9" s="704"/>
      <c r="F9" s="711"/>
      <c r="G9" s="955" t="s">
        <v>19</v>
      </c>
      <c r="H9" s="956"/>
      <c r="I9" s="957"/>
      <c r="J9" s="942">
        <v>3</v>
      </c>
      <c r="K9" s="944"/>
      <c r="L9" s="950">
        <v>3</v>
      </c>
      <c r="M9" s="951"/>
      <c r="N9" s="942">
        <v>66</v>
      </c>
      <c r="O9" s="944"/>
      <c r="P9" s="945">
        <v>57</v>
      </c>
      <c r="Q9" s="947"/>
      <c r="R9" s="950">
        <v>123</v>
      </c>
      <c r="S9" s="951"/>
      <c r="T9" s="942">
        <v>3</v>
      </c>
      <c r="U9" s="944"/>
      <c r="V9" s="945">
        <v>42</v>
      </c>
      <c r="W9" s="946"/>
      <c r="X9" s="947"/>
      <c r="Y9" s="945">
        <v>44</v>
      </c>
      <c r="Z9" s="947"/>
      <c r="AA9" s="950">
        <v>86</v>
      </c>
      <c r="AB9" s="951"/>
      <c r="AC9" s="942">
        <v>3</v>
      </c>
      <c r="AD9" s="944"/>
      <c r="AE9" s="942">
        <v>46</v>
      </c>
      <c r="AF9" s="944"/>
      <c r="AG9" s="945">
        <v>34</v>
      </c>
      <c r="AH9" s="947"/>
      <c r="AI9" s="950">
        <v>80</v>
      </c>
      <c r="AJ9" s="951"/>
      <c r="AK9" s="942">
        <v>9</v>
      </c>
      <c r="AL9" s="944"/>
      <c r="AM9" s="942">
        <v>154</v>
      </c>
      <c r="AN9" s="944"/>
      <c r="AO9" s="942">
        <v>135</v>
      </c>
      <c r="AP9" s="943"/>
      <c r="AQ9" s="943"/>
      <c r="AR9" s="944"/>
      <c r="AS9" s="945">
        <v>289</v>
      </c>
      <c r="AT9" s="946"/>
      <c r="AU9" s="947"/>
      <c r="AV9" s="92">
        <v>0</v>
      </c>
      <c r="AW9" s="942">
        <v>0</v>
      </c>
      <c r="AX9" s="944"/>
      <c r="AY9" s="945">
        <v>0</v>
      </c>
      <c r="AZ9" s="947"/>
      <c r="BA9" s="91">
        <v>0</v>
      </c>
      <c r="BB9" s="942">
        <v>0</v>
      </c>
      <c r="BC9" s="944"/>
      <c r="BD9" s="942">
        <v>0</v>
      </c>
      <c r="BE9" s="944"/>
      <c r="BF9" s="942">
        <v>0</v>
      </c>
      <c r="BG9" s="943"/>
      <c r="BH9" s="944"/>
      <c r="BI9" s="952">
        <v>0</v>
      </c>
      <c r="BJ9" s="954"/>
      <c r="BK9" s="945">
        <v>0</v>
      </c>
      <c r="BL9" s="947"/>
      <c r="BM9" s="945">
        <v>0</v>
      </c>
      <c r="BN9" s="946"/>
      <c r="BO9" s="947"/>
      <c r="BP9" s="942">
        <v>0</v>
      </c>
      <c r="BQ9" s="944"/>
      <c r="BR9" s="942">
        <v>0</v>
      </c>
      <c r="BS9" s="944"/>
      <c r="BT9" s="942">
        <v>0</v>
      </c>
      <c r="BU9" s="944"/>
      <c r="BV9" s="942">
        <v>0</v>
      </c>
      <c r="BW9" s="943"/>
      <c r="BX9" s="944"/>
      <c r="BY9" s="952">
        <v>0</v>
      </c>
      <c r="BZ9" s="954"/>
      <c r="CA9" s="942">
        <v>0</v>
      </c>
      <c r="CB9" s="943"/>
      <c r="CC9" s="944"/>
      <c r="CD9" s="942">
        <v>9</v>
      </c>
      <c r="CE9" s="943"/>
      <c r="CF9" s="944"/>
      <c r="CG9" s="945">
        <v>154</v>
      </c>
      <c r="CH9" s="946"/>
      <c r="CI9" s="947"/>
      <c r="CJ9" s="945">
        <v>135</v>
      </c>
      <c r="CK9" s="946"/>
      <c r="CL9" s="947"/>
      <c r="CM9" s="945">
        <v>289</v>
      </c>
      <c r="CN9" s="946"/>
      <c r="CO9" s="947"/>
      <c r="CP9" s="942">
        <v>9</v>
      </c>
      <c r="CQ9" s="943"/>
      <c r="CR9" s="944"/>
      <c r="CS9" s="972">
        <v>8</v>
      </c>
      <c r="CT9" s="1520"/>
      <c r="CU9" s="973"/>
      <c r="CV9" s="945">
        <v>17</v>
      </c>
      <c r="CW9" s="947"/>
      <c r="CX9" s="955" t="s">
        <v>35</v>
      </c>
      <c r="CY9" s="956"/>
      <c r="CZ9" s="956"/>
      <c r="DA9" s="957"/>
      <c r="DB9" s="239">
        <f t="shared" si="0"/>
        <v>90000</v>
      </c>
    </row>
    <row r="10" spans="1:106" ht="26.25">
      <c r="A10" s="238">
        <v>4</v>
      </c>
      <c r="B10" s="703" t="s">
        <v>242</v>
      </c>
      <c r="C10" s="704"/>
      <c r="D10" s="704"/>
      <c r="E10" s="704"/>
      <c r="F10" s="711"/>
      <c r="G10" s="955" t="s">
        <v>19</v>
      </c>
      <c r="H10" s="956"/>
      <c r="I10" s="957"/>
      <c r="J10" s="942">
        <v>4</v>
      </c>
      <c r="K10" s="944"/>
      <c r="L10" s="950">
        <v>3</v>
      </c>
      <c r="M10" s="951"/>
      <c r="N10" s="942">
        <v>59</v>
      </c>
      <c r="O10" s="944"/>
      <c r="P10" s="945">
        <v>71</v>
      </c>
      <c r="Q10" s="947"/>
      <c r="R10" s="950">
        <v>130</v>
      </c>
      <c r="S10" s="951"/>
      <c r="T10" s="942">
        <v>2</v>
      </c>
      <c r="U10" s="944"/>
      <c r="V10" s="945">
        <v>56</v>
      </c>
      <c r="W10" s="946"/>
      <c r="X10" s="947"/>
      <c r="Y10" s="945">
        <v>68</v>
      </c>
      <c r="Z10" s="947"/>
      <c r="AA10" s="950">
        <v>124</v>
      </c>
      <c r="AB10" s="951"/>
      <c r="AC10" s="942">
        <v>2</v>
      </c>
      <c r="AD10" s="944"/>
      <c r="AE10" s="942">
        <v>35</v>
      </c>
      <c r="AF10" s="944"/>
      <c r="AG10" s="945">
        <v>44</v>
      </c>
      <c r="AH10" s="947"/>
      <c r="AI10" s="950">
        <v>79</v>
      </c>
      <c r="AJ10" s="951"/>
      <c r="AK10" s="942">
        <v>7</v>
      </c>
      <c r="AL10" s="944"/>
      <c r="AM10" s="942">
        <v>150</v>
      </c>
      <c r="AN10" s="944"/>
      <c r="AO10" s="942">
        <v>183</v>
      </c>
      <c r="AP10" s="943"/>
      <c r="AQ10" s="943"/>
      <c r="AR10" s="944"/>
      <c r="AS10" s="945">
        <v>333</v>
      </c>
      <c r="AT10" s="946"/>
      <c r="AU10" s="947"/>
      <c r="AV10" s="92">
        <v>0</v>
      </c>
      <c r="AW10" s="942">
        <v>0</v>
      </c>
      <c r="AX10" s="944"/>
      <c r="AY10" s="945">
        <v>0</v>
      </c>
      <c r="AZ10" s="947"/>
      <c r="BA10" s="91">
        <v>0</v>
      </c>
      <c r="BB10" s="942">
        <v>0</v>
      </c>
      <c r="BC10" s="944"/>
      <c r="BD10" s="942">
        <v>0</v>
      </c>
      <c r="BE10" s="944"/>
      <c r="BF10" s="942">
        <v>0</v>
      </c>
      <c r="BG10" s="943"/>
      <c r="BH10" s="944"/>
      <c r="BI10" s="952">
        <v>0</v>
      </c>
      <c r="BJ10" s="954"/>
      <c r="BK10" s="945">
        <v>0</v>
      </c>
      <c r="BL10" s="947"/>
      <c r="BM10" s="945">
        <v>0</v>
      </c>
      <c r="BN10" s="946"/>
      <c r="BO10" s="947"/>
      <c r="BP10" s="942">
        <v>0</v>
      </c>
      <c r="BQ10" s="944"/>
      <c r="BR10" s="942">
        <v>0</v>
      </c>
      <c r="BS10" s="944"/>
      <c r="BT10" s="942">
        <v>0</v>
      </c>
      <c r="BU10" s="944"/>
      <c r="BV10" s="942">
        <v>0</v>
      </c>
      <c r="BW10" s="943"/>
      <c r="BX10" s="944"/>
      <c r="BY10" s="952">
        <v>0</v>
      </c>
      <c r="BZ10" s="954"/>
      <c r="CA10" s="942">
        <v>0</v>
      </c>
      <c r="CB10" s="943"/>
      <c r="CC10" s="944"/>
      <c r="CD10" s="942">
        <v>7</v>
      </c>
      <c r="CE10" s="943"/>
      <c r="CF10" s="944"/>
      <c r="CG10" s="945">
        <v>150</v>
      </c>
      <c r="CH10" s="946"/>
      <c r="CI10" s="947"/>
      <c r="CJ10" s="945">
        <v>183</v>
      </c>
      <c r="CK10" s="946"/>
      <c r="CL10" s="947"/>
      <c r="CM10" s="945">
        <v>333</v>
      </c>
      <c r="CN10" s="946"/>
      <c r="CO10" s="947"/>
      <c r="CP10" s="942">
        <v>8</v>
      </c>
      <c r="CQ10" s="943"/>
      <c r="CR10" s="944"/>
      <c r="CS10" s="972">
        <v>8</v>
      </c>
      <c r="CT10" s="1520"/>
      <c r="CU10" s="973"/>
      <c r="CV10" s="945">
        <v>16</v>
      </c>
      <c r="CW10" s="947"/>
      <c r="CX10" s="955" t="s">
        <v>35</v>
      </c>
      <c r="CY10" s="956"/>
      <c r="CZ10" s="956"/>
      <c r="DA10" s="957"/>
      <c r="DB10" s="239">
        <f t="shared" si="0"/>
        <v>90000</v>
      </c>
    </row>
    <row r="11" spans="1:106" ht="26.25">
      <c r="A11" s="238">
        <v>5</v>
      </c>
      <c r="B11" s="703" t="s">
        <v>243</v>
      </c>
      <c r="C11" s="704"/>
      <c r="D11" s="704"/>
      <c r="E11" s="704"/>
      <c r="F11" s="711"/>
      <c r="G11" s="955" t="s">
        <v>19</v>
      </c>
      <c r="H11" s="956"/>
      <c r="I11" s="957"/>
      <c r="J11" s="942">
        <v>5</v>
      </c>
      <c r="K11" s="944"/>
      <c r="L11" s="950">
        <v>3</v>
      </c>
      <c r="M11" s="951"/>
      <c r="N11" s="942">
        <v>78</v>
      </c>
      <c r="O11" s="944"/>
      <c r="P11" s="945">
        <v>67</v>
      </c>
      <c r="Q11" s="947"/>
      <c r="R11" s="950">
        <v>145</v>
      </c>
      <c r="S11" s="951"/>
      <c r="T11" s="942">
        <v>3</v>
      </c>
      <c r="U11" s="944"/>
      <c r="V11" s="945">
        <v>51</v>
      </c>
      <c r="W11" s="946"/>
      <c r="X11" s="947"/>
      <c r="Y11" s="945">
        <v>44</v>
      </c>
      <c r="Z11" s="947"/>
      <c r="AA11" s="950">
        <v>95</v>
      </c>
      <c r="AB11" s="951"/>
      <c r="AC11" s="942">
        <v>3</v>
      </c>
      <c r="AD11" s="944"/>
      <c r="AE11" s="942">
        <v>48</v>
      </c>
      <c r="AF11" s="944"/>
      <c r="AG11" s="945">
        <v>56</v>
      </c>
      <c r="AH11" s="947"/>
      <c r="AI11" s="950">
        <v>104</v>
      </c>
      <c r="AJ11" s="951"/>
      <c r="AK11" s="942">
        <v>9</v>
      </c>
      <c r="AL11" s="944"/>
      <c r="AM11" s="942">
        <v>177</v>
      </c>
      <c r="AN11" s="944"/>
      <c r="AO11" s="942">
        <v>167</v>
      </c>
      <c r="AP11" s="943"/>
      <c r="AQ11" s="943"/>
      <c r="AR11" s="944"/>
      <c r="AS11" s="945">
        <v>344</v>
      </c>
      <c r="AT11" s="946"/>
      <c r="AU11" s="947"/>
      <c r="AV11" s="92">
        <v>0</v>
      </c>
      <c r="AW11" s="942">
        <v>0</v>
      </c>
      <c r="AX11" s="944"/>
      <c r="AY11" s="945">
        <v>0</v>
      </c>
      <c r="AZ11" s="947"/>
      <c r="BA11" s="91">
        <v>0</v>
      </c>
      <c r="BB11" s="942">
        <v>0</v>
      </c>
      <c r="BC11" s="944"/>
      <c r="BD11" s="942">
        <v>0</v>
      </c>
      <c r="BE11" s="944"/>
      <c r="BF11" s="942">
        <v>0</v>
      </c>
      <c r="BG11" s="943"/>
      <c r="BH11" s="944"/>
      <c r="BI11" s="952">
        <v>0</v>
      </c>
      <c r="BJ11" s="954"/>
      <c r="BK11" s="945">
        <v>0</v>
      </c>
      <c r="BL11" s="947"/>
      <c r="BM11" s="945">
        <v>0</v>
      </c>
      <c r="BN11" s="946"/>
      <c r="BO11" s="947"/>
      <c r="BP11" s="942">
        <v>0</v>
      </c>
      <c r="BQ11" s="944"/>
      <c r="BR11" s="942">
        <v>0</v>
      </c>
      <c r="BS11" s="944"/>
      <c r="BT11" s="942">
        <v>0</v>
      </c>
      <c r="BU11" s="944"/>
      <c r="BV11" s="942">
        <v>0</v>
      </c>
      <c r="BW11" s="943"/>
      <c r="BX11" s="944"/>
      <c r="BY11" s="952">
        <v>0</v>
      </c>
      <c r="BZ11" s="954"/>
      <c r="CA11" s="942">
        <v>0</v>
      </c>
      <c r="CB11" s="943"/>
      <c r="CC11" s="944"/>
      <c r="CD11" s="942">
        <v>9</v>
      </c>
      <c r="CE11" s="943"/>
      <c r="CF11" s="944"/>
      <c r="CG11" s="945">
        <v>177</v>
      </c>
      <c r="CH11" s="946"/>
      <c r="CI11" s="947"/>
      <c r="CJ11" s="945">
        <v>167</v>
      </c>
      <c r="CK11" s="946"/>
      <c r="CL11" s="947"/>
      <c r="CM11" s="945">
        <v>344</v>
      </c>
      <c r="CN11" s="946"/>
      <c r="CO11" s="947"/>
      <c r="CP11" s="942">
        <v>7</v>
      </c>
      <c r="CQ11" s="943"/>
      <c r="CR11" s="944"/>
      <c r="CS11" s="950">
        <v>13</v>
      </c>
      <c r="CT11" s="1059"/>
      <c r="CU11" s="951"/>
      <c r="CV11" s="945">
        <v>20</v>
      </c>
      <c r="CW11" s="947"/>
      <c r="CX11" s="955" t="s">
        <v>35</v>
      </c>
      <c r="CY11" s="956"/>
      <c r="CZ11" s="956"/>
      <c r="DA11" s="957"/>
      <c r="DB11" s="239">
        <f t="shared" si="0"/>
        <v>90000</v>
      </c>
    </row>
    <row r="12" spans="1:106" ht="26.25">
      <c r="A12" s="238">
        <v>6</v>
      </c>
      <c r="B12" s="703" t="s">
        <v>244</v>
      </c>
      <c r="C12" s="704"/>
      <c r="D12" s="704"/>
      <c r="E12" s="704"/>
      <c r="F12" s="711"/>
      <c r="G12" s="955" t="s">
        <v>19</v>
      </c>
      <c r="H12" s="956"/>
      <c r="I12" s="957"/>
      <c r="J12" s="942">
        <v>11</v>
      </c>
      <c r="K12" s="944"/>
      <c r="L12" s="950">
        <v>2</v>
      </c>
      <c r="M12" s="951"/>
      <c r="N12" s="942">
        <v>33</v>
      </c>
      <c r="O12" s="944"/>
      <c r="P12" s="945">
        <v>22</v>
      </c>
      <c r="Q12" s="947"/>
      <c r="R12" s="950">
        <v>55</v>
      </c>
      <c r="S12" s="951"/>
      <c r="T12" s="942">
        <v>2</v>
      </c>
      <c r="U12" s="944"/>
      <c r="V12" s="945">
        <v>24</v>
      </c>
      <c r="W12" s="946"/>
      <c r="X12" s="947"/>
      <c r="Y12" s="945">
        <v>18</v>
      </c>
      <c r="Z12" s="947"/>
      <c r="AA12" s="950">
        <v>42</v>
      </c>
      <c r="AB12" s="951"/>
      <c r="AC12" s="942">
        <v>2</v>
      </c>
      <c r="AD12" s="944"/>
      <c r="AE12" s="942">
        <v>21</v>
      </c>
      <c r="AF12" s="944"/>
      <c r="AG12" s="945">
        <v>20</v>
      </c>
      <c r="AH12" s="947"/>
      <c r="AI12" s="950">
        <v>41</v>
      </c>
      <c r="AJ12" s="951"/>
      <c r="AK12" s="942">
        <v>6</v>
      </c>
      <c r="AL12" s="944"/>
      <c r="AM12" s="942">
        <v>78</v>
      </c>
      <c r="AN12" s="944"/>
      <c r="AO12" s="942">
        <v>60</v>
      </c>
      <c r="AP12" s="943"/>
      <c r="AQ12" s="943"/>
      <c r="AR12" s="944"/>
      <c r="AS12" s="945">
        <v>138</v>
      </c>
      <c r="AT12" s="946"/>
      <c r="AU12" s="947"/>
      <c r="AV12" s="92">
        <v>0</v>
      </c>
      <c r="AW12" s="942">
        <v>0</v>
      </c>
      <c r="AX12" s="944"/>
      <c r="AY12" s="945">
        <v>0</v>
      </c>
      <c r="AZ12" s="947"/>
      <c r="BA12" s="91">
        <v>0</v>
      </c>
      <c r="BB12" s="942">
        <v>0</v>
      </c>
      <c r="BC12" s="944"/>
      <c r="BD12" s="942">
        <v>0</v>
      </c>
      <c r="BE12" s="944"/>
      <c r="BF12" s="942">
        <v>0</v>
      </c>
      <c r="BG12" s="943"/>
      <c r="BH12" s="944"/>
      <c r="BI12" s="952">
        <v>0</v>
      </c>
      <c r="BJ12" s="954"/>
      <c r="BK12" s="945">
        <v>0</v>
      </c>
      <c r="BL12" s="947"/>
      <c r="BM12" s="945">
        <v>0</v>
      </c>
      <c r="BN12" s="946"/>
      <c r="BO12" s="947"/>
      <c r="BP12" s="942">
        <v>0</v>
      </c>
      <c r="BQ12" s="944"/>
      <c r="BR12" s="942">
        <v>0</v>
      </c>
      <c r="BS12" s="944"/>
      <c r="BT12" s="942">
        <v>0</v>
      </c>
      <c r="BU12" s="944"/>
      <c r="BV12" s="942">
        <v>0</v>
      </c>
      <c r="BW12" s="943"/>
      <c r="BX12" s="944"/>
      <c r="BY12" s="952">
        <v>0</v>
      </c>
      <c r="BZ12" s="954"/>
      <c r="CA12" s="942">
        <v>0</v>
      </c>
      <c r="CB12" s="943"/>
      <c r="CC12" s="944"/>
      <c r="CD12" s="942">
        <v>6</v>
      </c>
      <c r="CE12" s="943"/>
      <c r="CF12" s="944"/>
      <c r="CG12" s="945">
        <v>78</v>
      </c>
      <c r="CH12" s="946"/>
      <c r="CI12" s="947"/>
      <c r="CJ12" s="945">
        <v>60</v>
      </c>
      <c r="CK12" s="946"/>
      <c r="CL12" s="947"/>
      <c r="CM12" s="945">
        <v>138</v>
      </c>
      <c r="CN12" s="946"/>
      <c r="CO12" s="947"/>
      <c r="CP12" s="942">
        <v>4</v>
      </c>
      <c r="CQ12" s="943"/>
      <c r="CR12" s="944"/>
      <c r="CS12" s="950">
        <v>13</v>
      </c>
      <c r="CT12" s="1059"/>
      <c r="CU12" s="951"/>
      <c r="CV12" s="945">
        <v>17</v>
      </c>
      <c r="CW12" s="947"/>
      <c r="CX12" s="955" t="s">
        <v>35</v>
      </c>
      <c r="CY12" s="956"/>
      <c r="CZ12" s="956"/>
      <c r="DA12" s="957"/>
      <c r="DB12" s="239">
        <f t="shared" si="0"/>
        <v>90000</v>
      </c>
    </row>
    <row r="13" spans="1:106" ht="26.25">
      <c r="A13" s="238">
        <v>7</v>
      </c>
      <c r="B13" s="703" t="s">
        <v>245</v>
      </c>
      <c r="C13" s="704"/>
      <c r="D13" s="704"/>
      <c r="E13" s="704"/>
      <c r="F13" s="711"/>
      <c r="G13" s="955" t="s">
        <v>19</v>
      </c>
      <c r="H13" s="956"/>
      <c r="I13" s="957"/>
      <c r="J13" s="942">
        <v>14</v>
      </c>
      <c r="K13" s="944"/>
      <c r="L13" s="950">
        <v>4</v>
      </c>
      <c r="M13" s="951"/>
      <c r="N13" s="942">
        <v>68</v>
      </c>
      <c r="O13" s="944"/>
      <c r="P13" s="945">
        <v>75</v>
      </c>
      <c r="Q13" s="947"/>
      <c r="R13" s="950">
        <v>143</v>
      </c>
      <c r="S13" s="951"/>
      <c r="T13" s="942">
        <v>4</v>
      </c>
      <c r="U13" s="944"/>
      <c r="V13" s="945">
        <v>60</v>
      </c>
      <c r="W13" s="946"/>
      <c r="X13" s="947"/>
      <c r="Y13" s="945">
        <v>60</v>
      </c>
      <c r="Z13" s="947"/>
      <c r="AA13" s="950">
        <v>120</v>
      </c>
      <c r="AB13" s="951"/>
      <c r="AC13" s="942">
        <v>4</v>
      </c>
      <c r="AD13" s="944"/>
      <c r="AE13" s="942">
        <v>65</v>
      </c>
      <c r="AF13" s="944"/>
      <c r="AG13" s="945">
        <v>82</v>
      </c>
      <c r="AH13" s="947"/>
      <c r="AI13" s="950">
        <v>147</v>
      </c>
      <c r="AJ13" s="951"/>
      <c r="AK13" s="942">
        <v>12</v>
      </c>
      <c r="AL13" s="944"/>
      <c r="AM13" s="942">
        <v>193</v>
      </c>
      <c r="AN13" s="944"/>
      <c r="AO13" s="942">
        <v>217</v>
      </c>
      <c r="AP13" s="943"/>
      <c r="AQ13" s="943"/>
      <c r="AR13" s="944"/>
      <c r="AS13" s="945">
        <v>410</v>
      </c>
      <c r="AT13" s="946"/>
      <c r="AU13" s="947"/>
      <c r="AV13" s="92">
        <v>0</v>
      </c>
      <c r="AW13" s="942">
        <v>0</v>
      </c>
      <c r="AX13" s="944"/>
      <c r="AY13" s="945">
        <v>0</v>
      </c>
      <c r="AZ13" s="947"/>
      <c r="BA13" s="91">
        <v>0</v>
      </c>
      <c r="BB13" s="942">
        <v>0</v>
      </c>
      <c r="BC13" s="944"/>
      <c r="BD13" s="942">
        <v>0</v>
      </c>
      <c r="BE13" s="944"/>
      <c r="BF13" s="942">
        <v>0</v>
      </c>
      <c r="BG13" s="943"/>
      <c r="BH13" s="944"/>
      <c r="BI13" s="952">
        <v>0</v>
      </c>
      <c r="BJ13" s="954"/>
      <c r="BK13" s="945">
        <v>0</v>
      </c>
      <c r="BL13" s="947"/>
      <c r="BM13" s="945">
        <v>0</v>
      </c>
      <c r="BN13" s="946"/>
      <c r="BO13" s="947"/>
      <c r="BP13" s="942">
        <v>0</v>
      </c>
      <c r="BQ13" s="944"/>
      <c r="BR13" s="942">
        <v>0</v>
      </c>
      <c r="BS13" s="944"/>
      <c r="BT13" s="942">
        <v>0</v>
      </c>
      <c r="BU13" s="944"/>
      <c r="BV13" s="942">
        <v>0</v>
      </c>
      <c r="BW13" s="943"/>
      <c r="BX13" s="944"/>
      <c r="BY13" s="952">
        <v>0</v>
      </c>
      <c r="BZ13" s="954"/>
      <c r="CA13" s="942">
        <v>0</v>
      </c>
      <c r="CB13" s="943"/>
      <c r="CC13" s="944"/>
      <c r="CD13" s="942">
        <v>12</v>
      </c>
      <c r="CE13" s="943"/>
      <c r="CF13" s="944"/>
      <c r="CG13" s="945">
        <v>193</v>
      </c>
      <c r="CH13" s="946"/>
      <c r="CI13" s="947"/>
      <c r="CJ13" s="945">
        <v>217</v>
      </c>
      <c r="CK13" s="946"/>
      <c r="CL13" s="947"/>
      <c r="CM13" s="945">
        <v>410</v>
      </c>
      <c r="CN13" s="946"/>
      <c r="CO13" s="947"/>
      <c r="CP13" s="942">
        <v>5</v>
      </c>
      <c r="CQ13" s="943"/>
      <c r="CR13" s="944"/>
      <c r="CS13" s="950">
        <v>12</v>
      </c>
      <c r="CT13" s="1059"/>
      <c r="CU13" s="951"/>
      <c r="CV13" s="945">
        <v>17</v>
      </c>
      <c r="CW13" s="947"/>
      <c r="CX13" s="955" t="s">
        <v>35</v>
      </c>
      <c r="CY13" s="956"/>
      <c r="CZ13" s="956"/>
      <c r="DA13" s="957"/>
      <c r="DB13" s="239">
        <f t="shared" si="0"/>
        <v>90000</v>
      </c>
    </row>
    <row r="14" spans="1:106" ht="26.25">
      <c r="A14" s="238">
        <v>8</v>
      </c>
      <c r="B14" s="703" t="s">
        <v>246</v>
      </c>
      <c r="C14" s="704"/>
      <c r="D14" s="704"/>
      <c r="E14" s="704"/>
      <c r="F14" s="711"/>
      <c r="G14" s="955" t="s">
        <v>19</v>
      </c>
      <c r="H14" s="956"/>
      <c r="I14" s="957"/>
      <c r="J14" s="942">
        <v>7</v>
      </c>
      <c r="K14" s="944"/>
      <c r="L14" s="950">
        <v>3</v>
      </c>
      <c r="M14" s="951"/>
      <c r="N14" s="942">
        <v>95</v>
      </c>
      <c r="O14" s="944"/>
      <c r="P14" s="945">
        <v>96</v>
      </c>
      <c r="Q14" s="947"/>
      <c r="R14" s="950">
        <v>191</v>
      </c>
      <c r="S14" s="951"/>
      <c r="T14" s="942">
        <v>3</v>
      </c>
      <c r="U14" s="944"/>
      <c r="V14" s="945">
        <v>78</v>
      </c>
      <c r="W14" s="946"/>
      <c r="X14" s="947"/>
      <c r="Y14" s="945">
        <v>91</v>
      </c>
      <c r="Z14" s="947"/>
      <c r="AA14" s="950">
        <v>169</v>
      </c>
      <c r="AB14" s="951"/>
      <c r="AC14" s="942">
        <v>3</v>
      </c>
      <c r="AD14" s="944"/>
      <c r="AE14" s="942">
        <v>97</v>
      </c>
      <c r="AF14" s="944"/>
      <c r="AG14" s="945">
        <v>81</v>
      </c>
      <c r="AH14" s="947"/>
      <c r="AI14" s="950">
        <v>178</v>
      </c>
      <c r="AJ14" s="951"/>
      <c r="AK14" s="942">
        <v>9</v>
      </c>
      <c r="AL14" s="944"/>
      <c r="AM14" s="942">
        <v>270</v>
      </c>
      <c r="AN14" s="944"/>
      <c r="AO14" s="942">
        <v>268</v>
      </c>
      <c r="AP14" s="943"/>
      <c r="AQ14" s="943"/>
      <c r="AR14" s="944"/>
      <c r="AS14" s="945">
        <v>538</v>
      </c>
      <c r="AT14" s="946"/>
      <c r="AU14" s="947"/>
      <c r="AV14" s="92">
        <v>0</v>
      </c>
      <c r="AW14" s="942">
        <v>0</v>
      </c>
      <c r="AX14" s="944"/>
      <c r="AY14" s="945">
        <v>0</v>
      </c>
      <c r="AZ14" s="947"/>
      <c r="BA14" s="91">
        <v>0</v>
      </c>
      <c r="BB14" s="942">
        <v>0</v>
      </c>
      <c r="BC14" s="944"/>
      <c r="BD14" s="942">
        <v>0</v>
      </c>
      <c r="BE14" s="944"/>
      <c r="BF14" s="942">
        <v>0</v>
      </c>
      <c r="BG14" s="943"/>
      <c r="BH14" s="944"/>
      <c r="BI14" s="952">
        <v>0</v>
      </c>
      <c r="BJ14" s="954"/>
      <c r="BK14" s="945">
        <v>0</v>
      </c>
      <c r="BL14" s="947"/>
      <c r="BM14" s="945">
        <v>0</v>
      </c>
      <c r="BN14" s="946"/>
      <c r="BO14" s="947"/>
      <c r="BP14" s="942">
        <v>0</v>
      </c>
      <c r="BQ14" s="944"/>
      <c r="BR14" s="942">
        <v>0</v>
      </c>
      <c r="BS14" s="944"/>
      <c r="BT14" s="942">
        <v>0</v>
      </c>
      <c r="BU14" s="944"/>
      <c r="BV14" s="942">
        <v>0</v>
      </c>
      <c r="BW14" s="943"/>
      <c r="BX14" s="944"/>
      <c r="BY14" s="952">
        <v>0</v>
      </c>
      <c r="BZ14" s="954"/>
      <c r="CA14" s="942">
        <v>0</v>
      </c>
      <c r="CB14" s="943"/>
      <c r="CC14" s="944"/>
      <c r="CD14" s="942">
        <v>9</v>
      </c>
      <c r="CE14" s="943"/>
      <c r="CF14" s="944"/>
      <c r="CG14" s="945">
        <v>270</v>
      </c>
      <c r="CH14" s="946"/>
      <c r="CI14" s="947"/>
      <c r="CJ14" s="945">
        <v>268</v>
      </c>
      <c r="CK14" s="946"/>
      <c r="CL14" s="947"/>
      <c r="CM14" s="945">
        <v>538</v>
      </c>
      <c r="CN14" s="946"/>
      <c r="CO14" s="947"/>
      <c r="CP14" s="942">
        <v>7</v>
      </c>
      <c r="CQ14" s="943"/>
      <c r="CR14" s="944"/>
      <c r="CS14" s="950">
        <v>10</v>
      </c>
      <c r="CT14" s="1059"/>
      <c r="CU14" s="951"/>
      <c r="CV14" s="945">
        <v>17</v>
      </c>
      <c r="CW14" s="947"/>
      <c r="CX14" s="955" t="s">
        <v>35</v>
      </c>
      <c r="CY14" s="956"/>
      <c r="CZ14" s="956"/>
      <c r="DA14" s="957"/>
      <c r="DB14" s="239">
        <f t="shared" si="0"/>
        <v>90000</v>
      </c>
    </row>
    <row r="15" spans="1:106" ht="26.25">
      <c r="A15" s="238">
        <v>9</v>
      </c>
      <c r="B15" s="703" t="s">
        <v>247</v>
      </c>
      <c r="C15" s="704"/>
      <c r="D15" s="704"/>
      <c r="E15" s="704"/>
      <c r="F15" s="711"/>
      <c r="G15" s="955" t="s">
        <v>19</v>
      </c>
      <c r="H15" s="956"/>
      <c r="I15" s="957"/>
      <c r="J15" s="942">
        <v>11</v>
      </c>
      <c r="K15" s="944"/>
      <c r="L15" s="950">
        <v>0</v>
      </c>
      <c r="M15" s="951"/>
      <c r="N15" s="942">
        <v>0</v>
      </c>
      <c r="O15" s="944"/>
      <c r="P15" s="952">
        <v>0</v>
      </c>
      <c r="Q15" s="954"/>
      <c r="R15" s="950">
        <v>0</v>
      </c>
      <c r="S15" s="951"/>
      <c r="T15" s="942">
        <v>0</v>
      </c>
      <c r="U15" s="944"/>
      <c r="V15" s="952">
        <v>0</v>
      </c>
      <c r="W15" s="953"/>
      <c r="X15" s="954"/>
      <c r="Y15" s="952">
        <v>0</v>
      </c>
      <c r="Z15" s="954"/>
      <c r="AA15" s="950">
        <v>0</v>
      </c>
      <c r="AB15" s="951"/>
      <c r="AC15" s="942">
        <v>0</v>
      </c>
      <c r="AD15" s="944"/>
      <c r="AE15" s="942">
        <v>0</v>
      </c>
      <c r="AF15" s="944"/>
      <c r="AG15" s="945">
        <v>0</v>
      </c>
      <c r="AH15" s="947"/>
      <c r="AI15" s="950">
        <v>0</v>
      </c>
      <c r="AJ15" s="951"/>
      <c r="AK15" s="942">
        <v>0</v>
      </c>
      <c r="AL15" s="944"/>
      <c r="AM15" s="942">
        <v>0</v>
      </c>
      <c r="AN15" s="944"/>
      <c r="AO15" s="942">
        <v>0</v>
      </c>
      <c r="AP15" s="943"/>
      <c r="AQ15" s="943"/>
      <c r="AR15" s="944"/>
      <c r="AS15" s="952">
        <v>0</v>
      </c>
      <c r="AT15" s="953"/>
      <c r="AU15" s="954"/>
      <c r="AV15" s="92">
        <v>3</v>
      </c>
      <c r="AW15" s="942">
        <v>87</v>
      </c>
      <c r="AX15" s="944"/>
      <c r="AY15" s="945">
        <v>68</v>
      </c>
      <c r="AZ15" s="947"/>
      <c r="BA15" s="91">
        <v>155</v>
      </c>
      <c r="BB15" s="942">
        <v>3</v>
      </c>
      <c r="BC15" s="944"/>
      <c r="BD15" s="942">
        <v>74</v>
      </c>
      <c r="BE15" s="944"/>
      <c r="BF15" s="942">
        <v>53</v>
      </c>
      <c r="BG15" s="943"/>
      <c r="BH15" s="944"/>
      <c r="BI15" s="945">
        <v>127</v>
      </c>
      <c r="BJ15" s="947"/>
      <c r="BK15" s="945">
        <v>3</v>
      </c>
      <c r="BL15" s="947"/>
      <c r="BM15" s="945">
        <v>53</v>
      </c>
      <c r="BN15" s="946"/>
      <c r="BO15" s="947"/>
      <c r="BP15" s="942">
        <v>31</v>
      </c>
      <c r="BQ15" s="944"/>
      <c r="BR15" s="942">
        <v>84</v>
      </c>
      <c r="BS15" s="944"/>
      <c r="BT15" s="942">
        <v>9</v>
      </c>
      <c r="BU15" s="944"/>
      <c r="BV15" s="942">
        <v>214</v>
      </c>
      <c r="BW15" s="943"/>
      <c r="BX15" s="944"/>
      <c r="BY15" s="945">
        <v>152</v>
      </c>
      <c r="BZ15" s="947"/>
      <c r="CA15" s="942">
        <v>366</v>
      </c>
      <c r="CB15" s="943"/>
      <c r="CC15" s="944"/>
      <c r="CD15" s="942">
        <v>9</v>
      </c>
      <c r="CE15" s="943"/>
      <c r="CF15" s="944"/>
      <c r="CG15" s="945">
        <v>214</v>
      </c>
      <c r="CH15" s="946"/>
      <c r="CI15" s="947"/>
      <c r="CJ15" s="945">
        <v>152</v>
      </c>
      <c r="CK15" s="946"/>
      <c r="CL15" s="947"/>
      <c r="CM15" s="945">
        <v>366</v>
      </c>
      <c r="CN15" s="946"/>
      <c r="CO15" s="947"/>
      <c r="CP15" s="942">
        <v>9</v>
      </c>
      <c r="CQ15" s="943"/>
      <c r="CR15" s="944"/>
      <c r="CS15" s="950">
        <v>16</v>
      </c>
      <c r="CT15" s="1059"/>
      <c r="CU15" s="951"/>
      <c r="CV15" s="945">
        <v>25</v>
      </c>
      <c r="CW15" s="947"/>
      <c r="CX15" s="955" t="s">
        <v>35</v>
      </c>
      <c r="CY15" s="956"/>
      <c r="CZ15" s="956"/>
      <c r="DA15" s="957"/>
      <c r="DB15" s="239">
        <f t="shared" si="0"/>
        <v>90000</v>
      </c>
    </row>
    <row r="16" spans="1:106" ht="26.25">
      <c r="A16" s="238">
        <v>10</v>
      </c>
      <c r="B16" s="958" t="s">
        <v>248</v>
      </c>
      <c r="C16" s="959"/>
      <c r="D16" s="959"/>
      <c r="E16" s="959"/>
      <c r="F16" s="960"/>
      <c r="G16" s="955" t="s">
        <v>19</v>
      </c>
      <c r="H16" s="956"/>
      <c r="I16" s="957"/>
      <c r="J16" s="942">
        <v>9</v>
      </c>
      <c r="K16" s="944"/>
      <c r="L16" s="950">
        <v>0</v>
      </c>
      <c r="M16" s="951"/>
      <c r="N16" s="942">
        <v>0</v>
      </c>
      <c r="O16" s="944"/>
      <c r="P16" s="952">
        <v>0</v>
      </c>
      <c r="Q16" s="954"/>
      <c r="R16" s="950">
        <v>0</v>
      </c>
      <c r="S16" s="951"/>
      <c r="T16" s="942">
        <v>0</v>
      </c>
      <c r="U16" s="944"/>
      <c r="V16" s="952">
        <v>0</v>
      </c>
      <c r="W16" s="953"/>
      <c r="X16" s="954"/>
      <c r="Y16" s="952">
        <v>0</v>
      </c>
      <c r="Z16" s="954"/>
      <c r="AA16" s="950">
        <v>0</v>
      </c>
      <c r="AB16" s="951"/>
      <c r="AC16" s="942">
        <v>0</v>
      </c>
      <c r="AD16" s="944"/>
      <c r="AE16" s="942">
        <v>0</v>
      </c>
      <c r="AF16" s="944"/>
      <c r="AG16" s="945">
        <v>0</v>
      </c>
      <c r="AH16" s="947"/>
      <c r="AI16" s="950">
        <v>0</v>
      </c>
      <c r="AJ16" s="951"/>
      <c r="AK16" s="942">
        <v>0</v>
      </c>
      <c r="AL16" s="944"/>
      <c r="AM16" s="942">
        <v>0</v>
      </c>
      <c r="AN16" s="944"/>
      <c r="AO16" s="942">
        <v>0</v>
      </c>
      <c r="AP16" s="943"/>
      <c r="AQ16" s="943"/>
      <c r="AR16" s="944"/>
      <c r="AS16" s="952">
        <v>0</v>
      </c>
      <c r="AT16" s="953"/>
      <c r="AU16" s="954"/>
      <c r="AV16" s="92">
        <v>4</v>
      </c>
      <c r="AW16" s="942">
        <v>82</v>
      </c>
      <c r="AX16" s="944"/>
      <c r="AY16" s="945">
        <v>57</v>
      </c>
      <c r="AZ16" s="947"/>
      <c r="BA16" s="91">
        <v>139</v>
      </c>
      <c r="BB16" s="942">
        <v>3</v>
      </c>
      <c r="BC16" s="944"/>
      <c r="BD16" s="942">
        <v>14</v>
      </c>
      <c r="BE16" s="944"/>
      <c r="BF16" s="942">
        <v>20</v>
      </c>
      <c r="BG16" s="943"/>
      <c r="BH16" s="944"/>
      <c r="BI16" s="945">
        <v>34</v>
      </c>
      <c r="BJ16" s="947"/>
      <c r="BK16" s="945">
        <v>3</v>
      </c>
      <c r="BL16" s="947"/>
      <c r="BM16" s="945">
        <v>25</v>
      </c>
      <c r="BN16" s="946"/>
      <c r="BO16" s="947"/>
      <c r="BP16" s="942">
        <v>41</v>
      </c>
      <c r="BQ16" s="944"/>
      <c r="BR16" s="942">
        <v>66</v>
      </c>
      <c r="BS16" s="944"/>
      <c r="BT16" s="942">
        <v>10</v>
      </c>
      <c r="BU16" s="944"/>
      <c r="BV16" s="942">
        <v>121</v>
      </c>
      <c r="BW16" s="943"/>
      <c r="BX16" s="944"/>
      <c r="BY16" s="945">
        <v>118</v>
      </c>
      <c r="BZ16" s="947"/>
      <c r="CA16" s="942">
        <v>239</v>
      </c>
      <c r="CB16" s="943"/>
      <c r="CC16" s="944"/>
      <c r="CD16" s="942">
        <v>10</v>
      </c>
      <c r="CE16" s="943"/>
      <c r="CF16" s="944"/>
      <c r="CG16" s="945">
        <v>121</v>
      </c>
      <c r="CH16" s="946"/>
      <c r="CI16" s="947"/>
      <c r="CJ16" s="945">
        <v>118</v>
      </c>
      <c r="CK16" s="946"/>
      <c r="CL16" s="947"/>
      <c r="CM16" s="945">
        <v>239</v>
      </c>
      <c r="CN16" s="946"/>
      <c r="CO16" s="947"/>
      <c r="CP16" s="942">
        <v>13</v>
      </c>
      <c r="CQ16" s="943"/>
      <c r="CR16" s="944"/>
      <c r="CS16" s="972">
        <v>6</v>
      </c>
      <c r="CT16" s="1520"/>
      <c r="CU16" s="973"/>
      <c r="CV16" s="945">
        <v>19</v>
      </c>
      <c r="CW16" s="947"/>
      <c r="CX16" s="955" t="s">
        <v>35</v>
      </c>
      <c r="CY16" s="956"/>
      <c r="CZ16" s="956"/>
      <c r="DA16" s="957"/>
      <c r="DB16" s="239">
        <f t="shared" si="0"/>
        <v>90000</v>
      </c>
    </row>
    <row r="17" spans="1:106" ht="26.25">
      <c r="A17" s="238">
        <v>11</v>
      </c>
      <c r="B17" s="703" t="s">
        <v>249</v>
      </c>
      <c r="C17" s="704"/>
      <c r="D17" s="704"/>
      <c r="E17" s="704"/>
      <c r="F17" s="711"/>
      <c r="G17" s="955" t="s">
        <v>19</v>
      </c>
      <c r="H17" s="956"/>
      <c r="I17" s="957"/>
      <c r="J17" s="942">
        <v>3</v>
      </c>
      <c r="K17" s="944"/>
      <c r="L17" s="950">
        <v>0</v>
      </c>
      <c r="M17" s="951"/>
      <c r="N17" s="942">
        <v>0</v>
      </c>
      <c r="O17" s="944"/>
      <c r="P17" s="952">
        <v>0</v>
      </c>
      <c r="Q17" s="954"/>
      <c r="R17" s="950">
        <v>0</v>
      </c>
      <c r="S17" s="951"/>
      <c r="T17" s="942">
        <v>0</v>
      </c>
      <c r="U17" s="944"/>
      <c r="V17" s="952">
        <v>0</v>
      </c>
      <c r="W17" s="953"/>
      <c r="X17" s="954"/>
      <c r="Y17" s="952">
        <v>0</v>
      </c>
      <c r="Z17" s="954"/>
      <c r="AA17" s="950">
        <v>0</v>
      </c>
      <c r="AB17" s="951"/>
      <c r="AC17" s="942">
        <v>0</v>
      </c>
      <c r="AD17" s="944"/>
      <c r="AE17" s="942">
        <v>0</v>
      </c>
      <c r="AF17" s="944"/>
      <c r="AG17" s="945">
        <v>0</v>
      </c>
      <c r="AH17" s="947"/>
      <c r="AI17" s="950">
        <v>0</v>
      </c>
      <c r="AJ17" s="951"/>
      <c r="AK17" s="942">
        <v>0</v>
      </c>
      <c r="AL17" s="944"/>
      <c r="AM17" s="942">
        <v>0</v>
      </c>
      <c r="AN17" s="944"/>
      <c r="AO17" s="942">
        <v>0</v>
      </c>
      <c r="AP17" s="943"/>
      <c r="AQ17" s="943"/>
      <c r="AR17" s="944"/>
      <c r="AS17" s="952">
        <v>0</v>
      </c>
      <c r="AT17" s="953"/>
      <c r="AU17" s="954"/>
      <c r="AV17" s="92">
        <v>3</v>
      </c>
      <c r="AW17" s="942">
        <v>23</v>
      </c>
      <c r="AX17" s="944"/>
      <c r="AY17" s="945">
        <v>68</v>
      </c>
      <c r="AZ17" s="947"/>
      <c r="BA17" s="91">
        <v>91</v>
      </c>
      <c r="BB17" s="942">
        <v>3</v>
      </c>
      <c r="BC17" s="944"/>
      <c r="BD17" s="942">
        <v>41</v>
      </c>
      <c r="BE17" s="944"/>
      <c r="BF17" s="942">
        <v>41</v>
      </c>
      <c r="BG17" s="943"/>
      <c r="BH17" s="944"/>
      <c r="BI17" s="945">
        <v>82</v>
      </c>
      <c r="BJ17" s="947"/>
      <c r="BK17" s="945">
        <v>3</v>
      </c>
      <c r="BL17" s="947"/>
      <c r="BM17" s="945">
        <v>17</v>
      </c>
      <c r="BN17" s="946"/>
      <c r="BO17" s="947"/>
      <c r="BP17" s="942">
        <v>16</v>
      </c>
      <c r="BQ17" s="944"/>
      <c r="BR17" s="942">
        <v>33</v>
      </c>
      <c r="BS17" s="944"/>
      <c r="BT17" s="942">
        <v>9</v>
      </c>
      <c r="BU17" s="944"/>
      <c r="BV17" s="942">
        <v>81</v>
      </c>
      <c r="BW17" s="943"/>
      <c r="BX17" s="944"/>
      <c r="BY17" s="945">
        <v>125</v>
      </c>
      <c r="BZ17" s="947"/>
      <c r="CA17" s="942">
        <v>206</v>
      </c>
      <c r="CB17" s="943"/>
      <c r="CC17" s="944"/>
      <c r="CD17" s="942">
        <v>9</v>
      </c>
      <c r="CE17" s="943"/>
      <c r="CF17" s="944"/>
      <c r="CG17" s="945">
        <v>81</v>
      </c>
      <c r="CH17" s="946"/>
      <c r="CI17" s="947"/>
      <c r="CJ17" s="945">
        <v>125</v>
      </c>
      <c r="CK17" s="946"/>
      <c r="CL17" s="947"/>
      <c r="CM17" s="945">
        <v>206</v>
      </c>
      <c r="CN17" s="946"/>
      <c r="CO17" s="947"/>
      <c r="CP17" s="942">
        <v>12</v>
      </c>
      <c r="CQ17" s="943"/>
      <c r="CR17" s="944"/>
      <c r="CS17" s="972">
        <v>5</v>
      </c>
      <c r="CT17" s="1520"/>
      <c r="CU17" s="973"/>
      <c r="CV17" s="945">
        <v>17</v>
      </c>
      <c r="CW17" s="947"/>
      <c r="CX17" s="955" t="s">
        <v>35</v>
      </c>
      <c r="CY17" s="956"/>
      <c r="CZ17" s="956"/>
      <c r="DA17" s="957"/>
      <c r="DB17" s="239">
        <f t="shared" si="0"/>
        <v>90000</v>
      </c>
    </row>
    <row r="18" spans="1:106" ht="26.25">
      <c r="A18" s="238">
        <v>12</v>
      </c>
      <c r="B18" s="703" t="s">
        <v>250</v>
      </c>
      <c r="C18" s="704"/>
      <c r="D18" s="704"/>
      <c r="E18" s="704"/>
      <c r="F18" s="711"/>
      <c r="G18" s="955" t="s">
        <v>19</v>
      </c>
      <c r="H18" s="956"/>
      <c r="I18" s="957"/>
      <c r="J18" s="942">
        <v>6</v>
      </c>
      <c r="K18" s="944"/>
      <c r="L18" s="950">
        <v>0</v>
      </c>
      <c r="M18" s="951"/>
      <c r="N18" s="942">
        <v>0</v>
      </c>
      <c r="O18" s="944"/>
      <c r="P18" s="952">
        <v>0</v>
      </c>
      <c r="Q18" s="954"/>
      <c r="R18" s="950">
        <v>0</v>
      </c>
      <c r="S18" s="951"/>
      <c r="T18" s="942">
        <v>0</v>
      </c>
      <c r="U18" s="944"/>
      <c r="V18" s="952">
        <v>0</v>
      </c>
      <c r="W18" s="953"/>
      <c r="X18" s="954"/>
      <c r="Y18" s="952">
        <v>0</v>
      </c>
      <c r="Z18" s="954"/>
      <c r="AA18" s="950">
        <v>0</v>
      </c>
      <c r="AB18" s="951"/>
      <c r="AC18" s="942">
        <v>0</v>
      </c>
      <c r="AD18" s="944"/>
      <c r="AE18" s="942">
        <v>0</v>
      </c>
      <c r="AF18" s="944"/>
      <c r="AG18" s="945">
        <v>0</v>
      </c>
      <c r="AH18" s="947"/>
      <c r="AI18" s="950">
        <v>0</v>
      </c>
      <c r="AJ18" s="951"/>
      <c r="AK18" s="942">
        <v>0</v>
      </c>
      <c r="AL18" s="944"/>
      <c r="AM18" s="942">
        <v>0</v>
      </c>
      <c r="AN18" s="944"/>
      <c r="AO18" s="942">
        <v>0</v>
      </c>
      <c r="AP18" s="943"/>
      <c r="AQ18" s="943"/>
      <c r="AR18" s="944"/>
      <c r="AS18" s="952">
        <v>0</v>
      </c>
      <c r="AT18" s="953"/>
      <c r="AU18" s="954"/>
      <c r="AV18" s="92">
        <v>3</v>
      </c>
      <c r="AW18" s="942">
        <v>43</v>
      </c>
      <c r="AX18" s="944"/>
      <c r="AY18" s="945">
        <v>32</v>
      </c>
      <c r="AZ18" s="947"/>
      <c r="BA18" s="91">
        <v>75</v>
      </c>
      <c r="BB18" s="942">
        <v>3</v>
      </c>
      <c r="BC18" s="944"/>
      <c r="BD18" s="942">
        <v>25</v>
      </c>
      <c r="BE18" s="944"/>
      <c r="BF18" s="942">
        <v>34</v>
      </c>
      <c r="BG18" s="943"/>
      <c r="BH18" s="944"/>
      <c r="BI18" s="945">
        <v>59</v>
      </c>
      <c r="BJ18" s="947"/>
      <c r="BK18" s="945">
        <v>3</v>
      </c>
      <c r="BL18" s="947"/>
      <c r="BM18" s="945">
        <v>17</v>
      </c>
      <c r="BN18" s="946"/>
      <c r="BO18" s="947"/>
      <c r="BP18" s="942">
        <v>12</v>
      </c>
      <c r="BQ18" s="944"/>
      <c r="BR18" s="942">
        <v>29</v>
      </c>
      <c r="BS18" s="944"/>
      <c r="BT18" s="942">
        <v>9</v>
      </c>
      <c r="BU18" s="944"/>
      <c r="BV18" s="942">
        <v>85</v>
      </c>
      <c r="BW18" s="943"/>
      <c r="BX18" s="944"/>
      <c r="BY18" s="945">
        <v>78</v>
      </c>
      <c r="BZ18" s="947"/>
      <c r="CA18" s="942">
        <v>163</v>
      </c>
      <c r="CB18" s="943"/>
      <c r="CC18" s="944"/>
      <c r="CD18" s="942">
        <v>9</v>
      </c>
      <c r="CE18" s="943"/>
      <c r="CF18" s="944"/>
      <c r="CG18" s="945">
        <v>85</v>
      </c>
      <c r="CH18" s="946"/>
      <c r="CI18" s="947"/>
      <c r="CJ18" s="945">
        <v>78</v>
      </c>
      <c r="CK18" s="946"/>
      <c r="CL18" s="947"/>
      <c r="CM18" s="945">
        <v>163</v>
      </c>
      <c r="CN18" s="946"/>
      <c r="CO18" s="947"/>
      <c r="CP18" s="942">
        <v>5</v>
      </c>
      <c r="CQ18" s="943"/>
      <c r="CR18" s="944"/>
      <c r="CS18" s="972">
        <v>7</v>
      </c>
      <c r="CT18" s="1520"/>
      <c r="CU18" s="973"/>
      <c r="CV18" s="945">
        <v>12</v>
      </c>
      <c r="CW18" s="947"/>
      <c r="CX18" s="955" t="s">
        <v>35</v>
      </c>
      <c r="CY18" s="956"/>
      <c r="CZ18" s="956"/>
      <c r="DA18" s="957"/>
      <c r="DB18" s="239">
        <f t="shared" si="0"/>
        <v>90000</v>
      </c>
    </row>
    <row r="19" spans="1:106" ht="26.25">
      <c r="A19" s="238">
        <v>13</v>
      </c>
      <c r="B19" s="958" t="s">
        <v>251</v>
      </c>
      <c r="C19" s="959"/>
      <c r="D19" s="959"/>
      <c r="E19" s="959"/>
      <c r="F19" s="960"/>
      <c r="G19" s="955" t="s">
        <v>19</v>
      </c>
      <c r="H19" s="956"/>
      <c r="I19" s="957"/>
      <c r="J19" s="942">
        <v>5</v>
      </c>
      <c r="K19" s="944"/>
      <c r="L19" s="950">
        <v>0</v>
      </c>
      <c r="M19" s="951"/>
      <c r="N19" s="942">
        <v>0</v>
      </c>
      <c r="O19" s="944"/>
      <c r="P19" s="952">
        <v>0</v>
      </c>
      <c r="Q19" s="954"/>
      <c r="R19" s="950">
        <v>0</v>
      </c>
      <c r="S19" s="951"/>
      <c r="T19" s="942">
        <v>0</v>
      </c>
      <c r="U19" s="944"/>
      <c r="V19" s="952">
        <v>0</v>
      </c>
      <c r="W19" s="953"/>
      <c r="X19" s="954"/>
      <c r="Y19" s="952">
        <v>0</v>
      </c>
      <c r="Z19" s="954"/>
      <c r="AA19" s="950">
        <v>0</v>
      </c>
      <c r="AB19" s="951"/>
      <c r="AC19" s="942">
        <v>0</v>
      </c>
      <c r="AD19" s="944"/>
      <c r="AE19" s="942">
        <v>0</v>
      </c>
      <c r="AF19" s="944"/>
      <c r="AG19" s="945">
        <v>0</v>
      </c>
      <c r="AH19" s="947"/>
      <c r="AI19" s="950">
        <v>0</v>
      </c>
      <c r="AJ19" s="951"/>
      <c r="AK19" s="942">
        <v>0</v>
      </c>
      <c r="AL19" s="944"/>
      <c r="AM19" s="942">
        <v>0</v>
      </c>
      <c r="AN19" s="944"/>
      <c r="AO19" s="942">
        <v>0</v>
      </c>
      <c r="AP19" s="943"/>
      <c r="AQ19" s="943"/>
      <c r="AR19" s="944"/>
      <c r="AS19" s="952">
        <v>0</v>
      </c>
      <c r="AT19" s="953"/>
      <c r="AU19" s="954"/>
      <c r="AV19" s="92">
        <v>3</v>
      </c>
      <c r="AW19" s="942">
        <v>79</v>
      </c>
      <c r="AX19" s="944"/>
      <c r="AY19" s="945">
        <v>70</v>
      </c>
      <c r="AZ19" s="947"/>
      <c r="BA19" s="91">
        <v>149</v>
      </c>
      <c r="BB19" s="942">
        <v>3</v>
      </c>
      <c r="BC19" s="944"/>
      <c r="BD19" s="942">
        <v>71</v>
      </c>
      <c r="BE19" s="944"/>
      <c r="BF19" s="942">
        <v>64</v>
      </c>
      <c r="BG19" s="943"/>
      <c r="BH19" s="944"/>
      <c r="BI19" s="945">
        <v>135</v>
      </c>
      <c r="BJ19" s="947"/>
      <c r="BK19" s="945">
        <v>3</v>
      </c>
      <c r="BL19" s="947"/>
      <c r="BM19" s="945">
        <v>22</v>
      </c>
      <c r="BN19" s="946"/>
      <c r="BO19" s="947"/>
      <c r="BP19" s="942">
        <v>45</v>
      </c>
      <c r="BQ19" s="944"/>
      <c r="BR19" s="942">
        <v>67</v>
      </c>
      <c r="BS19" s="944"/>
      <c r="BT19" s="942">
        <v>9</v>
      </c>
      <c r="BU19" s="944"/>
      <c r="BV19" s="942">
        <v>172</v>
      </c>
      <c r="BW19" s="943"/>
      <c r="BX19" s="944"/>
      <c r="BY19" s="945">
        <v>179</v>
      </c>
      <c r="BZ19" s="947"/>
      <c r="CA19" s="942">
        <v>351</v>
      </c>
      <c r="CB19" s="943"/>
      <c r="CC19" s="944"/>
      <c r="CD19" s="942">
        <v>9</v>
      </c>
      <c r="CE19" s="943"/>
      <c r="CF19" s="944"/>
      <c r="CG19" s="945">
        <v>172</v>
      </c>
      <c r="CH19" s="946"/>
      <c r="CI19" s="947"/>
      <c r="CJ19" s="945">
        <v>179</v>
      </c>
      <c r="CK19" s="946"/>
      <c r="CL19" s="947"/>
      <c r="CM19" s="945">
        <v>351</v>
      </c>
      <c r="CN19" s="946"/>
      <c r="CO19" s="947"/>
      <c r="CP19" s="942">
        <v>12</v>
      </c>
      <c r="CQ19" s="943"/>
      <c r="CR19" s="944"/>
      <c r="CS19" s="972">
        <v>9</v>
      </c>
      <c r="CT19" s="1520"/>
      <c r="CU19" s="973"/>
      <c r="CV19" s="945">
        <v>21</v>
      </c>
      <c r="CW19" s="947"/>
      <c r="CX19" s="955" t="s">
        <v>35</v>
      </c>
      <c r="CY19" s="956"/>
      <c r="CZ19" s="956"/>
      <c r="DA19" s="957"/>
      <c r="DB19" s="239">
        <f t="shared" si="0"/>
        <v>90000</v>
      </c>
    </row>
    <row r="20" spans="1:106" ht="26.25">
      <c r="A20" s="238">
        <v>14</v>
      </c>
      <c r="B20" s="703" t="s">
        <v>252</v>
      </c>
      <c r="C20" s="704"/>
      <c r="D20" s="704"/>
      <c r="E20" s="704"/>
      <c r="F20" s="711"/>
      <c r="G20" s="955" t="s">
        <v>19</v>
      </c>
      <c r="H20" s="956"/>
      <c r="I20" s="957"/>
      <c r="J20" s="942">
        <v>11</v>
      </c>
      <c r="K20" s="944"/>
      <c r="L20" s="950">
        <v>0</v>
      </c>
      <c r="M20" s="951"/>
      <c r="N20" s="942">
        <v>0</v>
      </c>
      <c r="O20" s="944"/>
      <c r="P20" s="952">
        <v>0</v>
      </c>
      <c r="Q20" s="954"/>
      <c r="R20" s="950">
        <v>0</v>
      </c>
      <c r="S20" s="951"/>
      <c r="T20" s="942">
        <v>0</v>
      </c>
      <c r="U20" s="944"/>
      <c r="V20" s="952">
        <v>0</v>
      </c>
      <c r="W20" s="953"/>
      <c r="X20" s="954"/>
      <c r="Y20" s="952">
        <v>0</v>
      </c>
      <c r="Z20" s="954"/>
      <c r="AA20" s="950">
        <v>0</v>
      </c>
      <c r="AB20" s="951"/>
      <c r="AC20" s="942">
        <v>0</v>
      </c>
      <c r="AD20" s="944"/>
      <c r="AE20" s="942">
        <v>0</v>
      </c>
      <c r="AF20" s="944"/>
      <c r="AG20" s="945">
        <v>0</v>
      </c>
      <c r="AH20" s="947"/>
      <c r="AI20" s="950">
        <v>0</v>
      </c>
      <c r="AJ20" s="951"/>
      <c r="AK20" s="942">
        <v>0</v>
      </c>
      <c r="AL20" s="944"/>
      <c r="AM20" s="942">
        <v>0</v>
      </c>
      <c r="AN20" s="944"/>
      <c r="AO20" s="942">
        <v>0</v>
      </c>
      <c r="AP20" s="943"/>
      <c r="AQ20" s="943"/>
      <c r="AR20" s="944"/>
      <c r="AS20" s="952">
        <v>0</v>
      </c>
      <c r="AT20" s="953"/>
      <c r="AU20" s="954"/>
      <c r="AV20" s="92">
        <v>3</v>
      </c>
      <c r="AW20" s="942">
        <v>36</v>
      </c>
      <c r="AX20" s="944"/>
      <c r="AY20" s="945">
        <v>12</v>
      </c>
      <c r="AZ20" s="947"/>
      <c r="BA20" s="91">
        <v>48</v>
      </c>
      <c r="BB20" s="942">
        <v>3</v>
      </c>
      <c r="BC20" s="944"/>
      <c r="BD20" s="942">
        <v>25</v>
      </c>
      <c r="BE20" s="944"/>
      <c r="BF20" s="942">
        <v>13</v>
      </c>
      <c r="BG20" s="943"/>
      <c r="BH20" s="944"/>
      <c r="BI20" s="945">
        <v>38</v>
      </c>
      <c r="BJ20" s="947"/>
      <c r="BK20" s="945">
        <v>3</v>
      </c>
      <c r="BL20" s="947"/>
      <c r="BM20" s="945">
        <v>22</v>
      </c>
      <c r="BN20" s="946"/>
      <c r="BO20" s="947"/>
      <c r="BP20" s="942">
        <v>9</v>
      </c>
      <c r="BQ20" s="944"/>
      <c r="BR20" s="942">
        <v>31</v>
      </c>
      <c r="BS20" s="944"/>
      <c r="BT20" s="942">
        <v>9</v>
      </c>
      <c r="BU20" s="944"/>
      <c r="BV20" s="942">
        <v>83</v>
      </c>
      <c r="BW20" s="943"/>
      <c r="BX20" s="944"/>
      <c r="BY20" s="945">
        <v>34</v>
      </c>
      <c r="BZ20" s="947"/>
      <c r="CA20" s="942">
        <v>117</v>
      </c>
      <c r="CB20" s="943"/>
      <c r="CC20" s="944"/>
      <c r="CD20" s="942">
        <v>9</v>
      </c>
      <c r="CE20" s="943"/>
      <c r="CF20" s="944"/>
      <c r="CG20" s="945">
        <v>83</v>
      </c>
      <c r="CH20" s="946"/>
      <c r="CI20" s="947"/>
      <c r="CJ20" s="945">
        <v>34</v>
      </c>
      <c r="CK20" s="946"/>
      <c r="CL20" s="947"/>
      <c r="CM20" s="945">
        <v>117</v>
      </c>
      <c r="CN20" s="946"/>
      <c r="CO20" s="947"/>
      <c r="CP20" s="942">
        <v>9</v>
      </c>
      <c r="CQ20" s="943"/>
      <c r="CR20" s="944"/>
      <c r="CS20" s="950">
        <v>11</v>
      </c>
      <c r="CT20" s="1059"/>
      <c r="CU20" s="951"/>
      <c r="CV20" s="945">
        <v>20</v>
      </c>
      <c r="CW20" s="947"/>
      <c r="CX20" s="955" t="s">
        <v>35</v>
      </c>
      <c r="CY20" s="956"/>
      <c r="CZ20" s="956"/>
      <c r="DA20" s="957"/>
      <c r="DB20" s="239">
        <f t="shared" si="0"/>
        <v>90000</v>
      </c>
    </row>
    <row r="21" spans="1:106" ht="26.25">
      <c r="A21" s="238">
        <v>15</v>
      </c>
      <c r="B21" s="703" t="s">
        <v>253</v>
      </c>
      <c r="C21" s="704"/>
      <c r="D21" s="704"/>
      <c r="E21" s="704"/>
      <c r="F21" s="711"/>
      <c r="G21" s="955" t="s">
        <v>19</v>
      </c>
      <c r="H21" s="956"/>
      <c r="I21" s="957"/>
      <c r="J21" s="942">
        <v>15</v>
      </c>
      <c r="K21" s="944"/>
      <c r="L21" s="950">
        <v>0</v>
      </c>
      <c r="M21" s="951"/>
      <c r="N21" s="942">
        <v>0</v>
      </c>
      <c r="O21" s="944"/>
      <c r="P21" s="952">
        <v>0</v>
      </c>
      <c r="Q21" s="954"/>
      <c r="R21" s="950">
        <v>0</v>
      </c>
      <c r="S21" s="951"/>
      <c r="T21" s="942">
        <v>0</v>
      </c>
      <c r="U21" s="944"/>
      <c r="V21" s="952">
        <v>0</v>
      </c>
      <c r="W21" s="953"/>
      <c r="X21" s="954"/>
      <c r="Y21" s="952">
        <v>0</v>
      </c>
      <c r="Z21" s="954"/>
      <c r="AA21" s="950">
        <v>0</v>
      </c>
      <c r="AB21" s="951"/>
      <c r="AC21" s="942">
        <v>0</v>
      </c>
      <c r="AD21" s="944"/>
      <c r="AE21" s="942">
        <v>0</v>
      </c>
      <c r="AF21" s="944"/>
      <c r="AG21" s="945">
        <v>0</v>
      </c>
      <c r="AH21" s="947"/>
      <c r="AI21" s="950">
        <v>0</v>
      </c>
      <c r="AJ21" s="951"/>
      <c r="AK21" s="942">
        <v>0</v>
      </c>
      <c r="AL21" s="944"/>
      <c r="AM21" s="942">
        <v>0</v>
      </c>
      <c r="AN21" s="944"/>
      <c r="AO21" s="942">
        <v>0</v>
      </c>
      <c r="AP21" s="943"/>
      <c r="AQ21" s="943"/>
      <c r="AR21" s="944"/>
      <c r="AS21" s="952">
        <v>0</v>
      </c>
      <c r="AT21" s="953"/>
      <c r="AU21" s="954"/>
      <c r="AV21" s="92">
        <v>3</v>
      </c>
      <c r="AW21" s="942">
        <v>101</v>
      </c>
      <c r="AX21" s="944"/>
      <c r="AY21" s="945">
        <v>89</v>
      </c>
      <c r="AZ21" s="947"/>
      <c r="BA21" s="91">
        <v>190</v>
      </c>
      <c r="BB21" s="942">
        <v>3</v>
      </c>
      <c r="BC21" s="944"/>
      <c r="BD21" s="942">
        <v>51</v>
      </c>
      <c r="BE21" s="944"/>
      <c r="BF21" s="942">
        <v>43</v>
      </c>
      <c r="BG21" s="943"/>
      <c r="BH21" s="944"/>
      <c r="BI21" s="945">
        <v>94</v>
      </c>
      <c r="BJ21" s="947"/>
      <c r="BK21" s="945">
        <v>3</v>
      </c>
      <c r="BL21" s="947"/>
      <c r="BM21" s="945">
        <v>20</v>
      </c>
      <c r="BN21" s="946"/>
      <c r="BO21" s="947"/>
      <c r="BP21" s="942">
        <v>33</v>
      </c>
      <c r="BQ21" s="944"/>
      <c r="BR21" s="942">
        <v>53</v>
      </c>
      <c r="BS21" s="944"/>
      <c r="BT21" s="942">
        <v>9</v>
      </c>
      <c r="BU21" s="944"/>
      <c r="BV21" s="942">
        <v>172</v>
      </c>
      <c r="BW21" s="943"/>
      <c r="BX21" s="944"/>
      <c r="BY21" s="945">
        <v>165</v>
      </c>
      <c r="BZ21" s="947"/>
      <c r="CA21" s="942">
        <v>337</v>
      </c>
      <c r="CB21" s="943"/>
      <c r="CC21" s="944"/>
      <c r="CD21" s="942">
        <v>9</v>
      </c>
      <c r="CE21" s="943"/>
      <c r="CF21" s="944"/>
      <c r="CG21" s="945">
        <v>172</v>
      </c>
      <c r="CH21" s="946"/>
      <c r="CI21" s="947"/>
      <c r="CJ21" s="945">
        <v>165</v>
      </c>
      <c r="CK21" s="946"/>
      <c r="CL21" s="947"/>
      <c r="CM21" s="945">
        <v>337</v>
      </c>
      <c r="CN21" s="946"/>
      <c r="CO21" s="947"/>
      <c r="CP21" s="942">
        <v>8</v>
      </c>
      <c r="CQ21" s="943"/>
      <c r="CR21" s="944"/>
      <c r="CS21" s="972">
        <v>8</v>
      </c>
      <c r="CT21" s="1520"/>
      <c r="CU21" s="973"/>
      <c r="CV21" s="945">
        <v>16</v>
      </c>
      <c r="CW21" s="947"/>
      <c r="CX21" s="955" t="s">
        <v>35</v>
      </c>
      <c r="CY21" s="956"/>
      <c r="CZ21" s="956"/>
      <c r="DA21" s="957"/>
      <c r="DB21" s="239">
        <f t="shared" si="0"/>
        <v>90000</v>
      </c>
    </row>
    <row r="22" spans="1:106" ht="26.25">
      <c r="A22" s="238">
        <v>16</v>
      </c>
      <c r="B22" s="703" t="s">
        <v>254</v>
      </c>
      <c r="C22" s="704"/>
      <c r="D22" s="704"/>
      <c r="E22" s="704"/>
      <c r="F22" s="711"/>
      <c r="G22" s="955" t="s">
        <v>19</v>
      </c>
      <c r="H22" s="956"/>
      <c r="I22" s="957"/>
      <c r="J22" s="942">
        <v>7</v>
      </c>
      <c r="K22" s="944"/>
      <c r="L22" s="950">
        <v>0</v>
      </c>
      <c r="M22" s="951"/>
      <c r="N22" s="942">
        <v>0</v>
      </c>
      <c r="O22" s="944"/>
      <c r="P22" s="952">
        <v>0</v>
      </c>
      <c r="Q22" s="954"/>
      <c r="R22" s="950">
        <v>0</v>
      </c>
      <c r="S22" s="951"/>
      <c r="T22" s="942">
        <v>0</v>
      </c>
      <c r="U22" s="944"/>
      <c r="V22" s="952">
        <v>0</v>
      </c>
      <c r="W22" s="953"/>
      <c r="X22" s="954"/>
      <c r="Y22" s="952">
        <v>0</v>
      </c>
      <c r="Z22" s="954"/>
      <c r="AA22" s="950">
        <v>0</v>
      </c>
      <c r="AB22" s="951"/>
      <c r="AC22" s="942">
        <v>0</v>
      </c>
      <c r="AD22" s="944"/>
      <c r="AE22" s="942">
        <v>0</v>
      </c>
      <c r="AF22" s="944"/>
      <c r="AG22" s="945">
        <v>0</v>
      </c>
      <c r="AH22" s="947"/>
      <c r="AI22" s="950">
        <v>0</v>
      </c>
      <c r="AJ22" s="951"/>
      <c r="AK22" s="942">
        <v>0</v>
      </c>
      <c r="AL22" s="944"/>
      <c r="AM22" s="942">
        <v>0</v>
      </c>
      <c r="AN22" s="944"/>
      <c r="AO22" s="942">
        <v>0</v>
      </c>
      <c r="AP22" s="943"/>
      <c r="AQ22" s="943"/>
      <c r="AR22" s="944"/>
      <c r="AS22" s="952">
        <v>0</v>
      </c>
      <c r="AT22" s="953"/>
      <c r="AU22" s="954"/>
      <c r="AV22" s="92">
        <v>3</v>
      </c>
      <c r="AW22" s="942">
        <v>71</v>
      </c>
      <c r="AX22" s="944"/>
      <c r="AY22" s="945">
        <v>65</v>
      </c>
      <c r="AZ22" s="947"/>
      <c r="BA22" s="91">
        <v>136</v>
      </c>
      <c r="BB22" s="942">
        <v>3</v>
      </c>
      <c r="BC22" s="944"/>
      <c r="BD22" s="942">
        <v>70</v>
      </c>
      <c r="BE22" s="944"/>
      <c r="BF22" s="942">
        <v>68</v>
      </c>
      <c r="BG22" s="943"/>
      <c r="BH22" s="944"/>
      <c r="BI22" s="945">
        <v>138</v>
      </c>
      <c r="BJ22" s="947"/>
      <c r="BK22" s="945">
        <v>3</v>
      </c>
      <c r="BL22" s="947"/>
      <c r="BM22" s="945">
        <v>36</v>
      </c>
      <c r="BN22" s="946"/>
      <c r="BO22" s="947"/>
      <c r="BP22" s="942">
        <v>40</v>
      </c>
      <c r="BQ22" s="944"/>
      <c r="BR22" s="942">
        <v>76</v>
      </c>
      <c r="BS22" s="944"/>
      <c r="BT22" s="942">
        <v>9</v>
      </c>
      <c r="BU22" s="944"/>
      <c r="BV22" s="942">
        <v>177</v>
      </c>
      <c r="BW22" s="943"/>
      <c r="BX22" s="944"/>
      <c r="BY22" s="945">
        <v>173</v>
      </c>
      <c r="BZ22" s="947"/>
      <c r="CA22" s="942">
        <v>350</v>
      </c>
      <c r="CB22" s="943"/>
      <c r="CC22" s="944"/>
      <c r="CD22" s="942">
        <v>9</v>
      </c>
      <c r="CE22" s="943"/>
      <c r="CF22" s="944"/>
      <c r="CG22" s="945">
        <v>177</v>
      </c>
      <c r="CH22" s="946"/>
      <c r="CI22" s="947"/>
      <c r="CJ22" s="945">
        <v>173</v>
      </c>
      <c r="CK22" s="946"/>
      <c r="CL22" s="947"/>
      <c r="CM22" s="945">
        <v>350</v>
      </c>
      <c r="CN22" s="946"/>
      <c r="CO22" s="947"/>
      <c r="CP22" s="942">
        <v>8</v>
      </c>
      <c r="CQ22" s="943"/>
      <c r="CR22" s="944"/>
      <c r="CS22" s="950">
        <v>16</v>
      </c>
      <c r="CT22" s="1059"/>
      <c r="CU22" s="951"/>
      <c r="CV22" s="945">
        <v>24</v>
      </c>
      <c r="CW22" s="947"/>
      <c r="CX22" s="955" t="s">
        <v>35</v>
      </c>
      <c r="CY22" s="956"/>
      <c r="CZ22" s="956"/>
      <c r="DA22" s="957"/>
      <c r="DB22" s="239">
        <f t="shared" si="0"/>
        <v>90000</v>
      </c>
    </row>
    <row r="23" spans="1:106" ht="26.25">
      <c r="A23" s="238">
        <v>17</v>
      </c>
      <c r="B23" s="958" t="s">
        <v>255</v>
      </c>
      <c r="C23" s="959"/>
      <c r="D23" s="959"/>
      <c r="E23" s="959"/>
      <c r="F23" s="960"/>
      <c r="G23" s="955" t="s">
        <v>19</v>
      </c>
      <c r="H23" s="956"/>
      <c r="I23" s="957"/>
      <c r="J23" s="942">
        <v>6</v>
      </c>
      <c r="K23" s="944"/>
      <c r="L23" s="950">
        <v>2</v>
      </c>
      <c r="M23" s="951"/>
      <c r="N23" s="942">
        <v>54</v>
      </c>
      <c r="O23" s="944"/>
      <c r="P23" s="945">
        <v>50</v>
      </c>
      <c r="Q23" s="947"/>
      <c r="R23" s="950">
        <v>104</v>
      </c>
      <c r="S23" s="951"/>
      <c r="T23" s="942">
        <v>2</v>
      </c>
      <c r="U23" s="944"/>
      <c r="V23" s="945">
        <v>43</v>
      </c>
      <c r="W23" s="946"/>
      <c r="X23" s="947"/>
      <c r="Y23" s="945">
        <v>44</v>
      </c>
      <c r="Z23" s="947"/>
      <c r="AA23" s="950">
        <v>87</v>
      </c>
      <c r="AB23" s="951"/>
      <c r="AC23" s="942">
        <v>2</v>
      </c>
      <c r="AD23" s="944"/>
      <c r="AE23" s="942">
        <v>31</v>
      </c>
      <c r="AF23" s="944"/>
      <c r="AG23" s="945">
        <v>33</v>
      </c>
      <c r="AH23" s="947"/>
      <c r="AI23" s="950">
        <v>64</v>
      </c>
      <c r="AJ23" s="951"/>
      <c r="AK23" s="942">
        <v>6</v>
      </c>
      <c r="AL23" s="944"/>
      <c r="AM23" s="942">
        <v>128</v>
      </c>
      <c r="AN23" s="944"/>
      <c r="AO23" s="942">
        <v>127</v>
      </c>
      <c r="AP23" s="943"/>
      <c r="AQ23" s="943"/>
      <c r="AR23" s="944"/>
      <c r="AS23" s="945">
        <v>255</v>
      </c>
      <c r="AT23" s="946"/>
      <c r="AU23" s="947"/>
      <c r="AV23" s="92">
        <v>3</v>
      </c>
      <c r="AW23" s="942">
        <v>38</v>
      </c>
      <c r="AX23" s="944"/>
      <c r="AY23" s="945">
        <v>34</v>
      </c>
      <c r="AZ23" s="947"/>
      <c r="BA23" s="91">
        <v>72</v>
      </c>
      <c r="BB23" s="942">
        <v>3</v>
      </c>
      <c r="BC23" s="944"/>
      <c r="BD23" s="942">
        <v>28</v>
      </c>
      <c r="BE23" s="944"/>
      <c r="BF23" s="942">
        <v>19</v>
      </c>
      <c r="BG23" s="943"/>
      <c r="BH23" s="944"/>
      <c r="BI23" s="945">
        <v>47</v>
      </c>
      <c r="BJ23" s="947"/>
      <c r="BK23" s="945">
        <v>3</v>
      </c>
      <c r="BL23" s="947"/>
      <c r="BM23" s="945">
        <v>10</v>
      </c>
      <c r="BN23" s="946"/>
      <c r="BO23" s="947"/>
      <c r="BP23" s="942">
        <v>9</v>
      </c>
      <c r="BQ23" s="944"/>
      <c r="BR23" s="942">
        <v>19</v>
      </c>
      <c r="BS23" s="944"/>
      <c r="BT23" s="942">
        <v>9</v>
      </c>
      <c r="BU23" s="944"/>
      <c r="BV23" s="942">
        <v>76</v>
      </c>
      <c r="BW23" s="943"/>
      <c r="BX23" s="944"/>
      <c r="BY23" s="945">
        <v>62</v>
      </c>
      <c r="BZ23" s="947"/>
      <c r="CA23" s="942">
        <v>138</v>
      </c>
      <c r="CB23" s="943"/>
      <c r="CC23" s="944"/>
      <c r="CD23" s="942">
        <v>15</v>
      </c>
      <c r="CE23" s="943"/>
      <c r="CF23" s="944"/>
      <c r="CG23" s="945">
        <v>204</v>
      </c>
      <c r="CH23" s="946"/>
      <c r="CI23" s="947"/>
      <c r="CJ23" s="945">
        <v>189</v>
      </c>
      <c r="CK23" s="946"/>
      <c r="CL23" s="947"/>
      <c r="CM23" s="945">
        <v>393</v>
      </c>
      <c r="CN23" s="946"/>
      <c r="CO23" s="947"/>
      <c r="CP23" s="942">
        <v>12</v>
      </c>
      <c r="CQ23" s="943"/>
      <c r="CR23" s="944"/>
      <c r="CS23" s="972">
        <v>7</v>
      </c>
      <c r="CT23" s="1520"/>
      <c r="CU23" s="973"/>
      <c r="CV23" s="945">
        <v>19</v>
      </c>
      <c r="CW23" s="947"/>
      <c r="CX23" s="955" t="s">
        <v>35</v>
      </c>
      <c r="CY23" s="956"/>
      <c r="CZ23" s="956"/>
      <c r="DA23" s="957"/>
      <c r="DB23" s="239">
        <f t="shared" si="0"/>
        <v>90000</v>
      </c>
    </row>
    <row r="24" spans="1:106" ht="26.25">
      <c r="A24" s="238">
        <v>18</v>
      </c>
      <c r="B24" s="958" t="s">
        <v>256</v>
      </c>
      <c r="C24" s="959"/>
      <c r="D24" s="959"/>
      <c r="E24" s="959"/>
      <c r="F24" s="960"/>
      <c r="G24" s="955" t="s">
        <v>19</v>
      </c>
      <c r="H24" s="956"/>
      <c r="I24" s="957"/>
      <c r="J24" s="942">
        <v>6</v>
      </c>
      <c r="K24" s="944"/>
      <c r="L24" s="950">
        <v>2</v>
      </c>
      <c r="M24" s="951"/>
      <c r="N24" s="942">
        <v>78</v>
      </c>
      <c r="O24" s="944"/>
      <c r="P24" s="945">
        <v>43</v>
      </c>
      <c r="Q24" s="947"/>
      <c r="R24" s="950">
        <v>121</v>
      </c>
      <c r="S24" s="951"/>
      <c r="T24" s="942">
        <v>2</v>
      </c>
      <c r="U24" s="944"/>
      <c r="V24" s="945">
        <v>30</v>
      </c>
      <c r="W24" s="946"/>
      <c r="X24" s="947"/>
      <c r="Y24" s="945">
        <v>36</v>
      </c>
      <c r="Z24" s="947"/>
      <c r="AA24" s="950">
        <v>66</v>
      </c>
      <c r="AB24" s="951"/>
      <c r="AC24" s="942">
        <v>2</v>
      </c>
      <c r="AD24" s="944"/>
      <c r="AE24" s="942">
        <v>18</v>
      </c>
      <c r="AF24" s="944"/>
      <c r="AG24" s="945">
        <v>16</v>
      </c>
      <c r="AH24" s="947"/>
      <c r="AI24" s="950">
        <v>34</v>
      </c>
      <c r="AJ24" s="951"/>
      <c r="AK24" s="942">
        <v>6</v>
      </c>
      <c r="AL24" s="944"/>
      <c r="AM24" s="942">
        <v>126</v>
      </c>
      <c r="AN24" s="944"/>
      <c r="AO24" s="942">
        <v>95</v>
      </c>
      <c r="AP24" s="943"/>
      <c r="AQ24" s="943"/>
      <c r="AR24" s="944"/>
      <c r="AS24" s="945">
        <v>221</v>
      </c>
      <c r="AT24" s="946"/>
      <c r="AU24" s="947"/>
      <c r="AV24" s="92">
        <v>3</v>
      </c>
      <c r="AW24" s="942">
        <v>58</v>
      </c>
      <c r="AX24" s="944"/>
      <c r="AY24" s="945">
        <v>51</v>
      </c>
      <c r="AZ24" s="947"/>
      <c r="BA24" s="91">
        <v>109</v>
      </c>
      <c r="BB24" s="942">
        <v>3</v>
      </c>
      <c r="BC24" s="944"/>
      <c r="BD24" s="942">
        <v>30</v>
      </c>
      <c r="BE24" s="944"/>
      <c r="BF24" s="942">
        <v>27</v>
      </c>
      <c r="BG24" s="943"/>
      <c r="BH24" s="944"/>
      <c r="BI24" s="945">
        <v>57</v>
      </c>
      <c r="BJ24" s="947"/>
      <c r="BK24" s="945">
        <v>3</v>
      </c>
      <c r="BL24" s="947"/>
      <c r="BM24" s="945">
        <v>9</v>
      </c>
      <c r="BN24" s="946"/>
      <c r="BO24" s="947"/>
      <c r="BP24" s="942">
        <v>16</v>
      </c>
      <c r="BQ24" s="944"/>
      <c r="BR24" s="942">
        <v>25</v>
      </c>
      <c r="BS24" s="944"/>
      <c r="BT24" s="942">
        <v>9</v>
      </c>
      <c r="BU24" s="944"/>
      <c r="BV24" s="942">
        <v>97</v>
      </c>
      <c r="BW24" s="943"/>
      <c r="BX24" s="944"/>
      <c r="BY24" s="945">
        <v>94</v>
      </c>
      <c r="BZ24" s="947"/>
      <c r="CA24" s="942">
        <v>191</v>
      </c>
      <c r="CB24" s="943"/>
      <c r="CC24" s="944"/>
      <c r="CD24" s="942">
        <v>15</v>
      </c>
      <c r="CE24" s="943"/>
      <c r="CF24" s="944"/>
      <c r="CG24" s="945">
        <v>223</v>
      </c>
      <c r="CH24" s="946"/>
      <c r="CI24" s="947"/>
      <c r="CJ24" s="945">
        <v>189</v>
      </c>
      <c r="CK24" s="946"/>
      <c r="CL24" s="947"/>
      <c r="CM24" s="945">
        <v>412</v>
      </c>
      <c r="CN24" s="946"/>
      <c r="CO24" s="947"/>
      <c r="CP24" s="942">
        <v>9</v>
      </c>
      <c r="CQ24" s="943"/>
      <c r="CR24" s="944"/>
      <c r="CS24" s="950">
        <v>12</v>
      </c>
      <c r="CT24" s="1059"/>
      <c r="CU24" s="951"/>
      <c r="CV24" s="945">
        <v>21</v>
      </c>
      <c r="CW24" s="947"/>
      <c r="CX24" s="955" t="s">
        <v>35</v>
      </c>
      <c r="CY24" s="956"/>
      <c r="CZ24" s="956"/>
      <c r="DA24" s="957"/>
      <c r="DB24" s="239">
        <f t="shared" si="0"/>
        <v>90000</v>
      </c>
    </row>
    <row r="25" spans="1:106" ht="26.25">
      <c r="A25" s="238">
        <v>19</v>
      </c>
      <c r="B25" s="958" t="s">
        <v>257</v>
      </c>
      <c r="C25" s="959"/>
      <c r="D25" s="959"/>
      <c r="E25" s="959"/>
      <c r="F25" s="960"/>
      <c r="G25" s="955" t="s">
        <v>19</v>
      </c>
      <c r="H25" s="956"/>
      <c r="I25" s="957"/>
      <c r="J25" s="942">
        <v>8</v>
      </c>
      <c r="K25" s="944"/>
      <c r="L25" s="950">
        <v>2</v>
      </c>
      <c r="M25" s="951"/>
      <c r="N25" s="942">
        <v>72</v>
      </c>
      <c r="O25" s="944"/>
      <c r="P25" s="945">
        <v>49</v>
      </c>
      <c r="Q25" s="947"/>
      <c r="R25" s="950">
        <v>121</v>
      </c>
      <c r="S25" s="951"/>
      <c r="T25" s="942">
        <v>2</v>
      </c>
      <c r="U25" s="944"/>
      <c r="V25" s="945">
        <v>37</v>
      </c>
      <c r="W25" s="946"/>
      <c r="X25" s="947"/>
      <c r="Y25" s="945">
        <v>41</v>
      </c>
      <c r="Z25" s="947"/>
      <c r="AA25" s="950">
        <v>78</v>
      </c>
      <c r="AB25" s="951"/>
      <c r="AC25" s="942">
        <v>2</v>
      </c>
      <c r="AD25" s="944"/>
      <c r="AE25" s="942">
        <v>34</v>
      </c>
      <c r="AF25" s="944"/>
      <c r="AG25" s="945">
        <v>28</v>
      </c>
      <c r="AH25" s="947"/>
      <c r="AI25" s="950">
        <v>62</v>
      </c>
      <c r="AJ25" s="951"/>
      <c r="AK25" s="942">
        <v>6</v>
      </c>
      <c r="AL25" s="944"/>
      <c r="AM25" s="942">
        <v>143</v>
      </c>
      <c r="AN25" s="944"/>
      <c r="AO25" s="942">
        <v>118</v>
      </c>
      <c r="AP25" s="943"/>
      <c r="AQ25" s="943"/>
      <c r="AR25" s="944"/>
      <c r="AS25" s="945">
        <v>261</v>
      </c>
      <c r="AT25" s="946"/>
      <c r="AU25" s="947"/>
      <c r="AV25" s="92">
        <v>3</v>
      </c>
      <c r="AW25" s="942">
        <v>50</v>
      </c>
      <c r="AX25" s="944"/>
      <c r="AY25" s="945">
        <v>44</v>
      </c>
      <c r="AZ25" s="947"/>
      <c r="BA25" s="91">
        <v>94</v>
      </c>
      <c r="BB25" s="942">
        <v>3</v>
      </c>
      <c r="BC25" s="944"/>
      <c r="BD25" s="942">
        <v>37</v>
      </c>
      <c r="BE25" s="944"/>
      <c r="BF25" s="942">
        <v>29</v>
      </c>
      <c r="BG25" s="943"/>
      <c r="BH25" s="944"/>
      <c r="BI25" s="945">
        <v>66</v>
      </c>
      <c r="BJ25" s="947"/>
      <c r="BK25" s="945">
        <v>3</v>
      </c>
      <c r="BL25" s="947"/>
      <c r="BM25" s="945">
        <v>32</v>
      </c>
      <c r="BN25" s="946"/>
      <c r="BO25" s="947"/>
      <c r="BP25" s="942">
        <v>28</v>
      </c>
      <c r="BQ25" s="944"/>
      <c r="BR25" s="942">
        <v>60</v>
      </c>
      <c r="BS25" s="944"/>
      <c r="BT25" s="942">
        <v>9</v>
      </c>
      <c r="BU25" s="944"/>
      <c r="BV25" s="942">
        <v>119</v>
      </c>
      <c r="BW25" s="943"/>
      <c r="BX25" s="944"/>
      <c r="BY25" s="945">
        <v>101</v>
      </c>
      <c r="BZ25" s="947"/>
      <c r="CA25" s="942">
        <v>220</v>
      </c>
      <c r="CB25" s="943"/>
      <c r="CC25" s="944"/>
      <c r="CD25" s="942">
        <v>15</v>
      </c>
      <c r="CE25" s="943"/>
      <c r="CF25" s="944"/>
      <c r="CG25" s="945">
        <v>262</v>
      </c>
      <c r="CH25" s="946"/>
      <c r="CI25" s="947"/>
      <c r="CJ25" s="945">
        <v>219</v>
      </c>
      <c r="CK25" s="946"/>
      <c r="CL25" s="947"/>
      <c r="CM25" s="945">
        <v>481</v>
      </c>
      <c r="CN25" s="946"/>
      <c r="CO25" s="947"/>
      <c r="CP25" s="942">
        <v>17</v>
      </c>
      <c r="CQ25" s="943"/>
      <c r="CR25" s="944"/>
      <c r="CS25" s="950">
        <v>16</v>
      </c>
      <c r="CT25" s="1059"/>
      <c r="CU25" s="951"/>
      <c r="CV25" s="945">
        <v>33</v>
      </c>
      <c r="CW25" s="947"/>
      <c r="CX25" s="955" t="s">
        <v>35</v>
      </c>
      <c r="CY25" s="956"/>
      <c r="CZ25" s="956"/>
      <c r="DA25" s="957"/>
      <c r="DB25" s="239">
        <f t="shared" si="0"/>
        <v>90000</v>
      </c>
    </row>
    <row r="26" spans="1:106" ht="26.25">
      <c r="A26" s="238">
        <v>20</v>
      </c>
      <c r="B26" s="703" t="s">
        <v>258</v>
      </c>
      <c r="C26" s="704"/>
      <c r="D26" s="704"/>
      <c r="E26" s="704"/>
      <c r="F26" s="711"/>
      <c r="G26" s="955" t="s">
        <v>19</v>
      </c>
      <c r="H26" s="956"/>
      <c r="I26" s="957"/>
      <c r="J26" s="942">
        <v>1</v>
      </c>
      <c r="K26" s="944"/>
      <c r="L26" s="950">
        <v>2</v>
      </c>
      <c r="M26" s="951"/>
      <c r="N26" s="942">
        <v>41</v>
      </c>
      <c r="O26" s="944"/>
      <c r="P26" s="945">
        <v>43</v>
      </c>
      <c r="Q26" s="947"/>
      <c r="R26" s="950">
        <v>84</v>
      </c>
      <c r="S26" s="951"/>
      <c r="T26" s="942">
        <v>2</v>
      </c>
      <c r="U26" s="944"/>
      <c r="V26" s="945">
        <v>22</v>
      </c>
      <c r="W26" s="946"/>
      <c r="X26" s="947"/>
      <c r="Y26" s="945">
        <v>36</v>
      </c>
      <c r="Z26" s="947"/>
      <c r="AA26" s="950">
        <v>58</v>
      </c>
      <c r="AB26" s="951"/>
      <c r="AC26" s="942">
        <v>2</v>
      </c>
      <c r="AD26" s="944"/>
      <c r="AE26" s="942">
        <v>34</v>
      </c>
      <c r="AF26" s="944"/>
      <c r="AG26" s="945">
        <v>30</v>
      </c>
      <c r="AH26" s="947"/>
      <c r="AI26" s="950">
        <v>64</v>
      </c>
      <c r="AJ26" s="951"/>
      <c r="AK26" s="942">
        <v>6</v>
      </c>
      <c r="AL26" s="944"/>
      <c r="AM26" s="942">
        <v>97</v>
      </c>
      <c r="AN26" s="944"/>
      <c r="AO26" s="942">
        <v>109</v>
      </c>
      <c r="AP26" s="943"/>
      <c r="AQ26" s="943"/>
      <c r="AR26" s="944"/>
      <c r="AS26" s="945">
        <v>206</v>
      </c>
      <c r="AT26" s="946"/>
      <c r="AU26" s="947"/>
      <c r="AV26" s="92">
        <v>3</v>
      </c>
      <c r="AW26" s="942">
        <v>53</v>
      </c>
      <c r="AX26" s="944"/>
      <c r="AY26" s="945">
        <v>36</v>
      </c>
      <c r="AZ26" s="947"/>
      <c r="BA26" s="91">
        <v>89</v>
      </c>
      <c r="BB26" s="942">
        <v>3</v>
      </c>
      <c r="BC26" s="944"/>
      <c r="BD26" s="942">
        <v>31</v>
      </c>
      <c r="BE26" s="944"/>
      <c r="BF26" s="942">
        <v>26</v>
      </c>
      <c r="BG26" s="943"/>
      <c r="BH26" s="944"/>
      <c r="BI26" s="945">
        <v>57</v>
      </c>
      <c r="BJ26" s="947"/>
      <c r="BK26" s="945">
        <v>3</v>
      </c>
      <c r="BL26" s="947"/>
      <c r="BM26" s="945">
        <v>11</v>
      </c>
      <c r="BN26" s="946"/>
      <c r="BO26" s="947"/>
      <c r="BP26" s="942">
        <v>12</v>
      </c>
      <c r="BQ26" s="944"/>
      <c r="BR26" s="942">
        <v>23</v>
      </c>
      <c r="BS26" s="944"/>
      <c r="BT26" s="942">
        <v>9</v>
      </c>
      <c r="BU26" s="944"/>
      <c r="BV26" s="942">
        <v>95</v>
      </c>
      <c r="BW26" s="943"/>
      <c r="BX26" s="944"/>
      <c r="BY26" s="945">
        <v>74</v>
      </c>
      <c r="BZ26" s="947"/>
      <c r="CA26" s="942">
        <v>169</v>
      </c>
      <c r="CB26" s="943"/>
      <c r="CC26" s="944"/>
      <c r="CD26" s="942">
        <v>15</v>
      </c>
      <c r="CE26" s="943"/>
      <c r="CF26" s="944"/>
      <c r="CG26" s="945">
        <v>192</v>
      </c>
      <c r="CH26" s="946"/>
      <c r="CI26" s="947"/>
      <c r="CJ26" s="945">
        <v>183</v>
      </c>
      <c r="CK26" s="946"/>
      <c r="CL26" s="947"/>
      <c r="CM26" s="945">
        <v>375</v>
      </c>
      <c r="CN26" s="946"/>
      <c r="CO26" s="947"/>
      <c r="CP26" s="942">
        <v>14</v>
      </c>
      <c r="CQ26" s="943"/>
      <c r="CR26" s="944"/>
      <c r="CS26" s="950">
        <v>19</v>
      </c>
      <c r="CT26" s="1059"/>
      <c r="CU26" s="951"/>
      <c r="CV26" s="945">
        <v>33</v>
      </c>
      <c r="CW26" s="947"/>
      <c r="CX26" s="955" t="s">
        <v>35</v>
      </c>
      <c r="CY26" s="956"/>
      <c r="CZ26" s="956"/>
      <c r="DA26" s="957"/>
      <c r="DB26" s="239">
        <f t="shared" si="0"/>
        <v>90000</v>
      </c>
    </row>
    <row r="27" spans="1:106" ht="26.25">
      <c r="A27" s="238">
        <v>21</v>
      </c>
      <c r="B27" s="958" t="s">
        <v>259</v>
      </c>
      <c r="C27" s="959"/>
      <c r="D27" s="959"/>
      <c r="E27" s="959"/>
      <c r="F27" s="960"/>
      <c r="G27" s="955" t="s">
        <v>19</v>
      </c>
      <c r="H27" s="956"/>
      <c r="I27" s="957"/>
      <c r="J27" s="942">
        <v>12</v>
      </c>
      <c r="K27" s="944"/>
      <c r="L27" s="950">
        <v>2</v>
      </c>
      <c r="M27" s="951"/>
      <c r="N27" s="942">
        <v>31</v>
      </c>
      <c r="O27" s="944"/>
      <c r="P27" s="945">
        <v>29</v>
      </c>
      <c r="Q27" s="947"/>
      <c r="R27" s="950">
        <v>60</v>
      </c>
      <c r="S27" s="951"/>
      <c r="T27" s="942">
        <v>2</v>
      </c>
      <c r="U27" s="944"/>
      <c r="V27" s="945">
        <v>23</v>
      </c>
      <c r="W27" s="946"/>
      <c r="X27" s="947"/>
      <c r="Y27" s="945">
        <v>24</v>
      </c>
      <c r="Z27" s="947"/>
      <c r="AA27" s="950">
        <v>47</v>
      </c>
      <c r="AB27" s="951"/>
      <c r="AC27" s="942">
        <v>2</v>
      </c>
      <c r="AD27" s="944"/>
      <c r="AE27" s="942">
        <v>28</v>
      </c>
      <c r="AF27" s="944"/>
      <c r="AG27" s="945">
        <v>32</v>
      </c>
      <c r="AH27" s="947"/>
      <c r="AI27" s="950">
        <v>60</v>
      </c>
      <c r="AJ27" s="951"/>
      <c r="AK27" s="942">
        <v>6</v>
      </c>
      <c r="AL27" s="944"/>
      <c r="AM27" s="942">
        <v>82</v>
      </c>
      <c r="AN27" s="944"/>
      <c r="AO27" s="942">
        <v>85</v>
      </c>
      <c r="AP27" s="943"/>
      <c r="AQ27" s="943"/>
      <c r="AR27" s="944"/>
      <c r="AS27" s="945">
        <v>167</v>
      </c>
      <c r="AT27" s="946"/>
      <c r="AU27" s="947"/>
      <c r="AV27" s="92">
        <v>3</v>
      </c>
      <c r="AW27" s="942">
        <v>33</v>
      </c>
      <c r="AX27" s="944"/>
      <c r="AY27" s="945">
        <v>22</v>
      </c>
      <c r="AZ27" s="947"/>
      <c r="BA27" s="91">
        <v>55</v>
      </c>
      <c r="BB27" s="942">
        <v>3</v>
      </c>
      <c r="BC27" s="944"/>
      <c r="BD27" s="942">
        <v>23</v>
      </c>
      <c r="BE27" s="944"/>
      <c r="BF27" s="942">
        <v>35</v>
      </c>
      <c r="BG27" s="943"/>
      <c r="BH27" s="944"/>
      <c r="BI27" s="945">
        <v>58</v>
      </c>
      <c r="BJ27" s="947"/>
      <c r="BK27" s="945">
        <v>3</v>
      </c>
      <c r="BL27" s="947"/>
      <c r="BM27" s="945">
        <v>19</v>
      </c>
      <c r="BN27" s="946"/>
      <c r="BO27" s="947"/>
      <c r="BP27" s="942">
        <v>15</v>
      </c>
      <c r="BQ27" s="944"/>
      <c r="BR27" s="942">
        <v>34</v>
      </c>
      <c r="BS27" s="944"/>
      <c r="BT27" s="942">
        <v>9</v>
      </c>
      <c r="BU27" s="944"/>
      <c r="BV27" s="942">
        <v>75</v>
      </c>
      <c r="BW27" s="943"/>
      <c r="BX27" s="944"/>
      <c r="BY27" s="945">
        <v>72</v>
      </c>
      <c r="BZ27" s="947"/>
      <c r="CA27" s="942">
        <v>147</v>
      </c>
      <c r="CB27" s="943"/>
      <c r="CC27" s="944"/>
      <c r="CD27" s="942">
        <v>15</v>
      </c>
      <c r="CE27" s="943"/>
      <c r="CF27" s="944"/>
      <c r="CG27" s="945">
        <v>157</v>
      </c>
      <c r="CH27" s="946"/>
      <c r="CI27" s="947"/>
      <c r="CJ27" s="945">
        <v>157</v>
      </c>
      <c r="CK27" s="946"/>
      <c r="CL27" s="947"/>
      <c r="CM27" s="945">
        <v>314</v>
      </c>
      <c r="CN27" s="946"/>
      <c r="CO27" s="947"/>
      <c r="CP27" s="942">
        <v>9</v>
      </c>
      <c r="CQ27" s="943"/>
      <c r="CR27" s="944"/>
      <c r="CS27" s="950">
        <v>12</v>
      </c>
      <c r="CT27" s="1059"/>
      <c r="CU27" s="951"/>
      <c r="CV27" s="945">
        <v>21</v>
      </c>
      <c r="CW27" s="947"/>
      <c r="CX27" s="955" t="s">
        <v>35</v>
      </c>
      <c r="CY27" s="956"/>
      <c r="CZ27" s="956"/>
      <c r="DA27" s="957"/>
      <c r="DB27" s="239">
        <f t="shared" si="0"/>
        <v>90000</v>
      </c>
    </row>
    <row r="28" spans="1:106" ht="26.25">
      <c r="A28" s="238">
        <v>22</v>
      </c>
      <c r="B28" s="958" t="s">
        <v>260</v>
      </c>
      <c r="C28" s="959"/>
      <c r="D28" s="959"/>
      <c r="E28" s="959"/>
      <c r="F28" s="960"/>
      <c r="G28" s="955" t="s">
        <v>19</v>
      </c>
      <c r="H28" s="956"/>
      <c r="I28" s="957"/>
      <c r="J28" s="942">
        <v>12</v>
      </c>
      <c r="K28" s="944"/>
      <c r="L28" s="950">
        <v>2</v>
      </c>
      <c r="M28" s="951"/>
      <c r="N28" s="942">
        <v>39</v>
      </c>
      <c r="O28" s="944"/>
      <c r="P28" s="945">
        <v>40</v>
      </c>
      <c r="Q28" s="947"/>
      <c r="R28" s="950">
        <v>79</v>
      </c>
      <c r="S28" s="951"/>
      <c r="T28" s="942">
        <v>2</v>
      </c>
      <c r="U28" s="944"/>
      <c r="V28" s="945">
        <v>44</v>
      </c>
      <c r="W28" s="946"/>
      <c r="X28" s="947"/>
      <c r="Y28" s="945">
        <v>51</v>
      </c>
      <c r="Z28" s="947"/>
      <c r="AA28" s="950">
        <v>95</v>
      </c>
      <c r="AB28" s="951"/>
      <c r="AC28" s="942">
        <v>2</v>
      </c>
      <c r="AD28" s="944"/>
      <c r="AE28" s="942">
        <v>28</v>
      </c>
      <c r="AF28" s="944"/>
      <c r="AG28" s="945">
        <v>39</v>
      </c>
      <c r="AH28" s="947"/>
      <c r="AI28" s="950">
        <v>67</v>
      </c>
      <c r="AJ28" s="951"/>
      <c r="AK28" s="942">
        <v>6</v>
      </c>
      <c r="AL28" s="944"/>
      <c r="AM28" s="942">
        <v>111</v>
      </c>
      <c r="AN28" s="944"/>
      <c r="AO28" s="942">
        <v>130</v>
      </c>
      <c r="AP28" s="943"/>
      <c r="AQ28" s="943"/>
      <c r="AR28" s="944"/>
      <c r="AS28" s="945">
        <v>241</v>
      </c>
      <c r="AT28" s="946"/>
      <c r="AU28" s="947"/>
      <c r="AV28" s="92">
        <v>3</v>
      </c>
      <c r="AW28" s="942">
        <v>41</v>
      </c>
      <c r="AX28" s="944"/>
      <c r="AY28" s="945">
        <v>43</v>
      </c>
      <c r="AZ28" s="947"/>
      <c r="BA28" s="91">
        <v>84</v>
      </c>
      <c r="BB28" s="942">
        <v>3</v>
      </c>
      <c r="BC28" s="944"/>
      <c r="BD28" s="942">
        <v>22</v>
      </c>
      <c r="BE28" s="944"/>
      <c r="BF28" s="942">
        <v>18</v>
      </c>
      <c r="BG28" s="943"/>
      <c r="BH28" s="944"/>
      <c r="BI28" s="945">
        <v>40</v>
      </c>
      <c r="BJ28" s="947"/>
      <c r="BK28" s="945">
        <v>3</v>
      </c>
      <c r="BL28" s="947"/>
      <c r="BM28" s="945">
        <v>11</v>
      </c>
      <c r="BN28" s="946"/>
      <c r="BO28" s="947"/>
      <c r="BP28" s="942">
        <v>22</v>
      </c>
      <c r="BQ28" s="944"/>
      <c r="BR28" s="942">
        <v>33</v>
      </c>
      <c r="BS28" s="944"/>
      <c r="BT28" s="942">
        <v>9</v>
      </c>
      <c r="BU28" s="944"/>
      <c r="BV28" s="942">
        <v>74</v>
      </c>
      <c r="BW28" s="943"/>
      <c r="BX28" s="944"/>
      <c r="BY28" s="945">
        <v>83</v>
      </c>
      <c r="BZ28" s="947"/>
      <c r="CA28" s="942">
        <v>157</v>
      </c>
      <c r="CB28" s="943"/>
      <c r="CC28" s="944"/>
      <c r="CD28" s="942">
        <v>15</v>
      </c>
      <c r="CE28" s="943"/>
      <c r="CF28" s="944"/>
      <c r="CG28" s="945">
        <v>185</v>
      </c>
      <c r="CH28" s="946"/>
      <c r="CI28" s="947"/>
      <c r="CJ28" s="945">
        <v>213</v>
      </c>
      <c r="CK28" s="946"/>
      <c r="CL28" s="947"/>
      <c r="CM28" s="945">
        <v>398</v>
      </c>
      <c r="CN28" s="946"/>
      <c r="CO28" s="947"/>
      <c r="CP28" s="942">
        <v>14</v>
      </c>
      <c r="CQ28" s="943"/>
      <c r="CR28" s="944"/>
      <c r="CS28" s="950">
        <v>17</v>
      </c>
      <c r="CT28" s="1059"/>
      <c r="CU28" s="951"/>
      <c r="CV28" s="945">
        <v>31</v>
      </c>
      <c r="CW28" s="947"/>
      <c r="CX28" s="955" t="s">
        <v>35</v>
      </c>
      <c r="CY28" s="956"/>
      <c r="CZ28" s="956"/>
      <c r="DA28" s="957"/>
      <c r="DB28" s="239">
        <f t="shared" si="0"/>
        <v>90000</v>
      </c>
    </row>
    <row r="29" spans="1:106" ht="26.25">
      <c r="A29" s="238">
        <v>23</v>
      </c>
      <c r="B29" s="703" t="s">
        <v>261</v>
      </c>
      <c r="C29" s="704"/>
      <c r="D29" s="704"/>
      <c r="E29" s="704"/>
      <c r="F29" s="711"/>
      <c r="G29" s="955" t="s">
        <v>19</v>
      </c>
      <c r="H29" s="956"/>
      <c r="I29" s="957"/>
      <c r="J29" s="942">
        <v>11</v>
      </c>
      <c r="K29" s="944"/>
      <c r="L29" s="950">
        <v>2</v>
      </c>
      <c r="M29" s="951"/>
      <c r="N29" s="942">
        <v>32</v>
      </c>
      <c r="O29" s="944"/>
      <c r="P29" s="945">
        <v>28</v>
      </c>
      <c r="Q29" s="947"/>
      <c r="R29" s="950">
        <v>60</v>
      </c>
      <c r="S29" s="951"/>
      <c r="T29" s="942">
        <v>2</v>
      </c>
      <c r="U29" s="944"/>
      <c r="V29" s="945">
        <v>17</v>
      </c>
      <c r="W29" s="946"/>
      <c r="X29" s="947"/>
      <c r="Y29" s="945">
        <v>16</v>
      </c>
      <c r="Z29" s="947"/>
      <c r="AA29" s="950">
        <v>33</v>
      </c>
      <c r="AB29" s="951"/>
      <c r="AC29" s="942">
        <v>2</v>
      </c>
      <c r="AD29" s="944"/>
      <c r="AE29" s="942">
        <v>19</v>
      </c>
      <c r="AF29" s="944"/>
      <c r="AG29" s="945">
        <v>13</v>
      </c>
      <c r="AH29" s="947"/>
      <c r="AI29" s="950">
        <v>32</v>
      </c>
      <c r="AJ29" s="951"/>
      <c r="AK29" s="942">
        <v>6</v>
      </c>
      <c r="AL29" s="944"/>
      <c r="AM29" s="942">
        <v>68</v>
      </c>
      <c r="AN29" s="944"/>
      <c r="AO29" s="942">
        <v>57</v>
      </c>
      <c r="AP29" s="943"/>
      <c r="AQ29" s="943"/>
      <c r="AR29" s="944"/>
      <c r="AS29" s="945">
        <v>125</v>
      </c>
      <c r="AT29" s="946"/>
      <c r="AU29" s="947"/>
      <c r="AV29" s="92">
        <v>3</v>
      </c>
      <c r="AW29" s="942">
        <v>17</v>
      </c>
      <c r="AX29" s="944"/>
      <c r="AY29" s="945">
        <v>15</v>
      </c>
      <c r="AZ29" s="947"/>
      <c r="BA29" s="91">
        <v>32</v>
      </c>
      <c r="BB29" s="942">
        <v>3</v>
      </c>
      <c r="BC29" s="944"/>
      <c r="BD29" s="942">
        <v>16</v>
      </c>
      <c r="BE29" s="944"/>
      <c r="BF29" s="942">
        <v>12</v>
      </c>
      <c r="BG29" s="943"/>
      <c r="BH29" s="944"/>
      <c r="BI29" s="945">
        <v>28</v>
      </c>
      <c r="BJ29" s="947"/>
      <c r="BK29" s="945">
        <v>3</v>
      </c>
      <c r="BL29" s="947"/>
      <c r="BM29" s="945">
        <v>39</v>
      </c>
      <c r="BN29" s="946"/>
      <c r="BO29" s="947"/>
      <c r="BP29" s="942">
        <v>33</v>
      </c>
      <c r="BQ29" s="944"/>
      <c r="BR29" s="942">
        <v>72</v>
      </c>
      <c r="BS29" s="944"/>
      <c r="BT29" s="942">
        <v>9</v>
      </c>
      <c r="BU29" s="944"/>
      <c r="BV29" s="942">
        <v>72</v>
      </c>
      <c r="BW29" s="943"/>
      <c r="BX29" s="944"/>
      <c r="BY29" s="945">
        <v>60</v>
      </c>
      <c r="BZ29" s="947"/>
      <c r="CA29" s="942">
        <v>132</v>
      </c>
      <c r="CB29" s="943"/>
      <c r="CC29" s="944"/>
      <c r="CD29" s="942">
        <v>15</v>
      </c>
      <c r="CE29" s="943"/>
      <c r="CF29" s="944"/>
      <c r="CG29" s="945">
        <v>140</v>
      </c>
      <c r="CH29" s="946"/>
      <c r="CI29" s="947"/>
      <c r="CJ29" s="945">
        <v>117</v>
      </c>
      <c r="CK29" s="946"/>
      <c r="CL29" s="947"/>
      <c r="CM29" s="945">
        <v>257</v>
      </c>
      <c r="CN29" s="946"/>
      <c r="CO29" s="947"/>
      <c r="CP29" s="942">
        <v>14</v>
      </c>
      <c r="CQ29" s="943"/>
      <c r="CR29" s="944"/>
      <c r="CS29" s="950">
        <v>13</v>
      </c>
      <c r="CT29" s="1059"/>
      <c r="CU29" s="951"/>
      <c r="CV29" s="945">
        <v>27</v>
      </c>
      <c r="CW29" s="947"/>
      <c r="CX29" s="955" t="s">
        <v>35</v>
      </c>
      <c r="CY29" s="956"/>
      <c r="CZ29" s="956"/>
      <c r="DA29" s="957"/>
      <c r="DB29" s="239">
        <f t="shared" si="0"/>
        <v>90000</v>
      </c>
    </row>
    <row r="30" spans="1:106" ht="26.25">
      <c r="A30" s="238">
        <v>24</v>
      </c>
      <c r="B30" s="703" t="s">
        <v>262</v>
      </c>
      <c r="C30" s="704"/>
      <c r="D30" s="704"/>
      <c r="E30" s="704"/>
      <c r="F30" s="711"/>
      <c r="G30" s="955" t="s">
        <v>19</v>
      </c>
      <c r="H30" s="956"/>
      <c r="I30" s="957"/>
      <c r="J30" s="942">
        <v>15</v>
      </c>
      <c r="K30" s="944"/>
      <c r="L30" s="950">
        <v>3</v>
      </c>
      <c r="M30" s="951"/>
      <c r="N30" s="942">
        <v>68</v>
      </c>
      <c r="O30" s="944"/>
      <c r="P30" s="945">
        <v>62</v>
      </c>
      <c r="Q30" s="947"/>
      <c r="R30" s="950">
        <v>130</v>
      </c>
      <c r="S30" s="951"/>
      <c r="T30" s="942">
        <v>2</v>
      </c>
      <c r="U30" s="944"/>
      <c r="V30" s="945">
        <v>41</v>
      </c>
      <c r="W30" s="946"/>
      <c r="X30" s="947"/>
      <c r="Y30" s="945">
        <v>29</v>
      </c>
      <c r="Z30" s="947"/>
      <c r="AA30" s="950">
        <v>70</v>
      </c>
      <c r="AB30" s="951"/>
      <c r="AC30" s="942">
        <v>1</v>
      </c>
      <c r="AD30" s="944"/>
      <c r="AE30" s="942">
        <v>14</v>
      </c>
      <c r="AF30" s="944"/>
      <c r="AG30" s="945">
        <v>18</v>
      </c>
      <c r="AH30" s="947"/>
      <c r="AI30" s="950">
        <v>32</v>
      </c>
      <c r="AJ30" s="951"/>
      <c r="AK30" s="942">
        <v>6</v>
      </c>
      <c r="AL30" s="944"/>
      <c r="AM30" s="942">
        <v>123</v>
      </c>
      <c r="AN30" s="944"/>
      <c r="AO30" s="942">
        <v>109</v>
      </c>
      <c r="AP30" s="943"/>
      <c r="AQ30" s="943"/>
      <c r="AR30" s="944"/>
      <c r="AS30" s="945">
        <v>232</v>
      </c>
      <c r="AT30" s="946"/>
      <c r="AU30" s="947"/>
      <c r="AV30" s="92">
        <v>3</v>
      </c>
      <c r="AW30" s="942">
        <v>26</v>
      </c>
      <c r="AX30" s="944"/>
      <c r="AY30" s="945">
        <v>24</v>
      </c>
      <c r="AZ30" s="947"/>
      <c r="BA30" s="91">
        <v>50</v>
      </c>
      <c r="BB30" s="942">
        <v>3</v>
      </c>
      <c r="BC30" s="944"/>
      <c r="BD30" s="942">
        <v>31</v>
      </c>
      <c r="BE30" s="944"/>
      <c r="BF30" s="942">
        <v>17</v>
      </c>
      <c r="BG30" s="943"/>
      <c r="BH30" s="944"/>
      <c r="BI30" s="945">
        <v>48</v>
      </c>
      <c r="BJ30" s="947"/>
      <c r="BK30" s="945">
        <v>3</v>
      </c>
      <c r="BL30" s="947"/>
      <c r="BM30" s="945">
        <v>13</v>
      </c>
      <c r="BN30" s="946"/>
      <c r="BO30" s="947"/>
      <c r="BP30" s="942">
        <v>14</v>
      </c>
      <c r="BQ30" s="944"/>
      <c r="BR30" s="942">
        <v>27</v>
      </c>
      <c r="BS30" s="944"/>
      <c r="BT30" s="942">
        <v>9</v>
      </c>
      <c r="BU30" s="944"/>
      <c r="BV30" s="942">
        <v>70</v>
      </c>
      <c r="BW30" s="943"/>
      <c r="BX30" s="944"/>
      <c r="BY30" s="945">
        <v>55</v>
      </c>
      <c r="BZ30" s="947"/>
      <c r="CA30" s="942">
        <v>125</v>
      </c>
      <c r="CB30" s="943"/>
      <c r="CC30" s="944"/>
      <c r="CD30" s="942">
        <v>15</v>
      </c>
      <c r="CE30" s="943"/>
      <c r="CF30" s="944"/>
      <c r="CG30" s="945">
        <v>193</v>
      </c>
      <c r="CH30" s="946"/>
      <c r="CI30" s="947"/>
      <c r="CJ30" s="945">
        <v>164</v>
      </c>
      <c r="CK30" s="946"/>
      <c r="CL30" s="947"/>
      <c r="CM30" s="945">
        <v>357</v>
      </c>
      <c r="CN30" s="946"/>
      <c r="CO30" s="947"/>
      <c r="CP30" s="942">
        <v>16</v>
      </c>
      <c r="CQ30" s="943"/>
      <c r="CR30" s="944"/>
      <c r="CS30" s="950">
        <v>10</v>
      </c>
      <c r="CT30" s="1059"/>
      <c r="CU30" s="951"/>
      <c r="CV30" s="945">
        <v>26</v>
      </c>
      <c r="CW30" s="947"/>
      <c r="CX30" s="955" t="s">
        <v>35</v>
      </c>
      <c r="CY30" s="956"/>
      <c r="CZ30" s="956"/>
      <c r="DA30" s="957"/>
      <c r="DB30" s="239">
        <f t="shared" si="0"/>
        <v>90000</v>
      </c>
    </row>
    <row r="31" spans="1:106" ht="26.25">
      <c r="A31" s="238">
        <v>25</v>
      </c>
      <c r="B31" s="703" t="s">
        <v>263</v>
      </c>
      <c r="C31" s="704"/>
      <c r="D31" s="704"/>
      <c r="E31" s="704"/>
      <c r="F31" s="711"/>
      <c r="G31" s="955" t="s">
        <v>19</v>
      </c>
      <c r="H31" s="956"/>
      <c r="I31" s="957"/>
      <c r="J31" s="942">
        <v>1</v>
      </c>
      <c r="K31" s="944"/>
      <c r="L31" s="950">
        <v>2</v>
      </c>
      <c r="M31" s="951"/>
      <c r="N31" s="942">
        <v>61</v>
      </c>
      <c r="O31" s="944"/>
      <c r="P31" s="945">
        <v>51</v>
      </c>
      <c r="Q31" s="947"/>
      <c r="R31" s="950">
        <v>112</v>
      </c>
      <c r="S31" s="951"/>
      <c r="T31" s="942">
        <v>2</v>
      </c>
      <c r="U31" s="944"/>
      <c r="V31" s="945">
        <v>32</v>
      </c>
      <c r="W31" s="946"/>
      <c r="X31" s="947"/>
      <c r="Y31" s="945">
        <v>47</v>
      </c>
      <c r="Z31" s="947"/>
      <c r="AA31" s="950">
        <v>79</v>
      </c>
      <c r="AB31" s="951"/>
      <c r="AC31" s="942">
        <v>2</v>
      </c>
      <c r="AD31" s="944"/>
      <c r="AE31" s="942">
        <v>36</v>
      </c>
      <c r="AF31" s="944"/>
      <c r="AG31" s="945">
        <v>35</v>
      </c>
      <c r="AH31" s="947"/>
      <c r="AI31" s="950">
        <v>71</v>
      </c>
      <c r="AJ31" s="951"/>
      <c r="AK31" s="942">
        <v>6</v>
      </c>
      <c r="AL31" s="944"/>
      <c r="AM31" s="942">
        <v>129</v>
      </c>
      <c r="AN31" s="944"/>
      <c r="AO31" s="942">
        <v>133</v>
      </c>
      <c r="AP31" s="943"/>
      <c r="AQ31" s="943"/>
      <c r="AR31" s="944"/>
      <c r="AS31" s="945">
        <v>262</v>
      </c>
      <c r="AT31" s="946"/>
      <c r="AU31" s="947"/>
      <c r="AV31" s="92">
        <v>3</v>
      </c>
      <c r="AW31" s="942">
        <v>30</v>
      </c>
      <c r="AX31" s="944"/>
      <c r="AY31" s="945">
        <v>28</v>
      </c>
      <c r="AZ31" s="947"/>
      <c r="BA31" s="91">
        <v>58</v>
      </c>
      <c r="BB31" s="942">
        <v>3</v>
      </c>
      <c r="BC31" s="944"/>
      <c r="BD31" s="942">
        <v>34</v>
      </c>
      <c r="BE31" s="944"/>
      <c r="BF31" s="942">
        <v>39</v>
      </c>
      <c r="BG31" s="943"/>
      <c r="BH31" s="944"/>
      <c r="BI31" s="945">
        <v>73</v>
      </c>
      <c r="BJ31" s="947"/>
      <c r="BK31" s="945">
        <v>3</v>
      </c>
      <c r="BL31" s="947"/>
      <c r="BM31" s="945">
        <v>13</v>
      </c>
      <c r="BN31" s="946"/>
      <c r="BO31" s="947"/>
      <c r="BP31" s="942">
        <v>21</v>
      </c>
      <c r="BQ31" s="944"/>
      <c r="BR31" s="942">
        <v>34</v>
      </c>
      <c r="BS31" s="944"/>
      <c r="BT31" s="942">
        <v>9</v>
      </c>
      <c r="BU31" s="944"/>
      <c r="BV31" s="942">
        <v>77</v>
      </c>
      <c r="BW31" s="943"/>
      <c r="BX31" s="944"/>
      <c r="BY31" s="945">
        <v>88</v>
      </c>
      <c r="BZ31" s="947"/>
      <c r="CA31" s="942">
        <v>165</v>
      </c>
      <c r="CB31" s="943"/>
      <c r="CC31" s="944"/>
      <c r="CD31" s="942">
        <v>15</v>
      </c>
      <c r="CE31" s="943"/>
      <c r="CF31" s="944"/>
      <c r="CG31" s="945">
        <v>206</v>
      </c>
      <c r="CH31" s="946"/>
      <c r="CI31" s="947"/>
      <c r="CJ31" s="945">
        <v>221</v>
      </c>
      <c r="CK31" s="946"/>
      <c r="CL31" s="947"/>
      <c r="CM31" s="945">
        <v>427</v>
      </c>
      <c r="CN31" s="946"/>
      <c r="CO31" s="947"/>
      <c r="CP31" s="942">
        <v>12</v>
      </c>
      <c r="CQ31" s="943"/>
      <c r="CR31" s="944"/>
      <c r="CS31" s="950">
        <v>18</v>
      </c>
      <c r="CT31" s="1059"/>
      <c r="CU31" s="951"/>
      <c r="CV31" s="945">
        <v>30</v>
      </c>
      <c r="CW31" s="947"/>
      <c r="CX31" s="955" t="s">
        <v>35</v>
      </c>
      <c r="CY31" s="956"/>
      <c r="CZ31" s="956"/>
      <c r="DA31" s="957"/>
      <c r="DB31" s="239">
        <f t="shared" si="0"/>
        <v>90000</v>
      </c>
    </row>
    <row r="32" spans="1:106" ht="26.25">
      <c r="A32" s="240"/>
      <c r="B32" s="958" t="s">
        <v>416</v>
      </c>
      <c r="C32" s="959"/>
      <c r="D32" s="959"/>
      <c r="E32" s="959"/>
      <c r="F32" s="960"/>
      <c r="G32" s="1451"/>
      <c r="H32" s="1452"/>
      <c r="I32" s="1453"/>
      <c r="J32" s="1451"/>
      <c r="K32" s="1453"/>
      <c r="L32" s="950">
        <v>45</v>
      </c>
      <c r="M32" s="951"/>
      <c r="N32" s="942">
        <v>1046</v>
      </c>
      <c r="O32" s="944"/>
      <c r="P32" s="945">
        <v>923</v>
      </c>
      <c r="Q32" s="947"/>
      <c r="R32" s="950">
        <v>1969</v>
      </c>
      <c r="S32" s="951"/>
      <c r="T32" s="942">
        <v>43</v>
      </c>
      <c r="U32" s="944"/>
      <c r="V32" s="945">
        <v>772</v>
      </c>
      <c r="W32" s="946"/>
      <c r="X32" s="947"/>
      <c r="Y32" s="945">
        <v>794</v>
      </c>
      <c r="Z32" s="947"/>
      <c r="AA32" s="950">
        <v>1566</v>
      </c>
      <c r="AB32" s="951"/>
      <c r="AC32" s="942">
        <v>42</v>
      </c>
      <c r="AD32" s="944"/>
      <c r="AE32" s="942">
        <v>702</v>
      </c>
      <c r="AF32" s="944"/>
      <c r="AG32" s="945">
        <v>705</v>
      </c>
      <c r="AH32" s="947"/>
      <c r="AI32" s="950">
        <v>1407</v>
      </c>
      <c r="AJ32" s="951"/>
      <c r="AK32" s="942">
        <v>130</v>
      </c>
      <c r="AL32" s="944"/>
      <c r="AM32" s="942">
        <v>2520</v>
      </c>
      <c r="AN32" s="944"/>
      <c r="AO32" s="942">
        <v>2422</v>
      </c>
      <c r="AP32" s="943"/>
      <c r="AQ32" s="943"/>
      <c r="AR32" s="944"/>
      <c r="AS32" s="945">
        <v>4942</v>
      </c>
      <c r="AT32" s="946"/>
      <c r="AU32" s="947"/>
      <c r="AV32" s="92">
        <v>52</v>
      </c>
      <c r="AW32" s="942">
        <v>868</v>
      </c>
      <c r="AX32" s="944"/>
      <c r="AY32" s="945">
        <v>758</v>
      </c>
      <c r="AZ32" s="947"/>
      <c r="BA32" s="91">
        <v>1626</v>
      </c>
      <c r="BB32" s="942">
        <v>51</v>
      </c>
      <c r="BC32" s="944"/>
      <c r="BD32" s="942">
        <v>623</v>
      </c>
      <c r="BE32" s="944"/>
      <c r="BF32" s="942">
        <v>558</v>
      </c>
      <c r="BG32" s="943"/>
      <c r="BH32" s="944"/>
      <c r="BI32" s="945">
        <v>1181</v>
      </c>
      <c r="BJ32" s="947"/>
      <c r="BK32" s="945">
        <v>51</v>
      </c>
      <c r="BL32" s="947"/>
      <c r="BM32" s="945">
        <v>369</v>
      </c>
      <c r="BN32" s="946"/>
      <c r="BO32" s="947"/>
      <c r="BP32" s="942">
        <v>397</v>
      </c>
      <c r="BQ32" s="944"/>
      <c r="BR32" s="942">
        <v>766</v>
      </c>
      <c r="BS32" s="944"/>
      <c r="BT32" s="942">
        <v>154</v>
      </c>
      <c r="BU32" s="944"/>
      <c r="BV32" s="942">
        <v>1860</v>
      </c>
      <c r="BW32" s="943"/>
      <c r="BX32" s="944"/>
      <c r="BY32" s="945">
        <v>1713</v>
      </c>
      <c r="BZ32" s="947"/>
      <c r="CA32" s="942">
        <v>3573</v>
      </c>
      <c r="CB32" s="943"/>
      <c r="CC32" s="944"/>
      <c r="CD32" s="942">
        <v>284</v>
      </c>
      <c r="CE32" s="943"/>
      <c r="CF32" s="944"/>
      <c r="CG32" s="945">
        <v>4380</v>
      </c>
      <c r="CH32" s="946"/>
      <c r="CI32" s="947"/>
      <c r="CJ32" s="945">
        <v>4135</v>
      </c>
      <c r="CK32" s="946"/>
      <c r="CL32" s="947"/>
      <c r="CM32" s="945">
        <v>8515</v>
      </c>
      <c r="CN32" s="946"/>
      <c r="CO32" s="947"/>
      <c r="CP32" s="942">
        <v>246</v>
      </c>
      <c r="CQ32" s="943"/>
      <c r="CR32" s="944"/>
      <c r="CS32" s="950">
        <v>292</v>
      </c>
      <c r="CT32" s="1059"/>
      <c r="CU32" s="951"/>
      <c r="CV32" s="945">
        <v>538</v>
      </c>
      <c r="CW32" s="947"/>
      <c r="CX32" s="948">
        <v>25</v>
      </c>
      <c r="CY32" s="949"/>
      <c r="CZ32" s="949"/>
      <c r="DA32" s="949"/>
      <c r="DB32" s="239">
        <f>SUM(DB7:DB31)</f>
        <v>2250000</v>
      </c>
    </row>
    <row r="33" spans="1:106" ht="27.75">
      <c r="A33" s="241"/>
      <c r="B33" s="93"/>
      <c r="C33" s="1854" t="s">
        <v>428</v>
      </c>
      <c r="D33" s="1854"/>
      <c r="E33" s="1854"/>
      <c r="F33" s="1854"/>
      <c r="G33" s="1854"/>
      <c r="H33" s="1854"/>
      <c r="I33" s="1854"/>
      <c r="J33" s="1854"/>
      <c r="K33" s="1854"/>
      <c r="L33" s="1854"/>
      <c r="M33" s="1854"/>
      <c r="N33" s="1854"/>
      <c r="O33" s="1854"/>
      <c r="P33" s="1854"/>
      <c r="Q33" s="1854"/>
      <c r="R33" s="1854"/>
      <c r="S33" s="1854"/>
      <c r="T33" s="1854"/>
      <c r="U33" s="1854"/>
      <c r="V33" s="1854"/>
      <c r="W33" s="1854"/>
      <c r="X33" s="1854"/>
      <c r="Y33" s="1854"/>
      <c r="Z33" s="1854"/>
      <c r="AA33" s="1854"/>
      <c r="AB33" s="1854"/>
      <c r="AC33" s="1854"/>
      <c r="AD33" s="1854"/>
      <c r="AE33" s="1854"/>
      <c r="AF33" s="1854"/>
      <c r="AG33" s="1854"/>
      <c r="AH33" s="1854"/>
      <c r="AI33" s="1854"/>
      <c r="AJ33" s="1854"/>
      <c r="AK33" s="1854"/>
      <c r="AL33" s="1854"/>
      <c r="AM33" s="1854"/>
      <c r="AN33" s="1854"/>
      <c r="AO33" s="1854"/>
      <c r="AP33" s="1854"/>
      <c r="AQ33" s="1854"/>
      <c r="AR33" s="1854"/>
      <c r="AS33" s="1854"/>
      <c r="AT33" s="1854"/>
      <c r="AU33" s="1854"/>
      <c r="AV33" s="1854"/>
      <c r="AW33" s="1854"/>
      <c r="AX33" s="1854"/>
      <c r="AY33" s="1854"/>
      <c r="AZ33" s="1854"/>
      <c r="BA33" s="1854"/>
      <c r="BB33" s="1854"/>
      <c r="BC33" s="1854"/>
      <c r="BD33" s="1854"/>
      <c r="BE33" s="1854"/>
      <c r="BF33" s="1854"/>
      <c r="BG33" s="1854"/>
      <c r="BH33" s="1854"/>
      <c r="BI33" s="1854"/>
      <c r="BJ33" s="1854"/>
      <c r="BK33" s="1854"/>
      <c r="BL33" s="1854"/>
      <c r="BM33" s="1854"/>
      <c r="BN33" s="1854"/>
      <c r="BO33" s="1854"/>
      <c r="BP33" s="1854"/>
      <c r="BQ33" s="1854"/>
      <c r="BR33" s="1854"/>
      <c r="BS33" s="1854"/>
      <c r="BT33" s="1854"/>
      <c r="BU33" s="1854"/>
      <c r="BV33" s="1854"/>
      <c r="BW33" s="1854"/>
      <c r="BX33" s="1854"/>
      <c r="BY33" s="1854"/>
      <c r="BZ33" s="1854"/>
      <c r="CA33" s="1854"/>
      <c r="CB33" s="1854"/>
      <c r="CC33" s="1854"/>
      <c r="CD33" s="1854"/>
      <c r="CE33" s="1854"/>
      <c r="CF33" s="1854"/>
      <c r="CG33" s="1854"/>
      <c r="CH33" s="1854"/>
      <c r="CI33" s="1854"/>
      <c r="CJ33" s="1854"/>
      <c r="CK33" s="1854"/>
      <c r="CL33" s="1854"/>
      <c r="CM33" s="1854"/>
      <c r="CN33" s="1854"/>
      <c r="CO33" s="1854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239">
        <f>CM32*20</f>
        <v>170300</v>
      </c>
    </row>
    <row r="34" spans="1:106" ht="33.75" thickBot="1">
      <c r="A34" s="242"/>
      <c r="B34" s="243"/>
      <c r="C34" s="243"/>
      <c r="D34" s="243"/>
      <c r="E34" s="243"/>
      <c r="F34" s="1855" t="s">
        <v>429</v>
      </c>
      <c r="G34" s="1855"/>
      <c r="H34" s="1855"/>
      <c r="I34" s="1855"/>
      <c r="J34" s="1855"/>
      <c r="K34" s="1855"/>
      <c r="L34" s="1855"/>
      <c r="M34" s="1855"/>
      <c r="N34" s="1855"/>
      <c r="O34" s="1855"/>
      <c r="P34" s="1855"/>
      <c r="Q34" s="1855"/>
      <c r="R34" s="1855"/>
      <c r="S34" s="1855"/>
      <c r="T34" s="1855"/>
      <c r="U34" s="1855"/>
      <c r="V34" s="1855"/>
      <c r="W34" s="1855"/>
      <c r="X34" s="1855"/>
      <c r="Y34" s="1855"/>
      <c r="Z34" s="1855"/>
      <c r="AA34" s="1855"/>
      <c r="AB34" s="1855"/>
      <c r="AC34" s="1855"/>
      <c r="AD34" s="1855"/>
      <c r="AE34" s="1855"/>
      <c r="AF34" s="1855"/>
      <c r="AG34" s="1855"/>
      <c r="AH34" s="1855"/>
      <c r="AI34" s="1855"/>
      <c r="AJ34" s="1855"/>
      <c r="AK34" s="1855"/>
      <c r="AL34" s="1855"/>
      <c r="AM34" s="1855"/>
      <c r="AN34" s="1855"/>
      <c r="AO34" s="1855"/>
      <c r="AP34" s="1855"/>
      <c r="AQ34" s="1855"/>
      <c r="AR34" s="1855"/>
      <c r="AS34" s="1855"/>
      <c r="AT34" s="1855"/>
      <c r="AU34" s="1855"/>
      <c r="AV34" s="1855"/>
      <c r="AW34" s="1855"/>
      <c r="AX34" s="1855"/>
      <c r="AY34" s="1855"/>
      <c r="AZ34" s="1855"/>
      <c r="BA34" s="1855"/>
      <c r="BB34" s="1855"/>
      <c r="BC34" s="1855"/>
      <c r="BD34" s="1855"/>
      <c r="BE34" s="1855"/>
      <c r="BF34" s="1855"/>
      <c r="BG34" s="1855"/>
      <c r="BH34" s="1855"/>
      <c r="BI34" s="1855"/>
      <c r="BJ34" s="1855"/>
      <c r="BK34" s="1855"/>
      <c r="BL34" s="1855"/>
      <c r="BM34" s="1855"/>
      <c r="BN34" s="1855"/>
      <c r="BO34" s="1855"/>
      <c r="BP34" s="1855"/>
      <c r="BQ34" s="1855"/>
      <c r="BR34" s="1855"/>
      <c r="BS34" s="1855"/>
      <c r="BT34" s="1855"/>
      <c r="BU34" s="1855"/>
      <c r="BV34" s="1855"/>
      <c r="BW34" s="1855"/>
      <c r="BX34" s="1855"/>
      <c r="BY34" s="1855"/>
      <c r="BZ34" s="1855"/>
      <c r="CA34" s="1855"/>
      <c r="CB34" s="1855"/>
      <c r="CC34" s="1855"/>
      <c r="CD34" s="1855"/>
      <c r="CE34" s="1855"/>
      <c r="CF34" s="1855"/>
      <c r="CG34" s="1855"/>
      <c r="CH34" s="1855"/>
      <c r="CI34" s="1855"/>
      <c r="CJ34" s="1855"/>
      <c r="CK34" s="1855"/>
      <c r="CL34" s="1855"/>
      <c r="CM34" s="1855"/>
      <c r="CN34" s="1855"/>
      <c r="CO34" s="1855"/>
      <c r="CP34" s="1855"/>
      <c r="CQ34" s="1855"/>
      <c r="CR34" s="1855"/>
      <c r="CS34" s="1855"/>
      <c r="CT34" s="1855"/>
      <c r="CU34" s="243"/>
      <c r="CV34" s="243"/>
      <c r="CW34" s="243"/>
      <c r="CX34" s="243"/>
      <c r="CY34" s="243"/>
      <c r="CZ34" s="243"/>
      <c r="DA34" s="243"/>
      <c r="DB34" s="244">
        <f>DB32+DB33</f>
        <v>2420300</v>
      </c>
    </row>
    <row r="35" spans="1:106" ht="41.25" customHeight="1">
      <c r="CG35" s="51">
        <f>COUNTIF(CM7:CO31, "&lt;1000")</f>
        <v>25</v>
      </c>
      <c r="CH35" s="51">
        <f>COUNTIF(CM7:CO31, "&gt;1000")</f>
        <v>0</v>
      </c>
    </row>
    <row r="38" spans="1:106">
      <c r="B38" s="51">
        <f>COUNTA(B7:F31)-COUNTIF(B7:F31,"GOVERNMENT SCIENCE")</f>
        <v>25</v>
      </c>
      <c r="C38" s="51">
        <f>COUNTIF(A17:E33,"GOVERNMENT SCIENCE")</f>
        <v>0</v>
      </c>
    </row>
  </sheetData>
  <mergeCells count="1125">
    <mergeCell ref="DB5:DB6"/>
    <mergeCell ref="C33:CO33"/>
    <mergeCell ref="F34:CT34"/>
    <mergeCell ref="BK5:BS5"/>
    <mergeCell ref="BT5:CC5"/>
    <mergeCell ref="CD5:CO5"/>
    <mergeCell ref="CP5:CW5"/>
    <mergeCell ref="CX5:DA6"/>
    <mergeCell ref="BB6:BC6"/>
    <mergeCell ref="BD6:BE6"/>
    <mergeCell ref="BF6:BH6"/>
    <mergeCell ref="BI6:BJ6"/>
    <mergeCell ref="L6:M6"/>
    <mergeCell ref="N6:O6"/>
    <mergeCell ref="P6:Q6"/>
    <mergeCell ref="R6:S6"/>
    <mergeCell ref="T6:U6"/>
    <mergeCell ref="V6:X6"/>
    <mergeCell ref="BB5:BJ5"/>
    <mergeCell ref="AO7:AR7"/>
    <mergeCell ref="AS7:AU7"/>
    <mergeCell ref="T7:U7"/>
    <mergeCell ref="V7:X7"/>
    <mergeCell ref="Y7:Z7"/>
    <mergeCell ref="AA7:AB7"/>
    <mergeCell ref="AC7:AD7"/>
    <mergeCell ref="AE7:AF7"/>
    <mergeCell ref="BB7:BC7"/>
    <mergeCell ref="BD7:BE7"/>
    <mergeCell ref="BF7:BH7"/>
    <mergeCell ref="B5:F6"/>
    <mergeCell ref="G5:I6"/>
    <mergeCell ref="J5:K6"/>
    <mergeCell ref="L5:S5"/>
    <mergeCell ref="T5:AB5"/>
    <mergeCell ref="AC5:AJ5"/>
    <mergeCell ref="AK5:AU5"/>
    <mergeCell ref="AV5:BA5"/>
    <mergeCell ref="CP6:CR6"/>
    <mergeCell ref="CS6:CU6"/>
    <mergeCell ref="AO6:AR6"/>
    <mergeCell ref="AS6:AU6"/>
    <mergeCell ref="AW6:AX6"/>
    <mergeCell ref="AY6:AZ6"/>
    <mergeCell ref="Y6:Z6"/>
    <mergeCell ref="AA6:AB6"/>
    <mergeCell ref="AC6:AD6"/>
    <mergeCell ref="AE6:AF6"/>
    <mergeCell ref="AG6:AH6"/>
    <mergeCell ref="AI6:AJ6"/>
    <mergeCell ref="BV6:BX6"/>
    <mergeCell ref="AK6:AL6"/>
    <mergeCell ref="AM6:AN6"/>
    <mergeCell ref="R8:S8"/>
    <mergeCell ref="T8:U8"/>
    <mergeCell ref="V8:X8"/>
    <mergeCell ref="Y8:Z8"/>
    <mergeCell ref="AA8:AB8"/>
    <mergeCell ref="AC8:AD8"/>
    <mergeCell ref="CV6:CW6"/>
    <mergeCell ref="B7:F7"/>
    <mergeCell ref="G7:I7"/>
    <mergeCell ref="J7:K7"/>
    <mergeCell ref="L7:M7"/>
    <mergeCell ref="N7:O7"/>
    <mergeCell ref="P7:Q7"/>
    <mergeCell ref="R7:S7"/>
    <mergeCell ref="BY6:BZ6"/>
    <mergeCell ref="CA6:CC6"/>
    <mergeCell ref="CD6:CF6"/>
    <mergeCell ref="CG6:CI6"/>
    <mergeCell ref="CJ6:CL6"/>
    <mergeCell ref="CM6:CO6"/>
    <mergeCell ref="BK6:BL6"/>
    <mergeCell ref="BM6:BO6"/>
    <mergeCell ref="BP6:BQ6"/>
    <mergeCell ref="BR6:BS6"/>
    <mergeCell ref="BT6:BU6"/>
    <mergeCell ref="CP7:CR7"/>
    <mergeCell ref="CS7:CU7"/>
    <mergeCell ref="CV7:CW7"/>
    <mergeCell ref="BT7:BU7"/>
    <mergeCell ref="BV7:BX7"/>
    <mergeCell ref="AW7:AX7"/>
    <mergeCell ref="AY7:AZ7"/>
    <mergeCell ref="CX7:DA7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K7:BL7"/>
    <mergeCell ref="BM7:BO7"/>
    <mergeCell ref="BP7:BQ7"/>
    <mergeCell ref="BR7:BS7"/>
    <mergeCell ref="CM8:CO8"/>
    <mergeCell ref="CP8:CR8"/>
    <mergeCell ref="CS8:CU8"/>
    <mergeCell ref="CV8:CW8"/>
    <mergeCell ref="CX8:DA8"/>
    <mergeCell ref="BI7:BJ7"/>
    <mergeCell ref="AG7:AH7"/>
    <mergeCell ref="AI7:AJ7"/>
    <mergeCell ref="AK7:AL7"/>
    <mergeCell ref="AM7:AN7"/>
    <mergeCell ref="AS8:AU8"/>
    <mergeCell ref="AW8:AX8"/>
    <mergeCell ref="AY8:AZ8"/>
    <mergeCell ref="AG8:AH8"/>
    <mergeCell ref="AI8:AJ8"/>
    <mergeCell ref="BV8:BX8"/>
    <mergeCell ref="BY8:BZ8"/>
    <mergeCell ref="CA8:CC8"/>
    <mergeCell ref="CD8:CF8"/>
    <mergeCell ref="CG8:CI8"/>
    <mergeCell ref="CJ8:CL8"/>
    <mergeCell ref="BI8:BJ8"/>
    <mergeCell ref="BK8:BL8"/>
    <mergeCell ref="BM8:BO8"/>
    <mergeCell ref="BP8:BQ8"/>
    <mergeCell ref="BR8:BS8"/>
    <mergeCell ref="BT8:BU8"/>
    <mergeCell ref="BB8:BC8"/>
    <mergeCell ref="BD8:BE8"/>
    <mergeCell ref="BF8:BH8"/>
    <mergeCell ref="AE8:AF8"/>
    <mergeCell ref="AG9:AH9"/>
    <mergeCell ref="AI9:AJ9"/>
    <mergeCell ref="AK9:AL9"/>
    <mergeCell ref="AM9:AN9"/>
    <mergeCell ref="AK8:AL8"/>
    <mergeCell ref="AM8:AN8"/>
    <mergeCell ref="AO8:AR8"/>
    <mergeCell ref="CS9:CU9"/>
    <mergeCell ref="CV9:CW9"/>
    <mergeCell ref="CX9:DA9"/>
    <mergeCell ref="BT9:BU9"/>
    <mergeCell ref="BV9:BX9"/>
    <mergeCell ref="BY9:BZ9"/>
    <mergeCell ref="CA9:CC9"/>
    <mergeCell ref="CD9:CF9"/>
    <mergeCell ref="CG9:CI9"/>
    <mergeCell ref="BF9:BH9"/>
    <mergeCell ref="BI9:BJ9"/>
    <mergeCell ref="BK9:BL9"/>
    <mergeCell ref="BM9:BO9"/>
    <mergeCell ref="BP9:BQ9"/>
    <mergeCell ref="BR9:BS9"/>
    <mergeCell ref="AO9:AR9"/>
    <mergeCell ref="AS9:AU9"/>
    <mergeCell ref="AW9:AX9"/>
    <mergeCell ref="AY9:AZ9"/>
    <mergeCell ref="BB9:BC9"/>
    <mergeCell ref="BD9:BE9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B10:F10"/>
    <mergeCell ref="G10:I10"/>
    <mergeCell ref="J10:K10"/>
    <mergeCell ref="L10:M10"/>
    <mergeCell ref="N10:O10"/>
    <mergeCell ref="P10:Q10"/>
    <mergeCell ref="CJ9:CL9"/>
    <mergeCell ref="CM9:CO9"/>
    <mergeCell ref="CP9:CR9"/>
    <mergeCell ref="AC9:AD9"/>
    <mergeCell ref="AE9:AF9"/>
    <mergeCell ref="B9:F9"/>
    <mergeCell ref="G9:I9"/>
    <mergeCell ref="J9:K9"/>
    <mergeCell ref="L9:M9"/>
    <mergeCell ref="N9:O9"/>
    <mergeCell ref="P9:Q9"/>
    <mergeCell ref="R9:S9"/>
    <mergeCell ref="T9:U9"/>
    <mergeCell ref="V9:X9"/>
    <mergeCell ref="Y9:Z9"/>
    <mergeCell ref="AA9:AB9"/>
    <mergeCell ref="CM10:CO10"/>
    <mergeCell ref="CP10:CR10"/>
    <mergeCell ref="CS10:CU10"/>
    <mergeCell ref="CV10:CW10"/>
    <mergeCell ref="CX10:DA10"/>
    <mergeCell ref="B11:F11"/>
    <mergeCell ref="G11:I11"/>
    <mergeCell ref="J11:K11"/>
    <mergeCell ref="L11:M11"/>
    <mergeCell ref="N11:O11"/>
    <mergeCell ref="BV10:BX10"/>
    <mergeCell ref="BY10:BZ10"/>
    <mergeCell ref="CA10:CC10"/>
    <mergeCell ref="CD10:CF10"/>
    <mergeCell ref="CG10:CI10"/>
    <mergeCell ref="CJ10:CL10"/>
    <mergeCell ref="BI10:BJ10"/>
    <mergeCell ref="BK10:BL10"/>
    <mergeCell ref="BM10:BO10"/>
    <mergeCell ref="BP10:BQ10"/>
    <mergeCell ref="BR10:BS10"/>
    <mergeCell ref="BT10:BU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CS11:CU11"/>
    <mergeCell ref="CV11:CW11"/>
    <mergeCell ref="CX11:DA11"/>
    <mergeCell ref="BT11:BU11"/>
    <mergeCell ref="BV11:BX11"/>
    <mergeCell ref="BY11:BZ11"/>
    <mergeCell ref="CA11:CC11"/>
    <mergeCell ref="CD11:CF11"/>
    <mergeCell ref="CG11:CI11"/>
    <mergeCell ref="BF11:BH11"/>
    <mergeCell ref="BI11:BJ11"/>
    <mergeCell ref="BK11:BL11"/>
    <mergeCell ref="BM11:BO11"/>
    <mergeCell ref="BP11:BQ11"/>
    <mergeCell ref="BR11:BS11"/>
    <mergeCell ref="AO11:AR11"/>
    <mergeCell ref="AS11:AU11"/>
    <mergeCell ref="AW11:AX11"/>
    <mergeCell ref="AY11:AZ11"/>
    <mergeCell ref="BB11:BC11"/>
    <mergeCell ref="BD11:BE11"/>
    <mergeCell ref="AM12:AN12"/>
    <mergeCell ref="AO12:AR12"/>
    <mergeCell ref="R12:S12"/>
    <mergeCell ref="T12:U12"/>
    <mergeCell ref="V12:X12"/>
    <mergeCell ref="Y12:Z12"/>
    <mergeCell ref="AA12:AB12"/>
    <mergeCell ref="AC12:AD12"/>
    <mergeCell ref="B12:F12"/>
    <mergeCell ref="G12:I12"/>
    <mergeCell ref="J12:K12"/>
    <mergeCell ref="L12:M12"/>
    <mergeCell ref="N12:O12"/>
    <mergeCell ref="P12:Q12"/>
    <mergeCell ref="CJ11:CL11"/>
    <mergeCell ref="CM11:CO11"/>
    <mergeCell ref="CP11:CR11"/>
    <mergeCell ref="AC11:AD11"/>
    <mergeCell ref="AE11:AF11"/>
    <mergeCell ref="AG11:AH11"/>
    <mergeCell ref="AI11:AJ11"/>
    <mergeCell ref="AK11:AL11"/>
    <mergeCell ref="AM11:AN11"/>
    <mergeCell ref="P11:Q11"/>
    <mergeCell ref="R11:S11"/>
    <mergeCell ref="T11:U11"/>
    <mergeCell ref="V11:X11"/>
    <mergeCell ref="Y11:Z11"/>
    <mergeCell ref="AA11:AB11"/>
    <mergeCell ref="CM12:CO12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BV12:BX12"/>
    <mergeCell ref="BY12:BZ12"/>
    <mergeCell ref="CA12:CC12"/>
    <mergeCell ref="CD12:CF12"/>
    <mergeCell ref="CG12:CI12"/>
    <mergeCell ref="CJ12:CL12"/>
    <mergeCell ref="BI12:BJ12"/>
    <mergeCell ref="BK12:BL12"/>
    <mergeCell ref="BM12:BO12"/>
    <mergeCell ref="BP12:BQ12"/>
    <mergeCell ref="BR12:BS12"/>
    <mergeCell ref="BT12:BU12"/>
    <mergeCell ref="AS12:AU12"/>
    <mergeCell ref="AW12:AX12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CS13:CU13"/>
    <mergeCell ref="CV13:CW13"/>
    <mergeCell ref="CX13:DA13"/>
    <mergeCell ref="BT13:BU13"/>
    <mergeCell ref="BV13:BX13"/>
    <mergeCell ref="BY13:BZ13"/>
    <mergeCell ref="CA13:CC13"/>
    <mergeCell ref="CD13:CF13"/>
    <mergeCell ref="CG13:CI13"/>
    <mergeCell ref="BF13:BH13"/>
    <mergeCell ref="BI13:BJ13"/>
    <mergeCell ref="BK13:BL13"/>
    <mergeCell ref="BM13:BO13"/>
    <mergeCell ref="BP13:BQ13"/>
    <mergeCell ref="BR13:BS13"/>
    <mergeCell ref="AO13:AR13"/>
    <mergeCell ref="AS13:AU13"/>
    <mergeCell ref="AW13:AX13"/>
    <mergeCell ref="AY13:AZ13"/>
    <mergeCell ref="BB13:BC13"/>
    <mergeCell ref="BD13:BE13"/>
    <mergeCell ref="AM14:AN14"/>
    <mergeCell ref="AO14:AR14"/>
    <mergeCell ref="R14:S14"/>
    <mergeCell ref="T14:U14"/>
    <mergeCell ref="V14:X14"/>
    <mergeCell ref="Y14:Z14"/>
    <mergeCell ref="AA14:AB14"/>
    <mergeCell ref="AC14:AD14"/>
    <mergeCell ref="B14:F14"/>
    <mergeCell ref="G14:I14"/>
    <mergeCell ref="J14:K14"/>
    <mergeCell ref="L14:M14"/>
    <mergeCell ref="N14:O14"/>
    <mergeCell ref="P14:Q14"/>
    <mergeCell ref="CJ13:CL13"/>
    <mergeCell ref="CM13:CO13"/>
    <mergeCell ref="CP13:CR13"/>
    <mergeCell ref="AC13:AD13"/>
    <mergeCell ref="AE13:AF13"/>
    <mergeCell ref="AG13:AH13"/>
    <mergeCell ref="AI13:AJ13"/>
    <mergeCell ref="AK13:AL13"/>
    <mergeCell ref="AM13:AN13"/>
    <mergeCell ref="P13:Q13"/>
    <mergeCell ref="R13:S13"/>
    <mergeCell ref="T13:U13"/>
    <mergeCell ref="V13:X13"/>
    <mergeCell ref="Y13:Z13"/>
    <mergeCell ref="AA13:AB13"/>
    <mergeCell ref="CM14:CO14"/>
    <mergeCell ref="CP14:CR14"/>
    <mergeCell ref="CS14:CU14"/>
    <mergeCell ref="CV14:CW14"/>
    <mergeCell ref="CX14:DA14"/>
    <mergeCell ref="B15:F15"/>
    <mergeCell ref="G15:I15"/>
    <mergeCell ref="J15:K15"/>
    <mergeCell ref="L15:M15"/>
    <mergeCell ref="N15:O15"/>
    <mergeCell ref="BV14:BX14"/>
    <mergeCell ref="BY14:BZ14"/>
    <mergeCell ref="CA14:CC14"/>
    <mergeCell ref="CD14:CF14"/>
    <mergeCell ref="CG14:CI14"/>
    <mergeCell ref="CJ14:CL14"/>
    <mergeCell ref="BI14:BJ14"/>
    <mergeCell ref="BK14:BL14"/>
    <mergeCell ref="BM14:BO14"/>
    <mergeCell ref="BP14:BQ14"/>
    <mergeCell ref="BR14:BS14"/>
    <mergeCell ref="BT14:BU14"/>
    <mergeCell ref="AS14:AU14"/>
    <mergeCell ref="AW14:AX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CS15:CU15"/>
    <mergeCell ref="CV15:CW15"/>
    <mergeCell ref="CX15:DA15"/>
    <mergeCell ref="BT15:BU15"/>
    <mergeCell ref="BV15:BX15"/>
    <mergeCell ref="BY15:BZ15"/>
    <mergeCell ref="CA15:CC15"/>
    <mergeCell ref="CD15:CF15"/>
    <mergeCell ref="CG15:CI15"/>
    <mergeCell ref="BF15:BH15"/>
    <mergeCell ref="BI15:BJ15"/>
    <mergeCell ref="BK15:BL15"/>
    <mergeCell ref="BM15:BO15"/>
    <mergeCell ref="BP15:BQ15"/>
    <mergeCell ref="BR15:BS15"/>
    <mergeCell ref="AO15:AR15"/>
    <mergeCell ref="AS15:AU15"/>
    <mergeCell ref="AW15:AX15"/>
    <mergeCell ref="AY15:AZ15"/>
    <mergeCell ref="BB15:BC15"/>
    <mergeCell ref="BD15:BE15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B16:F16"/>
    <mergeCell ref="G16:I16"/>
    <mergeCell ref="J16:K16"/>
    <mergeCell ref="L16:M16"/>
    <mergeCell ref="N16:O16"/>
    <mergeCell ref="P16:Q16"/>
    <mergeCell ref="CJ15:CL15"/>
    <mergeCell ref="CM15:CO15"/>
    <mergeCell ref="CP15:CR15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X15"/>
    <mergeCell ref="Y15:Z15"/>
    <mergeCell ref="AA15:AB15"/>
    <mergeCell ref="CM16:CO16"/>
    <mergeCell ref="CP16:CR16"/>
    <mergeCell ref="CS16:CU16"/>
    <mergeCell ref="CV16:CW16"/>
    <mergeCell ref="CX16:DA16"/>
    <mergeCell ref="B17:F17"/>
    <mergeCell ref="G17:I17"/>
    <mergeCell ref="J17:K17"/>
    <mergeCell ref="L17:M17"/>
    <mergeCell ref="N17:O17"/>
    <mergeCell ref="BV16:BX16"/>
    <mergeCell ref="BY16:BZ16"/>
    <mergeCell ref="CA16:CC16"/>
    <mergeCell ref="CD16:CF16"/>
    <mergeCell ref="CG16:CI16"/>
    <mergeCell ref="CJ16:CL16"/>
    <mergeCell ref="BI16:BJ16"/>
    <mergeCell ref="BK16:BL16"/>
    <mergeCell ref="BM16:BO16"/>
    <mergeCell ref="BP16:BQ16"/>
    <mergeCell ref="BR16:BS16"/>
    <mergeCell ref="BT16:BU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CS17:CU17"/>
    <mergeCell ref="CV17:CW17"/>
    <mergeCell ref="CX17:DA17"/>
    <mergeCell ref="BT17:BU17"/>
    <mergeCell ref="BV17:BX17"/>
    <mergeCell ref="BY17:BZ17"/>
    <mergeCell ref="CA17:CC17"/>
    <mergeCell ref="CD17:CF17"/>
    <mergeCell ref="CG17:CI17"/>
    <mergeCell ref="BF17:BH17"/>
    <mergeCell ref="BI17:BJ17"/>
    <mergeCell ref="BK17:BL17"/>
    <mergeCell ref="BM17:BO17"/>
    <mergeCell ref="BP17:BQ17"/>
    <mergeCell ref="BR17:BS17"/>
    <mergeCell ref="AO17:AR17"/>
    <mergeCell ref="AS17:AU17"/>
    <mergeCell ref="AW17:AX17"/>
    <mergeCell ref="AY17:AZ17"/>
    <mergeCell ref="BB17:BC17"/>
    <mergeCell ref="BD17:BE17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B18:F18"/>
    <mergeCell ref="G18:I18"/>
    <mergeCell ref="J18:K18"/>
    <mergeCell ref="L18:M18"/>
    <mergeCell ref="N18:O18"/>
    <mergeCell ref="P18:Q18"/>
    <mergeCell ref="CJ17:CL17"/>
    <mergeCell ref="CM17:CO17"/>
    <mergeCell ref="CP17:CR17"/>
    <mergeCell ref="AC17:AD17"/>
    <mergeCell ref="AE17:AF17"/>
    <mergeCell ref="AG17:AH17"/>
    <mergeCell ref="AI17:AJ17"/>
    <mergeCell ref="AK17:AL17"/>
    <mergeCell ref="AM17:AN17"/>
    <mergeCell ref="P17:Q17"/>
    <mergeCell ref="R17:S17"/>
    <mergeCell ref="T17:U17"/>
    <mergeCell ref="V17:X17"/>
    <mergeCell ref="Y17:Z17"/>
    <mergeCell ref="AA17:AB17"/>
    <mergeCell ref="CM18:CO18"/>
    <mergeCell ref="CP18:CR18"/>
    <mergeCell ref="CS18:CU18"/>
    <mergeCell ref="CV18:CW18"/>
    <mergeCell ref="CX18:DA18"/>
    <mergeCell ref="B19:F19"/>
    <mergeCell ref="G19:I19"/>
    <mergeCell ref="J19:K19"/>
    <mergeCell ref="L19:M19"/>
    <mergeCell ref="N19:O19"/>
    <mergeCell ref="BV18:BX18"/>
    <mergeCell ref="BY18:BZ18"/>
    <mergeCell ref="CA18:CC18"/>
    <mergeCell ref="CD18:CF18"/>
    <mergeCell ref="CG18:CI18"/>
    <mergeCell ref="CJ18:CL18"/>
    <mergeCell ref="BI18:BJ18"/>
    <mergeCell ref="BK18:BL18"/>
    <mergeCell ref="BM18:BO18"/>
    <mergeCell ref="BP18:BQ18"/>
    <mergeCell ref="BR18:BS18"/>
    <mergeCell ref="BT18:BU18"/>
    <mergeCell ref="AS18:AU18"/>
    <mergeCell ref="AW18:AX18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CS19:CU19"/>
    <mergeCell ref="CV19:CW19"/>
    <mergeCell ref="CX19:DA19"/>
    <mergeCell ref="BT19:BU19"/>
    <mergeCell ref="BV19:BX19"/>
    <mergeCell ref="BY19:BZ19"/>
    <mergeCell ref="CA19:CC19"/>
    <mergeCell ref="CD19:CF19"/>
    <mergeCell ref="CG19:CI19"/>
    <mergeCell ref="BF19:BH19"/>
    <mergeCell ref="BI19:BJ19"/>
    <mergeCell ref="BK19:BL19"/>
    <mergeCell ref="BM19:BO19"/>
    <mergeCell ref="BP19:BQ19"/>
    <mergeCell ref="BR19:BS19"/>
    <mergeCell ref="AO19:AR19"/>
    <mergeCell ref="AS19:AU19"/>
    <mergeCell ref="AW19:AX19"/>
    <mergeCell ref="AY19:AZ19"/>
    <mergeCell ref="BB19:BC19"/>
    <mergeCell ref="BD19:BE19"/>
    <mergeCell ref="AM20:AN20"/>
    <mergeCell ref="AO20:AR20"/>
    <mergeCell ref="R20:S20"/>
    <mergeCell ref="T20:U20"/>
    <mergeCell ref="V20:X20"/>
    <mergeCell ref="Y20:Z20"/>
    <mergeCell ref="AA20:AB20"/>
    <mergeCell ref="AC20:AD20"/>
    <mergeCell ref="B20:F20"/>
    <mergeCell ref="G20:I20"/>
    <mergeCell ref="J20:K20"/>
    <mergeCell ref="L20:M20"/>
    <mergeCell ref="N20:O20"/>
    <mergeCell ref="P20:Q20"/>
    <mergeCell ref="CJ19:CL19"/>
    <mergeCell ref="CM19:CO19"/>
    <mergeCell ref="CP19:CR19"/>
    <mergeCell ref="AC19:AD19"/>
    <mergeCell ref="AE19:AF19"/>
    <mergeCell ref="AG19:AH19"/>
    <mergeCell ref="AI19:AJ19"/>
    <mergeCell ref="AK19:AL19"/>
    <mergeCell ref="AM19:AN19"/>
    <mergeCell ref="P19:Q19"/>
    <mergeCell ref="R19:S19"/>
    <mergeCell ref="T19:U19"/>
    <mergeCell ref="V19:X19"/>
    <mergeCell ref="Y19:Z19"/>
    <mergeCell ref="AA19:AB19"/>
    <mergeCell ref="CM20:CO20"/>
    <mergeCell ref="CP20:CR20"/>
    <mergeCell ref="CS20:CU20"/>
    <mergeCell ref="CV20:CW20"/>
    <mergeCell ref="CX20:DA20"/>
    <mergeCell ref="B21:F21"/>
    <mergeCell ref="G21:I21"/>
    <mergeCell ref="J21:K21"/>
    <mergeCell ref="L21:M21"/>
    <mergeCell ref="N21:O21"/>
    <mergeCell ref="BV20:BX20"/>
    <mergeCell ref="BY20:BZ20"/>
    <mergeCell ref="CA20:CC20"/>
    <mergeCell ref="CD20:CF20"/>
    <mergeCell ref="CG20:CI20"/>
    <mergeCell ref="CJ20:CL20"/>
    <mergeCell ref="BI20:BJ20"/>
    <mergeCell ref="BK20:BL20"/>
    <mergeCell ref="BM20:BO20"/>
    <mergeCell ref="BP20:BQ20"/>
    <mergeCell ref="BR20:BS20"/>
    <mergeCell ref="BT20:BU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CS21:CU21"/>
    <mergeCell ref="CV21:CW21"/>
    <mergeCell ref="CX21:DA21"/>
    <mergeCell ref="BT21:BU21"/>
    <mergeCell ref="BV21:BX21"/>
    <mergeCell ref="BY21:BZ21"/>
    <mergeCell ref="CA21:CC21"/>
    <mergeCell ref="CD21:CF21"/>
    <mergeCell ref="CG21:CI21"/>
    <mergeCell ref="BF21:BH21"/>
    <mergeCell ref="BI21:BJ21"/>
    <mergeCell ref="BK21:BL21"/>
    <mergeCell ref="BM21:BO21"/>
    <mergeCell ref="BP21:BQ21"/>
    <mergeCell ref="BR21:BS21"/>
    <mergeCell ref="AO21:AR21"/>
    <mergeCell ref="AS21:AU21"/>
    <mergeCell ref="AW21:AX21"/>
    <mergeCell ref="AY21:AZ21"/>
    <mergeCell ref="BB21:BC21"/>
    <mergeCell ref="BD21:BE21"/>
    <mergeCell ref="AM22:AN22"/>
    <mergeCell ref="AO22:AR22"/>
    <mergeCell ref="R22:S22"/>
    <mergeCell ref="T22:U22"/>
    <mergeCell ref="V22:X22"/>
    <mergeCell ref="Y22:Z22"/>
    <mergeCell ref="AA22:AB22"/>
    <mergeCell ref="AC22:AD22"/>
    <mergeCell ref="B22:F22"/>
    <mergeCell ref="G22:I22"/>
    <mergeCell ref="J22:K22"/>
    <mergeCell ref="L22:M22"/>
    <mergeCell ref="N22:O22"/>
    <mergeCell ref="P22:Q22"/>
    <mergeCell ref="CJ21:CL21"/>
    <mergeCell ref="CM21:CO21"/>
    <mergeCell ref="CP21:CR21"/>
    <mergeCell ref="AC21:AD21"/>
    <mergeCell ref="AE21:AF21"/>
    <mergeCell ref="AG21:AH21"/>
    <mergeCell ref="AI21:AJ21"/>
    <mergeCell ref="AK21:AL21"/>
    <mergeCell ref="AM21:AN21"/>
    <mergeCell ref="P21:Q21"/>
    <mergeCell ref="R21:S21"/>
    <mergeCell ref="T21:U21"/>
    <mergeCell ref="V21:X21"/>
    <mergeCell ref="Y21:Z21"/>
    <mergeCell ref="AA21:AB21"/>
    <mergeCell ref="CM22:CO22"/>
    <mergeCell ref="CP22:CR22"/>
    <mergeCell ref="CS22:CU22"/>
    <mergeCell ref="CV22:CW22"/>
    <mergeCell ref="CX22:DA22"/>
    <mergeCell ref="B23:F23"/>
    <mergeCell ref="G23:I23"/>
    <mergeCell ref="J23:K23"/>
    <mergeCell ref="L23:M23"/>
    <mergeCell ref="N23:O23"/>
    <mergeCell ref="BV22:BX22"/>
    <mergeCell ref="BY22:BZ22"/>
    <mergeCell ref="CA22:CC22"/>
    <mergeCell ref="CD22:CF22"/>
    <mergeCell ref="CG22:CI22"/>
    <mergeCell ref="CJ22:CL22"/>
    <mergeCell ref="BI22:BJ22"/>
    <mergeCell ref="BK22:BL22"/>
    <mergeCell ref="BM22:BO22"/>
    <mergeCell ref="BP22:BQ22"/>
    <mergeCell ref="BR22:BS22"/>
    <mergeCell ref="BT22:BU22"/>
    <mergeCell ref="AS22:AU22"/>
    <mergeCell ref="AW22:AX22"/>
    <mergeCell ref="AY22:AZ22"/>
    <mergeCell ref="BB22:BC22"/>
    <mergeCell ref="BD22:BE22"/>
    <mergeCell ref="BF22:BH22"/>
    <mergeCell ref="AE22:AF22"/>
    <mergeCell ref="AG22:AH22"/>
    <mergeCell ref="AI22:AJ22"/>
    <mergeCell ref="AK22:AL22"/>
    <mergeCell ref="CS23:CU23"/>
    <mergeCell ref="CV23:CW23"/>
    <mergeCell ref="CX23:DA23"/>
    <mergeCell ref="BT23:BU23"/>
    <mergeCell ref="BV23:BX23"/>
    <mergeCell ref="BY23:BZ23"/>
    <mergeCell ref="CA23:CC23"/>
    <mergeCell ref="CD23:CF23"/>
    <mergeCell ref="CG23:CI23"/>
    <mergeCell ref="BF23:BH23"/>
    <mergeCell ref="BI23:BJ23"/>
    <mergeCell ref="BK23:BL23"/>
    <mergeCell ref="BM23:BO23"/>
    <mergeCell ref="BP23:BQ23"/>
    <mergeCell ref="BR23:BS23"/>
    <mergeCell ref="AO23:AR23"/>
    <mergeCell ref="AS23:AU23"/>
    <mergeCell ref="AW23:AX23"/>
    <mergeCell ref="AY23:AZ23"/>
    <mergeCell ref="BB23:BC23"/>
    <mergeCell ref="BD23:BE23"/>
    <mergeCell ref="AM24:AN24"/>
    <mergeCell ref="AO24:AR24"/>
    <mergeCell ref="R24:S24"/>
    <mergeCell ref="T24:U24"/>
    <mergeCell ref="V24:X24"/>
    <mergeCell ref="Y24:Z24"/>
    <mergeCell ref="AA24:AB24"/>
    <mergeCell ref="AC24:AD24"/>
    <mergeCell ref="B24:F24"/>
    <mergeCell ref="G24:I24"/>
    <mergeCell ref="J24:K24"/>
    <mergeCell ref="L24:M24"/>
    <mergeCell ref="N24:O24"/>
    <mergeCell ref="P24:Q24"/>
    <mergeCell ref="CJ23:CL23"/>
    <mergeCell ref="CM23:CO23"/>
    <mergeCell ref="CP23:CR23"/>
    <mergeCell ref="AC23:AD23"/>
    <mergeCell ref="AE23:AF23"/>
    <mergeCell ref="AG23:AH23"/>
    <mergeCell ref="AI23:AJ23"/>
    <mergeCell ref="AK23:AL23"/>
    <mergeCell ref="AM23:AN23"/>
    <mergeCell ref="P23:Q23"/>
    <mergeCell ref="R23:S23"/>
    <mergeCell ref="T23:U23"/>
    <mergeCell ref="V23:X23"/>
    <mergeCell ref="Y23:Z23"/>
    <mergeCell ref="AA23:AB23"/>
    <mergeCell ref="CM24:CO24"/>
    <mergeCell ref="CP24:CR24"/>
    <mergeCell ref="CS24:CU24"/>
    <mergeCell ref="CV24:CW24"/>
    <mergeCell ref="CX24:DA24"/>
    <mergeCell ref="B25:F25"/>
    <mergeCell ref="G25:I25"/>
    <mergeCell ref="J25:K25"/>
    <mergeCell ref="L25:M25"/>
    <mergeCell ref="N25:O25"/>
    <mergeCell ref="BV24:BX24"/>
    <mergeCell ref="BY24:BZ24"/>
    <mergeCell ref="CA24:CC24"/>
    <mergeCell ref="CD24:CF24"/>
    <mergeCell ref="CG24:CI24"/>
    <mergeCell ref="CJ24:CL24"/>
    <mergeCell ref="BI24:BJ24"/>
    <mergeCell ref="BK24:BL24"/>
    <mergeCell ref="BM24:BO24"/>
    <mergeCell ref="BP24:BQ24"/>
    <mergeCell ref="BR24:BS24"/>
    <mergeCell ref="BT24:BU24"/>
    <mergeCell ref="AS24:AU24"/>
    <mergeCell ref="AW24:AX24"/>
    <mergeCell ref="AY24:AZ24"/>
    <mergeCell ref="BB24:BC24"/>
    <mergeCell ref="BD24:BE24"/>
    <mergeCell ref="BF24:BH24"/>
    <mergeCell ref="AE24:AF24"/>
    <mergeCell ref="AG24:AH24"/>
    <mergeCell ref="AI24:AJ24"/>
    <mergeCell ref="AK24:AL24"/>
    <mergeCell ref="CS25:CU25"/>
    <mergeCell ref="CV25:CW25"/>
    <mergeCell ref="CX25:DA25"/>
    <mergeCell ref="BT25:BU25"/>
    <mergeCell ref="BV25:BX25"/>
    <mergeCell ref="BY25:BZ25"/>
    <mergeCell ref="CA25:CC25"/>
    <mergeCell ref="CD25:CF25"/>
    <mergeCell ref="CG25:CI25"/>
    <mergeCell ref="BF25:BH25"/>
    <mergeCell ref="BI25:BJ25"/>
    <mergeCell ref="BK25:BL25"/>
    <mergeCell ref="BM25:BO25"/>
    <mergeCell ref="BP25:BQ25"/>
    <mergeCell ref="BR25:BS25"/>
    <mergeCell ref="AO25:AR25"/>
    <mergeCell ref="AS25:AU25"/>
    <mergeCell ref="AW25:AX25"/>
    <mergeCell ref="AY25:AZ25"/>
    <mergeCell ref="BB25:BC25"/>
    <mergeCell ref="BD25:BE25"/>
    <mergeCell ref="AM26:AN26"/>
    <mergeCell ref="AO26:AR26"/>
    <mergeCell ref="R26:S26"/>
    <mergeCell ref="T26:U26"/>
    <mergeCell ref="V26:X26"/>
    <mergeCell ref="Y26:Z26"/>
    <mergeCell ref="AA26:AB26"/>
    <mergeCell ref="AC26:AD26"/>
    <mergeCell ref="B26:F26"/>
    <mergeCell ref="G26:I26"/>
    <mergeCell ref="J26:K26"/>
    <mergeCell ref="L26:M26"/>
    <mergeCell ref="N26:O26"/>
    <mergeCell ref="P26:Q26"/>
    <mergeCell ref="CJ25:CL25"/>
    <mergeCell ref="CM25:CO25"/>
    <mergeCell ref="CP25:CR25"/>
    <mergeCell ref="AC25:AD25"/>
    <mergeCell ref="AE25:AF25"/>
    <mergeCell ref="AG25:AH25"/>
    <mergeCell ref="AI25:AJ25"/>
    <mergeCell ref="AK25:AL25"/>
    <mergeCell ref="AM25:AN25"/>
    <mergeCell ref="P25:Q25"/>
    <mergeCell ref="R25:S25"/>
    <mergeCell ref="T25:U25"/>
    <mergeCell ref="V25:X25"/>
    <mergeCell ref="Y25:Z25"/>
    <mergeCell ref="AA25:AB25"/>
    <mergeCell ref="CM26:CO26"/>
    <mergeCell ref="CP26:CR26"/>
    <mergeCell ref="CS26:CU26"/>
    <mergeCell ref="CV26:CW26"/>
    <mergeCell ref="CX26:DA26"/>
    <mergeCell ref="B27:F27"/>
    <mergeCell ref="G27:I27"/>
    <mergeCell ref="J27:K27"/>
    <mergeCell ref="L27:M27"/>
    <mergeCell ref="N27:O27"/>
    <mergeCell ref="BV26:BX26"/>
    <mergeCell ref="BY26:BZ26"/>
    <mergeCell ref="CA26:CC26"/>
    <mergeCell ref="CD26:CF26"/>
    <mergeCell ref="CG26:CI26"/>
    <mergeCell ref="CJ26:CL26"/>
    <mergeCell ref="BI26:BJ26"/>
    <mergeCell ref="BK26:BL26"/>
    <mergeCell ref="BM26:BO26"/>
    <mergeCell ref="BP26:BQ26"/>
    <mergeCell ref="BR26:BS26"/>
    <mergeCell ref="BT26:BU26"/>
    <mergeCell ref="AS26:AU26"/>
    <mergeCell ref="AW26:AX26"/>
    <mergeCell ref="AY26:AZ26"/>
    <mergeCell ref="BB26:BC26"/>
    <mergeCell ref="BD26:BE26"/>
    <mergeCell ref="BF26:BH26"/>
    <mergeCell ref="AE26:AF26"/>
    <mergeCell ref="AG26:AH26"/>
    <mergeCell ref="AI26:AJ26"/>
    <mergeCell ref="AK26:AL26"/>
    <mergeCell ref="CS27:CU27"/>
    <mergeCell ref="CV27:CW27"/>
    <mergeCell ref="CX27:DA27"/>
    <mergeCell ref="BT27:BU27"/>
    <mergeCell ref="BV27:BX27"/>
    <mergeCell ref="BY27:BZ27"/>
    <mergeCell ref="CA27:CC27"/>
    <mergeCell ref="CD27:CF27"/>
    <mergeCell ref="CG27:CI27"/>
    <mergeCell ref="BF27:BH27"/>
    <mergeCell ref="BI27:BJ27"/>
    <mergeCell ref="BK27:BL27"/>
    <mergeCell ref="BM27:BO27"/>
    <mergeCell ref="BP27:BQ27"/>
    <mergeCell ref="BR27:BS27"/>
    <mergeCell ref="AO27:AR27"/>
    <mergeCell ref="AS27:AU27"/>
    <mergeCell ref="AW27:AX27"/>
    <mergeCell ref="AY27:AZ27"/>
    <mergeCell ref="BB27:BC27"/>
    <mergeCell ref="BD27:BE27"/>
    <mergeCell ref="AM28:AN28"/>
    <mergeCell ref="AO28:AR28"/>
    <mergeCell ref="R28:S28"/>
    <mergeCell ref="T28:U28"/>
    <mergeCell ref="V28:X28"/>
    <mergeCell ref="Y28:Z28"/>
    <mergeCell ref="AA28:AB28"/>
    <mergeCell ref="AC28:AD28"/>
    <mergeCell ref="B28:F28"/>
    <mergeCell ref="G28:I28"/>
    <mergeCell ref="J28:K28"/>
    <mergeCell ref="L28:M28"/>
    <mergeCell ref="N28:O28"/>
    <mergeCell ref="P28:Q28"/>
    <mergeCell ref="CJ27:CL27"/>
    <mergeCell ref="CM27:CO27"/>
    <mergeCell ref="CP27:CR27"/>
    <mergeCell ref="AC27:AD27"/>
    <mergeCell ref="AE27:AF27"/>
    <mergeCell ref="AG27:AH27"/>
    <mergeCell ref="AI27:AJ27"/>
    <mergeCell ref="AK27:AL27"/>
    <mergeCell ref="AM27:AN27"/>
    <mergeCell ref="P27:Q27"/>
    <mergeCell ref="R27:S27"/>
    <mergeCell ref="T27:U27"/>
    <mergeCell ref="V27:X27"/>
    <mergeCell ref="Y27:Z27"/>
    <mergeCell ref="AA27:AB27"/>
    <mergeCell ref="CM28:CO28"/>
    <mergeCell ref="CP28:CR28"/>
    <mergeCell ref="CS28:CU28"/>
    <mergeCell ref="CV28:CW28"/>
    <mergeCell ref="CX28:DA28"/>
    <mergeCell ref="B29:F29"/>
    <mergeCell ref="G29:I29"/>
    <mergeCell ref="J29:K29"/>
    <mergeCell ref="L29:M29"/>
    <mergeCell ref="N29:O29"/>
    <mergeCell ref="BV28:BX28"/>
    <mergeCell ref="BY28:BZ28"/>
    <mergeCell ref="CA28:CC28"/>
    <mergeCell ref="CD28:CF28"/>
    <mergeCell ref="CG28:CI28"/>
    <mergeCell ref="CJ28:CL28"/>
    <mergeCell ref="BI28:BJ28"/>
    <mergeCell ref="BK28:BL28"/>
    <mergeCell ref="BM28:BO28"/>
    <mergeCell ref="BP28:BQ28"/>
    <mergeCell ref="BR28:BS28"/>
    <mergeCell ref="BT28:BU28"/>
    <mergeCell ref="AS28:AU28"/>
    <mergeCell ref="AW28:AX28"/>
    <mergeCell ref="AY28:AZ28"/>
    <mergeCell ref="BB28:BC28"/>
    <mergeCell ref="BD28:BE28"/>
    <mergeCell ref="BF28:BH28"/>
    <mergeCell ref="AE28:AF28"/>
    <mergeCell ref="AG28:AH28"/>
    <mergeCell ref="AI28:AJ28"/>
    <mergeCell ref="AK28:AL28"/>
    <mergeCell ref="CS29:CU29"/>
    <mergeCell ref="CV29:CW29"/>
    <mergeCell ref="CX29:DA29"/>
    <mergeCell ref="BT29:BU29"/>
    <mergeCell ref="BV29:BX29"/>
    <mergeCell ref="BY29:BZ29"/>
    <mergeCell ref="CA29:CC29"/>
    <mergeCell ref="CD29:CF29"/>
    <mergeCell ref="CG29:CI29"/>
    <mergeCell ref="BF29:BH29"/>
    <mergeCell ref="BI29:BJ29"/>
    <mergeCell ref="BK29:BL29"/>
    <mergeCell ref="BM29:BO29"/>
    <mergeCell ref="BP29:BQ29"/>
    <mergeCell ref="BR29:BS29"/>
    <mergeCell ref="AO29:AR29"/>
    <mergeCell ref="AS29:AU29"/>
    <mergeCell ref="AW29:AX29"/>
    <mergeCell ref="AY29:AZ29"/>
    <mergeCell ref="BB29:BC29"/>
    <mergeCell ref="BD29:BE29"/>
    <mergeCell ref="AM30:AN30"/>
    <mergeCell ref="AO30:AR30"/>
    <mergeCell ref="R30:S30"/>
    <mergeCell ref="T30:U30"/>
    <mergeCell ref="V30:X30"/>
    <mergeCell ref="Y30:Z30"/>
    <mergeCell ref="AA30:AB30"/>
    <mergeCell ref="AC30:AD30"/>
    <mergeCell ref="B30:F30"/>
    <mergeCell ref="G30:I30"/>
    <mergeCell ref="J30:K30"/>
    <mergeCell ref="L30:M30"/>
    <mergeCell ref="N30:O30"/>
    <mergeCell ref="P30:Q30"/>
    <mergeCell ref="CJ29:CL29"/>
    <mergeCell ref="CM29:CO29"/>
    <mergeCell ref="CP29:CR29"/>
    <mergeCell ref="AC29:AD29"/>
    <mergeCell ref="AE29:AF29"/>
    <mergeCell ref="AG29:AH29"/>
    <mergeCell ref="AI29:AJ29"/>
    <mergeCell ref="AK29:AL29"/>
    <mergeCell ref="AM29:AN29"/>
    <mergeCell ref="P29:Q29"/>
    <mergeCell ref="R29:S29"/>
    <mergeCell ref="T29:U29"/>
    <mergeCell ref="V29:X29"/>
    <mergeCell ref="Y29:Z29"/>
    <mergeCell ref="AA29:AB29"/>
    <mergeCell ref="CM30:CO30"/>
    <mergeCell ref="CP30:CR30"/>
    <mergeCell ref="CS30:CU30"/>
    <mergeCell ref="CV30:CW30"/>
    <mergeCell ref="CX30:DA30"/>
    <mergeCell ref="B31:F31"/>
    <mergeCell ref="G31:I31"/>
    <mergeCell ref="J31:K31"/>
    <mergeCell ref="L31:M31"/>
    <mergeCell ref="N31:O31"/>
    <mergeCell ref="BV30:BX30"/>
    <mergeCell ref="BY30:BZ30"/>
    <mergeCell ref="CA30:CC30"/>
    <mergeCell ref="CD30:CF30"/>
    <mergeCell ref="CG30:CI30"/>
    <mergeCell ref="CJ30:CL30"/>
    <mergeCell ref="BI30:BJ30"/>
    <mergeCell ref="BK30:BL30"/>
    <mergeCell ref="BM30:BO30"/>
    <mergeCell ref="BP30:BQ30"/>
    <mergeCell ref="BR30:BS30"/>
    <mergeCell ref="BT30:BU30"/>
    <mergeCell ref="AS30:AU30"/>
    <mergeCell ref="AW30:AX30"/>
    <mergeCell ref="AY30:AZ30"/>
    <mergeCell ref="BB30:BC30"/>
    <mergeCell ref="BD30:BE30"/>
    <mergeCell ref="BF30:BH30"/>
    <mergeCell ref="AE30:AF30"/>
    <mergeCell ref="AG30:AH30"/>
    <mergeCell ref="AI30:AJ30"/>
    <mergeCell ref="AK30:AL30"/>
    <mergeCell ref="CS31:CU31"/>
    <mergeCell ref="CV31:CW31"/>
    <mergeCell ref="CX31:DA31"/>
    <mergeCell ref="BT31:BU31"/>
    <mergeCell ref="BV31:BX31"/>
    <mergeCell ref="BY31:BZ31"/>
    <mergeCell ref="CA31:CC31"/>
    <mergeCell ref="CD31:CF31"/>
    <mergeCell ref="CG31:CI31"/>
    <mergeCell ref="BF31:BH31"/>
    <mergeCell ref="BI31:BJ31"/>
    <mergeCell ref="BK31:BL31"/>
    <mergeCell ref="BM31:BO31"/>
    <mergeCell ref="BP31:BQ31"/>
    <mergeCell ref="BR31:BS31"/>
    <mergeCell ref="AO31:AR31"/>
    <mergeCell ref="AS31:AU31"/>
    <mergeCell ref="AW31:AX31"/>
    <mergeCell ref="AY31:AZ31"/>
    <mergeCell ref="BB31:BC31"/>
    <mergeCell ref="BD31:BE31"/>
    <mergeCell ref="AM32:AN32"/>
    <mergeCell ref="AO32:AR32"/>
    <mergeCell ref="R32:S32"/>
    <mergeCell ref="T32:U32"/>
    <mergeCell ref="V32:X32"/>
    <mergeCell ref="Y32:Z32"/>
    <mergeCell ref="AA32:AB32"/>
    <mergeCell ref="AC32:AD32"/>
    <mergeCell ref="B32:F32"/>
    <mergeCell ref="G32:I32"/>
    <mergeCell ref="J32:K32"/>
    <mergeCell ref="L32:M32"/>
    <mergeCell ref="N32:O32"/>
    <mergeCell ref="P32:Q32"/>
    <mergeCell ref="CJ31:CL31"/>
    <mergeCell ref="CM31:CO31"/>
    <mergeCell ref="CP31:CR31"/>
    <mergeCell ref="AC31:AD31"/>
    <mergeCell ref="AE31:AF31"/>
    <mergeCell ref="AG31:AH31"/>
    <mergeCell ref="AI31:AJ31"/>
    <mergeCell ref="AK31:AL31"/>
    <mergeCell ref="AM31:AN31"/>
    <mergeCell ref="P31:Q31"/>
    <mergeCell ref="R31:S31"/>
    <mergeCell ref="T31:U31"/>
    <mergeCell ref="V31:X31"/>
    <mergeCell ref="Y31:Z31"/>
    <mergeCell ref="AA31:AB31"/>
    <mergeCell ref="A1:DB1"/>
    <mergeCell ref="A2:DB2"/>
    <mergeCell ref="A3:DB3"/>
    <mergeCell ref="A4:DB4"/>
    <mergeCell ref="A5:A6"/>
    <mergeCell ref="CM32:CO32"/>
    <mergeCell ref="CP32:CR32"/>
    <mergeCell ref="CS32:CU32"/>
    <mergeCell ref="CV32:CW32"/>
    <mergeCell ref="CX32:DA32"/>
    <mergeCell ref="BV32:BX32"/>
    <mergeCell ref="BY32:BZ32"/>
    <mergeCell ref="CA32:CC32"/>
    <mergeCell ref="CD32:CF32"/>
    <mergeCell ref="CG32:CI32"/>
    <mergeCell ref="CJ32:CL32"/>
    <mergeCell ref="BI32:BJ32"/>
    <mergeCell ref="BK32:BL32"/>
    <mergeCell ref="BM32:BO32"/>
    <mergeCell ref="BP32:BQ32"/>
    <mergeCell ref="BR32:BS32"/>
    <mergeCell ref="BT32:BU32"/>
    <mergeCell ref="AS32:AU32"/>
    <mergeCell ref="AW32:AX32"/>
    <mergeCell ref="AY32:AZ32"/>
    <mergeCell ref="BB32:BC32"/>
    <mergeCell ref="BD32:BE32"/>
    <mergeCell ref="BF32:BH32"/>
    <mergeCell ref="AE32:AF32"/>
    <mergeCell ref="AG32:AH32"/>
    <mergeCell ref="AI32:AJ32"/>
    <mergeCell ref="AK32:AL32"/>
  </mergeCells>
  <pageMargins left="0.7" right="0.7" top="0.75" bottom="0.75" header="0.3" footer="0.3"/>
  <pageSetup paperSize="9" scale="46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6"/>
  <sheetViews>
    <sheetView showRuler="0" view="pageBreakPreview" zoomScale="60" workbookViewId="0">
      <selection sqref="A1:DG1"/>
    </sheetView>
  </sheetViews>
  <sheetFormatPr defaultRowHeight="12.75"/>
  <cols>
    <col min="1" max="1" width="11.83203125" customWidth="1"/>
    <col min="6" max="6" width="128.6640625" customWidth="1"/>
    <col min="7" max="83" width="0" hidden="1" customWidth="1"/>
    <col min="84" max="84" width="18.33203125" hidden="1" customWidth="1"/>
    <col min="94" max="105" width="0" hidden="1" customWidth="1"/>
    <col min="106" max="106" width="60.83203125" customWidth="1"/>
  </cols>
  <sheetData>
    <row r="1" spans="1:111" s="51" customFormat="1" ht="45">
      <c r="A1" s="1439" t="s">
        <v>409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  <c r="U1" s="1440"/>
      <c r="V1" s="1440"/>
      <c r="W1" s="1440"/>
      <c r="X1" s="1440"/>
      <c r="Y1" s="1440"/>
      <c r="Z1" s="1440"/>
      <c r="AA1" s="1440"/>
      <c r="AB1" s="1440"/>
      <c r="AC1" s="1440"/>
      <c r="AD1" s="1440"/>
      <c r="AE1" s="1440"/>
      <c r="AF1" s="1440"/>
      <c r="AG1" s="1440"/>
      <c r="AH1" s="1440"/>
      <c r="AI1" s="1440"/>
      <c r="AJ1" s="1440"/>
      <c r="AK1" s="1440"/>
      <c r="AL1" s="1440"/>
      <c r="AM1" s="1440"/>
      <c r="AN1" s="1440"/>
      <c r="AO1" s="1440"/>
      <c r="AP1" s="1440"/>
      <c r="AQ1" s="1440"/>
      <c r="AR1" s="1440"/>
      <c r="AS1" s="1440"/>
      <c r="AT1" s="1440"/>
      <c r="AU1" s="1440"/>
      <c r="AV1" s="1440"/>
      <c r="AW1" s="1440"/>
      <c r="AX1" s="1440"/>
      <c r="AY1" s="1440"/>
      <c r="AZ1" s="1440"/>
      <c r="BA1" s="1440"/>
      <c r="BB1" s="1440"/>
      <c r="BC1" s="1440"/>
      <c r="BD1" s="1440"/>
      <c r="BE1" s="1440"/>
      <c r="BF1" s="1440"/>
      <c r="BG1" s="1440"/>
      <c r="BH1" s="1440"/>
      <c r="BI1" s="1440"/>
      <c r="BJ1" s="1440"/>
      <c r="BK1" s="1440"/>
      <c r="BL1" s="1440"/>
      <c r="BM1" s="1440"/>
      <c r="BN1" s="1440"/>
      <c r="BO1" s="1440"/>
      <c r="BP1" s="1440"/>
      <c r="BQ1" s="1440"/>
      <c r="BR1" s="1440"/>
      <c r="BS1" s="1440"/>
      <c r="BT1" s="1440"/>
      <c r="BU1" s="1440"/>
      <c r="BV1" s="1440"/>
      <c r="BW1" s="1440"/>
      <c r="BX1" s="1440"/>
      <c r="BY1" s="1440"/>
      <c r="BZ1" s="1440"/>
      <c r="CA1" s="1440"/>
      <c r="CB1" s="1440"/>
      <c r="CC1" s="1440"/>
      <c r="CD1" s="1440"/>
      <c r="CE1" s="1440"/>
      <c r="CF1" s="1440"/>
      <c r="CG1" s="1440"/>
      <c r="CH1" s="1440"/>
      <c r="CI1" s="1440"/>
      <c r="CJ1" s="1440"/>
      <c r="CK1" s="1440"/>
      <c r="CL1" s="1440"/>
      <c r="CM1" s="1440"/>
      <c r="CN1" s="1440"/>
      <c r="CO1" s="1440"/>
      <c r="CP1" s="1440"/>
      <c r="CQ1" s="1440"/>
      <c r="CR1" s="1440"/>
      <c r="CS1" s="1440"/>
      <c r="CT1" s="1440"/>
      <c r="CU1" s="1440"/>
      <c r="CV1" s="1440"/>
      <c r="CW1" s="1440"/>
      <c r="CX1" s="1440"/>
      <c r="CY1" s="1440"/>
      <c r="CZ1" s="1440"/>
      <c r="DA1" s="1440"/>
      <c r="DB1" s="1440"/>
      <c r="DC1" s="1440"/>
      <c r="DD1" s="1440"/>
      <c r="DE1" s="1440"/>
      <c r="DF1" s="1440"/>
      <c r="DG1" s="1441"/>
    </row>
    <row r="2" spans="1:111" s="51" customFormat="1" ht="45" customHeight="1">
      <c r="A2" s="1442" t="s">
        <v>522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6"/>
      <c r="AC2" s="1366"/>
      <c r="AD2" s="1366"/>
      <c r="AE2" s="1366"/>
      <c r="AF2" s="1366"/>
      <c r="AG2" s="1366"/>
      <c r="AH2" s="1366"/>
      <c r="AI2" s="1366"/>
      <c r="AJ2" s="1366"/>
      <c r="AK2" s="1366"/>
      <c r="AL2" s="1366"/>
      <c r="AM2" s="1366"/>
      <c r="AN2" s="1366"/>
      <c r="AO2" s="1366"/>
      <c r="AP2" s="1366"/>
      <c r="AQ2" s="1366"/>
      <c r="AR2" s="1366"/>
      <c r="AS2" s="1366"/>
      <c r="AT2" s="1366"/>
      <c r="AU2" s="1366"/>
      <c r="AV2" s="1366"/>
      <c r="AW2" s="1366"/>
      <c r="AX2" s="1366"/>
      <c r="AY2" s="1366"/>
      <c r="AZ2" s="1366"/>
      <c r="BA2" s="1366"/>
      <c r="BB2" s="1366"/>
      <c r="BC2" s="1366"/>
      <c r="BD2" s="1366"/>
      <c r="BE2" s="1366"/>
      <c r="BF2" s="1366"/>
      <c r="BG2" s="1366"/>
      <c r="BH2" s="1366"/>
      <c r="BI2" s="1366"/>
      <c r="BJ2" s="1366"/>
      <c r="BK2" s="1366"/>
      <c r="BL2" s="1366"/>
      <c r="BM2" s="1366"/>
      <c r="BN2" s="1366"/>
      <c r="BO2" s="1366"/>
      <c r="BP2" s="1366"/>
      <c r="BQ2" s="1366"/>
      <c r="BR2" s="1366"/>
      <c r="BS2" s="1366"/>
      <c r="BT2" s="1366"/>
      <c r="BU2" s="1366"/>
      <c r="BV2" s="1366"/>
      <c r="BW2" s="1366"/>
      <c r="BX2" s="1366"/>
      <c r="BY2" s="1366"/>
      <c r="BZ2" s="1366"/>
      <c r="CA2" s="1366"/>
      <c r="CB2" s="1366"/>
      <c r="CC2" s="1366"/>
      <c r="CD2" s="1366"/>
      <c r="CE2" s="1366"/>
      <c r="CF2" s="1366"/>
      <c r="CG2" s="1366"/>
      <c r="CH2" s="1366"/>
      <c r="CI2" s="1366"/>
      <c r="CJ2" s="1366"/>
      <c r="CK2" s="1366"/>
      <c r="CL2" s="1366"/>
      <c r="CM2" s="1366"/>
      <c r="CN2" s="1366"/>
      <c r="CO2" s="1366"/>
      <c r="CP2" s="1366"/>
      <c r="CQ2" s="1366"/>
      <c r="CR2" s="1366"/>
      <c r="CS2" s="1366"/>
      <c r="CT2" s="1366"/>
      <c r="CU2" s="1366"/>
      <c r="CV2" s="1366"/>
      <c r="CW2" s="1366"/>
      <c r="CX2" s="1366"/>
      <c r="CY2" s="1366"/>
      <c r="CZ2" s="1366"/>
      <c r="DA2" s="1366"/>
      <c r="DB2" s="1366"/>
      <c r="DC2" s="1366"/>
      <c r="DD2" s="1366"/>
      <c r="DE2" s="1366"/>
      <c r="DF2" s="1366"/>
      <c r="DG2" s="1443"/>
    </row>
    <row r="3" spans="1:111" s="51" customFormat="1" ht="45" customHeight="1">
      <c r="A3" s="1442" t="s">
        <v>523</v>
      </c>
      <c r="B3" s="1366"/>
      <c r="C3" s="1366"/>
      <c r="D3" s="1366"/>
      <c r="E3" s="1366"/>
      <c r="F3" s="1366"/>
      <c r="G3" s="1366"/>
      <c r="H3" s="1366"/>
      <c r="I3" s="1366"/>
      <c r="J3" s="1366"/>
      <c r="K3" s="1366"/>
      <c r="L3" s="1366"/>
      <c r="M3" s="1366"/>
      <c r="N3" s="1366"/>
      <c r="O3" s="1366"/>
      <c r="P3" s="1366"/>
      <c r="Q3" s="1366"/>
      <c r="R3" s="1366"/>
      <c r="S3" s="1366"/>
      <c r="T3" s="1366"/>
      <c r="U3" s="1366"/>
      <c r="V3" s="1366"/>
      <c r="W3" s="1366"/>
      <c r="X3" s="1366"/>
      <c r="Y3" s="1366"/>
      <c r="Z3" s="1366"/>
      <c r="AA3" s="1366"/>
      <c r="AB3" s="1366"/>
      <c r="AC3" s="1366"/>
      <c r="AD3" s="1366"/>
      <c r="AE3" s="1366"/>
      <c r="AF3" s="1366"/>
      <c r="AG3" s="1366"/>
      <c r="AH3" s="1366"/>
      <c r="AI3" s="1366"/>
      <c r="AJ3" s="1366"/>
      <c r="AK3" s="1366"/>
      <c r="AL3" s="1366"/>
      <c r="AM3" s="1366"/>
      <c r="AN3" s="1366"/>
      <c r="AO3" s="1366"/>
      <c r="AP3" s="1366"/>
      <c r="AQ3" s="1366"/>
      <c r="AR3" s="1366"/>
      <c r="AS3" s="1366"/>
      <c r="AT3" s="1366"/>
      <c r="AU3" s="1366"/>
      <c r="AV3" s="1366"/>
      <c r="AW3" s="1366"/>
      <c r="AX3" s="1366"/>
      <c r="AY3" s="1366"/>
      <c r="AZ3" s="1366"/>
      <c r="BA3" s="1366"/>
      <c r="BB3" s="1366"/>
      <c r="BC3" s="1366"/>
      <c r="BD3" s="1366"/>
      <c r="BE3" s="1366"/>
      <c r="BF3" s="1366"/>
      <c r="BG3" s="1366"/>
      <c r="BH3" s="1366"/>
      <c r="BI3" s="1366"/>
      <c r="BJ3" s="1366"/>
      <c r="BK3" s="1366"/>
      <c r="BL3" s="1366"/>
      <c r="BM3" s="1366"/>
      <c r="BN3" s="1366"/>
      <c r="BO3" s="1366"/>
      <c r="BP3" s="1366"/>
      <c r="BQ3" s="1366"/>
      <c r="BR3" s="1366"/>
      <c r="BS3" s="1366"/>
      <c r="BT3" s="1366"/>
      <c r="BU3" s="1366"/>
      <c r="BV3" s="1366"/>
      <c r="BW3" s="1366"/>
      <c r="BX3" s="1366"/>
      <c r="BY3" s="1366"/>
      <c r="BZ3" s="1366"/>
      <c r="CA3" s="1366"/>
      <c r="CB3" s="1366"/>
      <c r="CC3" s="1366"/>
      <c r="CD3" s="1366"/>
      <c r="CE3" s="1366"/>
      <c r="CF3" s="1366"/>
      <c r="CG3" s="1366"/>
      <c r="CH3" s="1366"/>
      <c r="CI3" s="1366"/>
      <c r="CJ3" s="1366"/>
      <c r="CK3" s="1366"/>
      <c r="CL3" s="1366"/>
      <c r="CM3" s="1366"/>
      <c r="CN3" s="1366"/>
      <c r="CO3" s="1366"/>
      <c r="CP3" s="1366"/>
      <c r="CQ3" s="1366"/>
      <c r="CR3" s="1366"/>
      <c r="CS3" s="1366"/>
      <c r="CT3" s="1366"/>
      <c r="CU3" s="1366"/>
      <c r="CV3" s="1366"/>
      <c r="CW3" s="1366"/>
      <c r="CX3" s="1366"/>
      <c r="CY3" s="1366"/>
      <c r="CZ3" s="1366"/>
      <c r="DA3" s="1366"/>
      <c r="DB3" s="1366"/>
      <c r="DC3" s="1366"/>
      <c r="DD3" s="1366"/>
      <c r="DE3" s="1366"/>
      <c r="DF3" s="1366"/>
      <c r="DG3" s="1443"/>
    </row>
    <row r="4" spans="1:111" s="51" customFormat="1" ht="45">
      <c r="A4" s="1864" t="s">
        <v>17</v>
      </c>
      <c r="B4" s="1865"/>
      <c r="C4" s="1865"/>
      <c r="D4" s="1865"/>
      <c r="E4" s="1865"/>
      <c r="F4" s="1865"/>
      <c r="G4" s="1865"/>
      <c r="H4" s="1865"/>
      <c r="I4" s="1865"/>
      <c r="J4" s="1865"/>
      <c r="K4" s="1865"/>
      <c r="L4" s="1865"/>
      <c r="M4" s="1865"/>
      <c r="N4" s="1865"/>
      <c r="O4" s="1865"/>
      <c r="P4" s="1865"/>
      <c r="Q4" s="1865"/>
      <c r="R4" s="1865"/>
      <c r="S4" s="1865"/>
      <c r="T4" s="1865"/>
      <c r="U4" s="1865"/>
      <c r="V4" s="1865"/>
      <c r="W4" s="1865"/>
      <c r="X4" s="1865"/>
      <c r="Y4" s="1865"/>
      <c r="Z4" s="1865"/>
      <c r="AA4" s="1865"/>
      <c r="AB4" s="1865"/>
      <c r="AC4" s="1865"/>
      <c r="AD4" s="1865"/>
      <c r="AE4" s="1865"/>
      <c r="AF4" s="1865"/>
      <c r="AG4" s="1865"/>
      <c r="AH4" s="1865"/>
      <c r="AI4" s="1865"/>
      <c r="AJ4" s="1865"/>
      <c r="AK4" s="1865"/>
      <c r="AL4" s="1865"/>
      <c r="AM4" s="1865"/>
      <c r="AN4" s="1865"/>
      <c r="AO4" s="1865"/>
      <c r="AP4" s="1865"/>
      <c r="AQ4" s="1865"/>
      <c r="AR4" s="1865"/>
      <c r="AS4" s="1865"/>
      <c r="AT4" s="1865"/>
      <c r="AU4" s="1865"/>
      <c r="AV4" s="1865"/>
      <c r="AW4" s="1865"/>
      <c r="AX4" s="1865"/>
      <c r="AY4" s="1865"/>
      <c r="AZ4" s="1865"/>
      <c r="BA4" s="1865"/>
      <c r="BB4" s="1865"/>
      <c r="BC4" s="1865"/>
      <c r="BD4" s="1865"/>
      <c r="BE4" s="1865"/>
      <c r="BF4" s="1865"/>
      <c r="BG4" s="1865"/>
      <c r="BH4" s="1865"/>
      <c r="BI4" s="1865"/>
      <c r="BJ4" s="1865"/>
      <c r="BK4" s="1865"/>
      <c r="BL4" s="1865"/>
      <c r="BM4" s="1865"/>
      <c r="BN4" s="1865"/>
      <c r="BO4" s="1865"/>
      <c r="BP4" s="1865"/>
      <c r="BQ4" s="1865"/>
      <c r="BR4" s="1865"/>
      <c r="BS4" s="1865"/>
      <c r="BT4" s="1865"/>
      <c r="BU4" s="1865"/>
      <c r="BV4" s="1865"/>
      <c r="BW4" s="1865"/>
      <c r="BX4" s="1865"/>
      <c r="BY4" s="1865"/>
      <c r="BZ4" s="1865"/>
      <c r="CA4" s="1865"/>
      <c r="CB4" s="1865"/>
      <c r="CC4" s="1865"/>
      <c r="CD4" s="1865"/>
      <c r="CE4" s="1865"/>
      <c r="CF4" s="1865"/>
      <c r="CG4" s="1865"/>
      <c r="CH4" s="1865"/>
      <c r="CI4" s="1865"/>
      <c r="CJ4" s="1865"/>
      <c r="CK4" s="1865"/>
      <c r="CL4" s="1865"/>
      <c r="CM4" s="1865"/>
      <c r="CN4" s="1865"/>
      <c r="CO4" s="1865"/>
      <c r="CP4" s="1865"/>
      <c r="CQ4" s="1865"/>
      <c r="CR4" s="1865"/>
      <c r="CS4" s="1865"/>
      <c r="CT4" s="1865"/>
      <c r="CU4" s="1865"/>
      <c r="CV4" s="1865"/>
      <c r="CW4" s="1865"/>
      <c r="CX4" s="1865"/>
      <c r="CY4" s="1865"/>
      <c r="CZ4" s="1865"/>
      <c r="DA4" s="1865"/>
      <c r="DB4" s="1865"/>
      <c r="DC4" s="1865"/>
      <c r="DD4" s="1865"/>
      <c r="DE4" s="1865"/>
      <c r="DF4" s="1865"/>
      <c r="DG4" s="1866"/>
    </row>
    <row r="5" spans="1:111" ht="82.5" customHeight="1">
      <c r="A5" s="1347" t="s">
        <v>0</v>
      </c>
      <c r="B5" s="1348" t="s">
        <v>517</v>
      </c>
      <c r="C5" s="1349"/>
      <c r="D5" s="1349"/>
      <c r="E5" s="1349"/>
      <c r="F5" s="1350"/>
      <c r="G5" s="1354" t="s">
        <v>29</v>
      </c>
      <c r="H5" s="1355"/>
      <c r="I5" s="1356"/>
      <c r="J5" s="1354" t="s">
        <v>30</v>
      </c>
      <c r="K5" s="1356"/>
      <c r="L5" s="1208" t="s">
        <v>1</v>
      </c>
      <c r="M5" s="1209"/>
      <c r="N5" s="1209"/>
      <c r="O5" s="1209"/>
      <c r="P5" s="1209"/>
      <c r="Q5" s="1209"/>
      <c r="R5" s="1209"/>
      <c r="S5" s="1210"/>
      <c r="T5" s="1208" t="s">
        <v>2</v>
      </c>
      <c r="U5" s="1209"/>
      <c r="V5" s="1209"/>
      <c r="W5" s="1209"/>
      <c r="X5" s="1209"/>
      <c r="Y5" s="1209"/>
      <c r="Z5" s="1209"/>
      <c r="AA5" s="1209"/>
      <c r="AB5" s="1210"/>
      <c r="AC5" s="1208" t="s">
        <v>3</v>
      </c>
      <c r="AD5" s="1209"/>
      <c r="AE5" s="1209"/>
      <c r="AF5" s="1209"/>
      <c r="AG5" s="1209"/>
      <c r="AH5" s="1209"/>
      <c r="AI5" s="1209"/>
      <c r="AJ5" s="1210"/>
      <c r="AK5" s="1337" t="s">
        <v>31</v>
      </c>
      <c r="AL5" s="1338"/>
      <c r="AM5" s="1338"/>
      <c r="AN5" s="1338"/>
      <c r="AO5" s="1338"/>
      <c r="AP5" s="1338"/>
      <c r="AQ5" s="1338"/>
      <c r="AR5" s="1338"/>
      <c r="AS5" s="1338"/>
      <c r="AT5" s="1338"/>
      <c r="AU5" s="1339"/>
      <c r="AV5" s="1208" t="s">
        <v>4</v>
      </c>
      <c r="AW5" s="1209"/>
      <c r="AX5" s="1209"/>
      <c r="AY5" s="1209"/>
      <c r="AZ5" s="1209"/>
      <c r="BA5" s="1210"/>
      <c r="BB5" s="1208" t="s">
        <v>5</v>
      </c>
      <c r="BC5" s="1209"/>
      <c r="BD5" s="1209"/>
      <c r="BE5" s="1209"/>
      <c r="BF5" s="1209"/>
      <c r="BG5" s="1209"/>
      <c r="BH5" s="1209"/>
      <c r="BI5" s="1209"/>
      <c r="BJ5" s="1210"/>
      <c r="BK5" s="1208" t="s">
        <v>6</v>
      </c>
      <c r="BL5" s="1209"/>
      <c r="BM5" s="1209"/>
      <c r="BN5" s="1209"/>
      <c r="BO5" s="1209"/>
      <c r="BP5" s="1209"/>
      <c r="BQ5" s="1209"/>
      <c r="BR5" s="1209"/>
      <c r="BS5" s="1210"/>
      <c r="BT5" s="1212" t="s">
        <v>32</v>
      </c>
      <c r="BU5" s="1213"/>
      <c r="BV5" s="1213"/>
      <c r="BW5" s="1213"/>
      <c r="BX5" s="1213"/>
      <c r="BY5" s="1213"/>
      <c r="BZ5" s="1213"/>
      <c r="CA5" s="1213"/>
      <c r="CB5" s="1213"/>
      <c r="CC5" s="1214"/>
      <c r="CD5" s="1343"/>
      <c r="CE5" s="1344"/>
      <c r="CF5" s="1344"/>
      <c r="CG5" s="1344"/>
      <c r="CH5" s="1344"/>
      <c r="CI5" s="1344"/>
      <c r="CJ5" s="1344"/>
      <c r="CK5" s="1344"/>
      <c r="CL5" s="1344"/>
      <c r="CM5" s="1344"/>
      <c r="CN5" s="1344"/>
      <c r="CO5" s="1345"/>
      <c r="CP5" s="1212" t="s">
        <v>7</v>
      </c>
      <c r="CQ5" s="1213"/>
      <c r="CR5" s="1213"/>
      <c r="CS5" s="1213"/>
      <c r="CT5" s="1213"/>
      <c r="CU5" s="1213"/>
      <c r="CV5" s="1213"/>
      <c r="CW5" s="1214"/>
      <c r="CX5" s="1873" t="s">
        <v>33</v>
      </c>
      <c r="CY5" s="1874"/>
      <c r="CZ5" s="1874"/>
      <c r="DA5" s="1874"/>
      <c r="DB5" s="213" t="s">
        <v>537</v>
      </c>
      <c r="DC5" s="51"/>
      <c r="DD5" s="51"/>
      <c r="DE5" s="51"/>
      <c r="DF5" s="51"/>
      <c r="DG5" s="261"/>
    </row>
    <row r="6" spans="1:111" ht="18" hidden="1" customHeight="1">
      <c r="A6" s="1233"/>
      <c r="B6" s="1351"/>
      <c r="C6" s="1352"/>
      <c r="D6" s="1352"/>
      <c r="E6" s="1352"/>
      <c r="F6" s="1353"/>
      <c r="G6" s="1243"/>
      <c r="H6" s="1244"/>
      <c r="I6" s="1245"/>
      <c r="J6" s="1243"/>
      <c r="K6" s="1245"/>
      <c r="L6" s="1340" t="s">
        <v>8</v>
      </c>
      <c r="M6" s="1341"/>
      <c r="N6" s="1208" t="s">
        <v>9</v>
      </c>
      <c r="O6" s="1210"/>
      <c r="P6" s="1337" t="s">
        <v>10</v>
      </c>
      <c r="Q6" s="1339"/>
      <c r="R6" s="1340" t="s">
        <v>11</v>
      </c>
      <c r="S6" s="1341"/>
      <c r="T6" s="1208" t="s">
        <v>8</v>
      </c>
      <c r="U6" s="1210"/>
      <c r="V6" s="1337" t="s">
        <v>9</v>
      </c>
      <c r="W6" s="1338"/>
      <c r="X6" s="1339"/>
      <c r="Y6" s="1337" t="s">
        <v>10</v>
      </c>
      <c r="Z6" s="1339"/>
      <c r="AA6" s="1340" t="s">
        <v>11</v>
      </c>
      <c r="AB6" s="1341"/>
      <c r="AC6" s="1208" t="s">
        <v>8</v>
      </c>
      <c r="AD6" s="1210"/>
      <c r="AE6" s="1340" t="s">
        <v>9</v>
      </c>
      <c r="AF6" s="1341"/>
      <c r="AG6" s="1212" t="s">
        <v>10</v>
      </c>
      <c r="AH6" s="1214"/>
      <c r="AI6" s="1340" t="s">
        <v>11</v>
      </c>
      <c r="AJ6" s="1341"/>
      <c r="AK6" s="1208" t="s">
        <v>8</v>
      </c>
      <c r="AL6" s="1210"/>
      <c r="AM6" s="1208" t="s">
        <v>9</v>
      </c>
      <c r="AN6" s="1210"/>
      <c r="AO6" s="1208" t="s">
        <v>10</v>
      </c>
      <c r="AP6" s="1209"/>
      <c r="AQ6" s="1209"/>
      <c r="AR6" s="1210"/>
      <c r="AS6" s="1208" t="s">
        <v>11</v>
      </c>
      <c r="AT6" s="1209"/>
      <c r="AU6" s="1210"/>
      <c r="AV6" s="164" t="s">
        <v>8</v>
      </c>
      <c r="AW6" s="1340" t="s">
        <v>9</v>
      </c>
      <c r="AX6" s="1341"/>
      <c r="AY6" s="1212" t="s">
        <v>10</v>
      </c>
      <c r="AZ6" s="1214"/>
      <c r="BA6" s="140" t="s">
        <v>11</v>
      </c>
      <c r="BB6" s="1208" t="s">
        <v>8</v>
      </c>
      <c r="BC6" s="1210"/>
      <c r="BD6" s="1208" t="s">
        <v>9</v>
      </c>
      <c r="BE6" s="1210"/>
      <c r="BF6" s="1208" t="s">
        <v>10</v>
      </c>
      <c r="BG6" s="1209"/>
      <c r="BH6" s="1210"/>
      <c r="BI6" s="1337" t="s">
        <v>11</v>
      </c>
      <c r="BJ6" s="1339"/>
      <c r="BK6" s="1212" t="s">
        <v>8</v>
      </c>
      <c r="BL6" s="1214"/>
      <c r="BM6" s="1212" t="s">
        <v>9</v>
      </c>
      <c r="BN6" s="1213"/>
      <c r="BO6" s="1213"/>
      <c r="BP6" s="1214"/>
      <c r="BQ6" s="140" t="s">
        <v>10</v>
      </c>
      <c r="BR6" s="1208" t="s">
        <v>11</v>
      </c>
      <c r="BS6" s="1210"/>
      <c r="BT6" s="1208" t="s">
        <v>8</v>
      </c>
      <c r="BU6" s="1210"/>
      <c r="BV6" s="1208" t="s">
        <v>9</v>
      </c>
      <c r="BW6" s="1209"/>
      <c r="BX6" s="1210"/>
      <c r="BY6" s="1337" t="s">
        <v>10</v>
      </c>
      <c r="BZ6" s="1339"/>
      <c r="CA6" s="1340" t="s">
        <v>11</v>
      </c>
      <c r="CB6" s="1342"/>
      <c r="CC6" s="1341"/>
      <c r="CD6" s="1208" t="s">
        <v>8</v>
      </c>
      <c r="CE6" s="1209"/>
      <c r="CF6" s="1210"/>
      <c r="CG6" s="1337" t="s">
        <v>9</v>
      </c>
      <c r="CH6" s="1338"/>
      <c r="CI6" s="1339"/>
      <c r="CJ6" s="1340" t="s">
        <v>10</v>
      </c>
      <c r="CK6" s="1342"/>
      <c r="CL6" s="1341"/>
      <c r="CM6" s="1208" t="s">
        <v>11</v>
      </c>
      <c r="CN6" s="1209"/>
      <c r="CO6" s="1210"/>
      <c r="CP6" s="1208" t="s">
        <v>9</v>
      </c>
      <c r="CQ6" s="1209"/>
      <c r="CR6" s="1210"/>
      <c r="CS6" s="1208" t="s">
        <v>10</v>
      </c>
      <c r="CT6" s="1209"/>
      <c r="CU6" s="1210"/>
      <c r="CV6" s="1337" t="s">
        <v>11</v>
      </c>
      <c r="CW6" s="1339"/>
      <c r="CX6" s="1875"/>
      <c r="CY6" s="1876"/>
      <c r="CZ6" s="1876"/>
      <c r="DA6" s="1876"/>
      <c r="DB6" s="212"/>
      <c r="DC6" s="51"/>
      <c r="DD6" s="51"/>
      <c r="DE6" s="51"/>
      <c r="DF6" s="51"/>
      <c r="DG6" s="261"/>
    </row>
    <row r="7" spans="1:111" ht="27.75">
      <c r="A7" s="262">
        <v>1</v>
      </c>
      <c r="B7" s="1212" t="s">
        <v>134</v>
      </c>
      <c r="C7" s="1213"/>
      <c r="D7" s="1213"/>
      <c r="E7" s="1213"/>
      <c r="F7" s="1214"/>
      <c r="G7" s="1221" t="s">
        <v>17</v>
      </c>
      <c r="H7" s="1222"/>
      <c r="I7" s="1223"/>
      <c r="J7" s="1185">
        <v>6</v>
      </c>
      <c r="K7" s="1186"/>
      <c r="L7" s="1177">
        <v>13</v>
      </c>
      <c r="M7" s="1179"/>
      <c r="N7" s="1185">
        <v>710</v>
      </c>
      <c r="O7" s="1186"/>
      <c r="P7" s="1180">
        <v>342</v>
      </c>
      <c r="Q7" s="1182"/>
      <c r="R7" s="1177">
        <v>1052</v>
      </c>
      <c r="S7" s="1179"/>
      <c r="T7" s="1185">
        <v>9</v>
      </c>
      <c r="U7" s="1186"/>
      <c r="V7" s="1180">
        <v>486</v>
      </c>
      <c r="W7" s="1181"/>
      <c r="X7" s="1182"/>
      <c r="Y7" s="1180">
        <v>300</v>
      </c>
      <c r="Z7" s="1182"/>
      <c r="AA7" s="1177">
        <v>786</v>
      </c>
      <c r="AB7" s="1179"/>
      <c r="AC7" s="1185">
        <v>5</v>
      </c>
      <c r="AD7" s="1186"/>
      <c r="AE7" s="1177">
        <v>266</v>
      </c>
      <c r="AF7" s="1179"/>
      <c r="AG7" s="1180">
        <v>144</v>
      </c>
      <c r="AH7" s="1182"/>
      <c r="AI7" s="1177">
        <v>410</v>
      </c>
      <c r="AJ7" s="1179"/>
      <c r="AK7" s="1185">
        <v>27</v>
      </c>
      <c r="AL7" s="1186"/>
      <c r="AM7" s="1185">
        <v>1462</v>
      </c>
      <c r="AN7" s="1186"/>
      <c r="AO7" s="1185">
        <v>786</v>
      </c>
      <c r="AP7" s="1187"/>
      <c r="AQ7" s="1187"/>
      <c r="AR7" s="1186"/>
      <c r="AS7" s="1185">
        <v>2248</v>
      </c>
      <c r="AT7" s="1187"/>
      <c r="AU7" s="1186"/>
      <c r="AV7" s="165">
        <v>0</v>
      </c>
      <c r="AW7" s="1177">
        <v>0</v>
      </c>
      <c r="AX7" s="1179"/>
      <c r="AY7" s="1180">
        <v>0</v>
      </c>
      <c r="AZ7" s="1182"/>
      <c r="BA7" s="120">
        <v>0</v>
      </c>
      <c r="BB7" s="1185">
        <v>0</v>
      </c>
      <c r="BC7" s="1186"/>
      <c r="BD7" s="1185">
        <v>0</v>
      </c>
      <c r="BE7" s="1186"/>
      <c r="BF7" s="1185">
        <v>0</v>
      </c>
      <c r="BG7" s="1187"/>
      <c r="BH7" s="1186"/>
      <c r="BI7" s="1867">
        <v>0</v>
      </c>
      <c r="BJ7" s="1869"/>
      <c r="BK7" s="1180">
        <v>0</v>
      </c>
      <c r="BL7" s="1182"/>
      <c r="BM7" s="1180">
        <v>0</v>
      </c>
      <c r="BN7" s="1181"/>
      <c r="BO7" s="1181"/>
      <c r="BP7" s="1182"/>
      <c r="BQ7" s="120">
        <v>0</v>
      </c>
      <c r="BR7" s="1185">
        <v>0</v>
      </c>
      <c r="BS7" s="1186"/>
      <c r="BT7" s="1185">
        <v>0</v>
      </c>
      <c r="BU7" s="1186"/>
      <c r="BV7" s="1185">
        <v>0</v>
      </c>
      <c r="BW7" s="1187"/>
      <c r="BX7" s="1186"/>
      <c r="BY7" s="1867">
        <v>0</v>
      </c>
      <c r="BZ7" s="1869"/>
      <c r="CA7" s="1870">
        <v>0</v>
      </c>
      <c r="CB7" s="1871"/>
      <c r="CC7" s="1872"/>
      <c r="CD7" s="1185">
        <v>27</v>
      </c>
      <c r="CE7" s="1187"/>
      <c r="CF7" s="1186"/>
      <c r="CG7" s="1180">
        <v>1462</v>
      </c>
      <c r="CH7" s="1181"/>
      <c r="CI7" s="1182"/>
      <c r="CJ7" s="1177">
        <v>786</v>
      </c>
      <c r="CK7" s="1178"/>
      <c r="CL7" s="1179"/>
      <c r="CM7" s="1185">
        <v>2248</v>
      </c>
      <c r="CN7" s="1187"/>
      <c r="CO7" s="1186"/>
      <c r="CP7" s="1185">
        <v>14</v>
      </c>
      <c r="CQ7" s="1187"/>
      <c r="CR7" s="1186"/>
      <c r="CS7" s="1185">
        <v>48</v>
      </c>
      <c r="CT7" s="1187"/>
      <c r="CU7" s="1186"/>
      <c r="CV7" s="1180">
        <v>62</v>
      </c>
      <c r="CW7" s="1182"/>
      <c r="CX7" s="1221" t="s">
        <v>35</v>
      </c>
      <c r="CY7" s="1222"/>
      <c r="CZ7" s="1222"/>
      <c r="DA7" s="1223"/>
      <c r="DB7" s="97">
        <f>IF(CM7&lt;1001,30000 * 3,50000*3)</f>
        <v>150000</v>
      </c>
      <c r="DC7" s="51"/>
      <c r="DD7" s="51"/>
      <c r="DE7" s="51"/>
      <c r="DF7" s="51"/>
      <c r="DG7" s="261"/>
    </row>
    <row r="8" spans="1:111" ht="27.75">
      <c r="A8" s="262">
        <v>2</v>
      </c>
      <c r="B8" s="1212" t="s">
        <v>135</v>
      </c>
      <c r="C8" s="1213"/>
      <c r="D8" s="1213"/>
      <c r="E8" s="1213"/>
      <c r="F8" s="1214"/>
      <c r="G8" s="1221" t="s">
        <v>17</v>
      </c>
      <c r="H8" s="1222"/>
      <c r="I8" s="1223"/>
      <c r="J8" s="1185">
        <v>7</v>
      </c>
      <c r="K8" s="1186"/>
      <c r="L8" s="1177">
        <v>5</v>
      </c>
      <c r="M8" s="1179"/>
      <c r="N8" s="1185">
        <v>0</v>
      </c>
      <c r="O8" s="1186"/>
      <c r="P8" s="1180">
        <v>488</v>
      </c>
      <c r="Q8" s="1182"/>
      <c r="R8" s="1177">
        <v>488</v>
      </c>
      <c r="S8" s="1179"/>
      <c r="T8" s="1185">
        <v>5</v>
      </c>
      <c r="U8" s="1186"/>
      <c r="V8" s="1867">
        <v>0</v>
      </c>
      <c r="W8" s="1868"/>
      <c r="X8" s="1869"/>
      <c r="Y8" s="1180">
        <v>443</v>
      </c>
      <c r="Z8" s="1182"/>
      <c r="AA8" s="1177">
        <v>443</v>
      </c>
      <c r="AB8" s="1179"/>
      <c r="AC8" s="1185">
        <v>2</v>
      </c>
      <c r="AD8" s="1186"/>
      <c r="AE8" s="1177">
        <v>0</v>
      </c>
      <c r="AF8" s="1179"/>
      <c r="AG8" s="1180">
        <v>161</v>
      </c>
      <c r="AH8" s="1182"/>
      <c r="AI8" s="1177">
        <v>161</v>
      </c>
      <c r="AJ8" s="1179"/>
      <c r="AK8" s="1185">
        <v>12</v>
      </c>
      <c r="AL8" s="1186"/>
      <c r="AM8" s="1185">
        <v>0</v>
      </c>
      <c r="AN8" s="1186"/>
      <c r="AO8" s="1185">
        <v>1092</v>
      </c>
      <c r="AP8" s="1187"/>
      <c r="AQ8" s="1187"/>
      <c r="AR8" s="1186"/>
      <c r="AS8" s="1185">
        <v>1092</v>
      </c>
      <c r="AT8" s="1187"/>
      <c r="AU8" s="1186"/>
      <c r="AV8" s="165">
        <v>0</v>
      </c>
      <c r="AW8" s="1177">
        <v>0</v>
      </c>
      <c r="AX8" s="1179"/>
      <c r="AY8" s="1180">
        <v>0</v>
      </c>
      <c r="AZ8" s="1182"/>
      <c r="BA8" s="120">
        <v>0</v>
      </c>
      <c r="BB8" s="1185">
        <v>0</v>
      </c>
      <c r="BC8" s="1186"/>
      <c r="BD8" s="1185">
        <v>0</v>
      </c>
      <c r="BE8" s="1186"/>
      <c r="BF8" s="1185">
        <v>0</v>
      </c>
      <c r="BG8" s="1187"/>
      <c r="BH8" s="1186"/>
      <c r="BI8" s="1867">
        <v>0</v>
      </c>
      <c r="BJ8" s="1869"/>
      <c r="BK8" s="1180">
        <v>0</v>
      </c>
      <c r="BL8" s="1182"/>
      <c r="BM8" s="1180">
        <v>0</v>
      </c>
      <c r="BN8" s="1181"/>
      <c r="BO8" s="1181"/>
      <c r="BP8" s="1182"/>
      <c r="BQ8" s="120">
        <v>0</v>
      </c>
      <c r="BR8" s="1185">
        <v>0</v>
      </c>
      <c r="BS8" s="1186"/>
      <c r="BT8" s="1185">
        <v>0</v>
      </c>
      <c r="BU8" s="1186"/>
      <c r="BV8" s="1185">
        <v>0</v>
      </c>
      <c r="BW8" s="1187"/>
      <c r="BX8" s="1186"/>
      <c r="BY8" s="1867">
        <v>0</v>
      </c>
      <c r="BZ8" s="1869"/>
      <c r="CA8" s="1870">
        <v>0</v>
      </c>
      <c r="CB8" s="1871"/>
      <c r="CC8" s="1872"/>
      <c r="CD8" s="1185">
        <v>12</v>
      </c>
      <c r="CE8" s="1187"/>
      <c r="CF8" s="1186"/>
      <c r="CG8" s="1867">
        <v>0</v>
      </c>
      <c r="CH8" s="1868"/>
      <c r="CI8" s="1869"/>
      <c r="CJ8" s="1177">
        <v>1092</v>
      </c>
      <c r="CK8" s="1178"/>
      <c r="CL8" s="1179"/>
      <c r="CM8" s="1185">
        <v>1092</v>
      </c>
      <c r="CN8" s="1187"/>
      <c r="CO8" s="1186"/>
      <c r="CP8" s="1185">
        <v>7</v>
      </c>
      <c r="CQ8" s="1187"/>
      <c r="CR8" s="1186"/>
      <c r="CS8" s="1185">
        <v>30</v>
      </c>
      <c r="CT8" s="1187"/>
      <c r="CU8" s="1186"/>
      <c r="CV8" s="1180">
        <v>37</v>
      </c>
      <c r="CW8" s="1182"/>
      <c r="CX8" s="1221" t="s">
        <v>35</v>
      </c>
      <c r="CY8" s="1222"/>
      <c r="CZ8" s="1222"/>
      <c r="DA8" s="1223"/>
      <c r="DB8" s="97">
        <f t="shared" ref="DB8:DB32" si="0">IF(CM8&lt;1001,30000 * 3,50000*3)</f>
        <v>150000</v>
      </c>
      <c r="DC8" s="51"/>
      <c r="DD8" s="51"/>
      <c r="DE8" s="51"/>
      <c r="DF8" s="51"/>
      <c r="DG8" s="261"/>
    </row>
    <row r="9" spans="1:111" ht="27.75">
      <c r="A9" s="262">
        <v>3</v>
      </c>
      <c r="B9" s="1212" t="s">
        <v>136</v>
      </c>
      <c r="C9" s="1213"/>
      <c r="D9" s="1213"/>
      <c r="E9" s="1213"/>
      <c r="F9" s="1214"/>
      <c r="G9" s="1221" t="s">
        <v>17</v>
      </c>
      <c r="H9" s="1222"/>
      <c r="I9" s="1223"/>
      <c r="J9" s="1185">
        <v>9</v>
      </c>
      <c r="K9" s="1186"/>
      <c r="L9" s="1177">
        <v>13</v>
      </c>
      <c r="M9" s="1179"/>
      <c r="N9" s="1185">
        <v>375</v>
      </c>
      <c r="O9" s="1186"/>
      <c r="P9" s="1180">
        <v>347</v>
      </c>
      <c r="Q9" s="1182"/>
      <c r="R9" s="1177">
        <v>722</v>
      </c>
      <c r="S9" s="1179"/>
      <c r="T9" s="1185">
        <v>11</v>
      </c>
      <c r="U9" s="1186"/>
      <c r="V9" s="1180">
        <v>355</v>
      </c>
      <c r="W9" s="1181"/>
      <c r="X9" s="1182"/>
      <c r="Y9" s="1180">
        <v>287</v>
      </c>
      <c r="Z9" s="1182"/>
      <c r="AA9" s="1177">
        <v>642</v>
      </c>
      <c r="AB9" s="1179"/>
      <c r="AC9" s="1185">
        <v>2</v>
      </c>
      <c r="AD9" s="1186"/>
      <c r="AE9" s="1177">
        <v>60</v>
      </c>
      <c r="AF9" s="1179"/>
      <c r="AG9" s="1180">
        <v>58</v>
      </c>
      <c r="AH9" s="1182"/>
      <c r="AI9" s="1177">
        <v>118</v>
      </c>
      <c r="AJ9" s="1179"/>
      <c r="AK9" s="1185">
        <v>26</v>
      </c>
      <c r="AL9" s="1186"/>
      <c r="AM9" s="1185">
        <v>790</v>
      </c>
      <c r="AN9" s="1186"/>
      <c r="AO9" s="1185">
        <v>692</v>
      </c>
      <c r="AP9" s="1187"/>
      <c r="AQ9" s="1187"/>
      <c r="AR9" s="1186"/>
      <c r="AS9" s="1185">
        <v>1482</v>
      </c>
      <c r="AT9" s="1187"/>
      <c r="AU9" s="1186"/>
      <c r="AV9" s="165">
        <v>0</v>
      </c>
      <c r="AW9" s="1177">
        <v>0</v>
      </c>
      <c r="AX9" s="1179"/>
      <c r="AY9" s="1180">
        <v>0</v>
      </c>
      <c r="AZ9" s="1182"/>
      <c r="BA9" s="120">
        <v>0</v>
      </c>
      <c r="BB9" s="1185">
        <v>0</v>
      </c>
      <c r="BC9" s="1186"/>
      <c r="BD9" s="1185">
        <v>0</v>
      </c>
      <c r="BE9" s="1186"/>
      <c r="BF9" s="1185">
        <v>0</v>
      </c>
      <c r="BG9" s="1187"/>
      <c r="BH9" s="1186"/>
      <c r="BI9" s="1867">
        <v>0</v>
      </c>
      <c r="BJ9" s="1869"/>
      <c r="BK9" s="1180">
        <v>0</v>
      </c>
      <c r="BL9" s="1182"/>
      <c r="BM9" s="1180">
        <v>0</v>
      </c>
      <c r="BN9" s="1181"/>
      <c r="BO9" s="1181"/>
      <c r="BP9" s="1182"/>
      <c r="BQ9" s="120">
        <v>0</v>
      </c>
      <c r="BR9" s="1185">
        <v>0</v>
      </c>
      <c r="BS9" s="1186"/>
      <c r="BT9" s="1185">
        <v>0</v>
      </c>
      <c r="BU9" s="1186"/>
      <c r="BV9" s="1185">
        <v>0</v>
      </c>
      <c r="BW9" s="1187"/>
      <c r="BX9" s="1186"/>
      <c r="BY9" s="1867">
        <v>0</v>
      </c>
      <c r="BZ9" s="1869"/>
      <c r="CA9" s="1870">
        <v>0</v>
      </c>
      <c r="CB9" s="1871"/>
      <c r="CC9" s="1872"/>
      <c r="CD9" s="1185">
        <v>26</v>
      </c>
      <c r="CE9" s="1187"/>
      <c r="CF9" s="1186"/>
      <c r="CG9" s="1180">
        <v>790</v>
      </c>
      <c r="CH9" s="1181"/>
      <c r="CI9" s="1182"/>
      <c r="CJ9" s="1177">
        <v>692</v>
      </c>
      <c r="CK9" s="1178"/>
      <c r="CL9" s="1179"/>
      <c r="CM9" s="1185">
        <v>1482</v>
      </c>
      <c r="CN9" s="1187"/>
      <c r="CO9" s="1186"/>
      <c r="CP9" s="1185">
        <v>11</v>
      </c>
      <c r="CQ9" s="1187"/>
      <c r="CR9" s="1186"/>
      <c r="CS9" s="1185">
        <v>29</v>
      </c>
      <c r="CT9" s="1187"/>
      <c r="CU9" s="1186"/>
      <c r="CV9" s="1180">
        <v>40</v>
      </c>
      <c r="CW9" s="1182"/>
      <c r="CX9" s="1221" t="s">
        <v>35</v>
      </c>
      <c r="CY9" s="1222"/>
      <c r="CZ9" s="1222"/>
      <c r="DA9" s="1223"/>
      <c r="DB9" s="97">
        <f t="shared" si="0"/>
        <v>150000</v>
      </c>
      <c r="DC9" s="51"/>
      <c r="DD9" s="51"/>
      <c r="DE9" s="51"/>
      <c r="DF9" s="51"/>
      <c r="DG9" s="261"/>
    </row>
    <row r="10" spans="1:111" ht="27.75">
      <c r="A10" s="262">
        <v>4</v>
      </c>
      <c r="B10" s="1212" t="s">
        <v>137</v>
      </c>
      <c r="C10" s="1213"/>
      <c r="D10" s="1213"/>
      <c r="E10" s="1213"/>
      <c r="F10" s="1214"/>
      <c r="G10" s="1221" t="s">
        <v>17</v>
      </c>
      <c r="H10" s="1222"/>
      <c r="I10" s="1223"/>
      <c r="J10" s="1185">
        <v>8</v>
      </c>
      <c r="K10" s="1186"/>
      <c r="L10" s="1177">
        <v>3</v>
      </c>
      <c r="M10" s="1179"/>
      <c r="N10" s="1185">
        <v>123</v>
      </c>
      <c r="O10" s="1186"/>
      <c r="P10" s="1180">
        <v>128</v>
      </c>
      <c r="Q10" s="1182"/>
      <c r="R10" s="1177">
        <v>251</v>
      </c>
      <c r="S10" s="1179"/>
      <c r="T10" s="1185">
        <v>3</v>
      </c>
      <c r="U10" s="1186"/>
      <c r="V10" s="1180">
        <v>124</v>
      </c>
      <c r="W10" s="1181"/>
      <c r="X10" s="1182"/>
      <c r="Y10" s="1180">
        <v>102</v>
      </c>
      <c r="Z10" s="1182"/>
      <c r="AA10" s="1177">
        <v>226</v>
      </c>
      <c r="AB10" s="1179"/>
      <c r="AC10" s="1185">
        <v>2</v>
      </c>
      <c r="AD10" s="1186"/>
      <c r="AE10" s="1177">
        <v>49</v>
      </c>
      <c r="AF10" s="1179"/>
      <c r="AG10" s="1180">
        <v>87</v>
      </c>
      <c r="AH10" s="1182"/>
      <c r="AI10" s="1177">
        <v>136</v>
      </c>
      <c r="AJ10" s="1179"/>
      <c r="AK10" s="1185">
        <v>8</v>
      </c>
      <c r="AL10" s="1186"/>
      <c r="AM10" s="1185">
        <v>296</v>
      </c>
      <c r="AN10" s="1186"/>
      <c r="AO10" s="1185">
        <v>317</v>
      </c>
      <c r="AP10" s="1187"/>
      <c r="AQ10" s="1187"/>
      <c r="AR10" s="1186"/>
      <c r="AS10" s="1185">
        <v>613</v>
      </c>
      <c r="AT10" s="1187"/>
      <c r="AU10" s="1186"/>
      <c r="AV10" s="165">
        <v>0</v>
      </c>
      <c r="AW10" s="1177">
        <v>0</v>
      </c>
      <c r="AX10" s="1179"/>
      <c r="AY10" s="1180">
        <v>0</v>
      </c>
      <c r="AZ10" s="1182"/>
      <c r="BA10" s="120">
        <v>0</v>
      </c>
      <c r="BB10" s="1185">
        <v>0</v>
      </c>
      <c r="BC10" s="1186"/>
      <c r="BD10" s="1185">
        <v>0</v>
      </c>
      <c r="BE10" s="1186"/>
      <c r="BF10" s="1185">
        <v>0</v>
      </c>
      <c r="BG10" s="1187"/>
      <c r="BH10" s="1186"/>
      <c r="BI10" s="1867">
        <v>0</v>
      </c>
      <c r="BJ10" s="1869"/>
      <c r="BK10" s="1180">
        <v>0</v>
      </c>
      <c r="BL10" s="1182"/>
      <c r="BM10" s="1180">
        <v>0</v>
      </c>
      <c r="BN10" s="1181"/>
      <c r="BO10" s="1181"/>
      <c r="BP10" s="1182"/>
      <c r="BQ10" s="120">
        <v>0</v>
      </c>
      <c r="BR10" s="1185">
        <v>0</v>
      </c>
      <c r="BS10" s="1186"/>
      <c r="BT10" s="1185">
        <v>0</v>
      </c>
      <c r="BU10" s="1186"/>
      <c r="BV10" s="1185">
        <v>0</v>
      </c>
      <c r="BW10" s="1187"/>
      <c r="BX10" s="1186"/>
      <c r="BY10" s="1867">
        <v>0</v>
      </c>
      <c r="BZ10" s="1869"/>
      <c r="CA10" s="1870">
        <v>0</v>
      </c>
      <c r="CB10" s="1871"/>
      <c r="CC10" s="1872"/>
      <c r="CD10" s="1185">
        <v>8</v>
      </c>
      <c r="CE10" s="1187"/>
      <c r="CF10" s="1186"/>
      <c r="CG10" s="1180">
        <v>296</v>
      </c>
      <c r="CH10" s="1181"/>
      <c r="CI10" s="1182"/>
      <c r="CJ10" s="1177">
        <v>317</v>
      </c>
      <c r="CK10" s="1178"/>
      <c r="CL10" s="1179"/>
      <c r="CM10" s="1185">
        <v>613</v>
      </c>
      <c r="CN10" s="1187"/>
      <c r="CO10" s="1186"/>
      <c r="CP10" s="1185">
        <v>6</v>
      </c>
      <c r="CQ10" s="1187"/>
      <c r="CR10" s="1186"/>
      <c r="CS10" s="1185">
        <v>24</v>
      </c>
      <c r="CT10" s="1187"/>
      <c r="CU10" s="1186"/>
      <c r="CV10" s="1180">
        <v>30</v>
      </c>
      <c r="CW10" s="1182"/>
      <c r="CX10" s="1221" t="s">
        <v>35</v>
      </c>
      <c r="CY10" s="1222"/>
      <c r="CZ10" s="1222"/>
      <c r="DA10" s="1223"/>
      <c r="DB10" s="97">
        <f t="shared" si="0"/>
        <v>90000</v>
      </c>
      <c r="DC10" s="51"/>
      <c r="DD10" s="51"/>
      <c r="DE10" s="51"/>
      <c r="DF10" s="51"/>
      <c r="DG10" s="261"/>
    </row>
    <row r="11" spans="1:111" ht="33" customHeight="1">
      <c r="A11" s="262">
        <v>5</v>
      </c>
      <c r="B11" s="1224" t="s">
        <v>138</v>
      </c>
      <c r="C11" s="1229"/>
      <c r="D11" s="1229"/>
      <c r="E11" s="1229"/>
      <c r="F11" s="1225"/>
      <c r="G11" s="1221" t="s">
        <v>17</v>
      </c>
      <c r="H11" s="1222"/>
      <c r="I11" s="1223"/>
      <c r="J11" s="1185">
        <v>6</v>
      </c>
      <c r="K11" s="1186"/>
      <c r="L11" s="1177">
        <v>10</v>
      </c>
      <c r="M11" s="1179"/>
      <c r="N11" s="1185">
        <v>576</v>
      </c>
      <c r="O11" s="1186"/>
      <c r="P11" s="1180">
        <v>405</v>
      </c>
      <c r="Q11" s="1182"/>
      <c r="R11" s="1177">
        <v>981</v>
      </c>
      <c r="S11" s="1179"/>
      <c r="T11" s="1185">
        <v>8</v>
      </c>
      <c r="U11" s="1186"/>
      <c r="V11" s="1180">
        <v>406</v>
      </c>
      <c r="W11" s="1181"/>
      <c r="X11" s="1182"/>
      <c r="Y11" s="1180">
        <v>304</v>
      </c>
      <c r="Z11" s="1182"/>
      <c r="AA11" s="1177">
        <v>710</v>
      </c>
      <c r="AB11" s="1179"/>
      <c r="AC11" s="1185">
        <v>6</v>
      </c>
      <c r="AD11" s="1186"/>
      <c r="AE11" s="1177">
        <v>229</v>
      </c>
      <c r="AF11" s="1179"/>
      <c r="AG11" s="1180">
        <v>158</v>
      </c>
      <c r="AH11" s="1182"/>
      <c r="AI11" s="1177">
        <v>387</v>
      </c>
      <c r="AJ11" s="1179"/>
      <c r="AK11" s="1185">
        <v>24</v>
      </c>
      <c r="AL11" s="1186"/>
      <c r="AM11" s="1185">
        <v>1211</v>
      </c>
      <c r="AN11" s="1186"/>
      <c r="AO11" s="1185">
        <v>867</v>
      </c>
      <c r="AP11" s="1187"/>
      <c r="AQ11" s="1187"/>
      <c r="AR11" s="1186"/>
      <c r="AS11" s="1185">
        <v>2078</v>
      </c>
      <c r="AT11" s="1187"/>
      <c r="AU11" s="1186"/>
      <c r="AV11" s="165">
        <v>0</v>
      </c>
      <c r="AW11" s="1177">
        <v>0</v>
      </c>
      <c r="AX11" s="1179"/>
      <c r="AY11" s="1180">
        <v>0</v>
      </c>
      <c r="AZ11" s="1182"/>
      <c r="BA11" s="120">
        <v>0</v>
      </c>
      <c r="BB11" s="1185">
        <v>0</v>
      </c>
      <c r="BC11" s="1186"/>
      <c r="BD11" s="1185">
        <v>0</v>
      </c>
      <c r="BE11" s="1186"/>
      <c r="BF11" s="1185">
        <v>0</v>
      </c>
      <c r="BG11" s="1187"/>
      <c r="BH11" s="1186"/>
      <c r="BI11" s="1867">
        <v>0</v>
      </c>
      <c r="BJ11" s="1869"/>
      <c r="BK11" s="1180">
        <v>0</v>
      </c>
      <c r="BL11" s="1182"/>
      <c r="BM11" s="1180">
        <v>0</v>
      </c>
      <c r="BN11" s="1181"/>
      <c r="BO11" s="1181"/>
      <c r="BP11" s="1182"/>
      <c r="BQ11" s="120">
        <v>0</v>
      </c>
      <c r="BR11" s="1185">
        <v>0</v>
      </c>
      <c r="BS11" s="1186"/>
      <c r="BT11" s="1185">
        <v>0</v>
      </c>
      <c r="BU11" s="1186"/>
      <c r="BV11" s="1185">
        <v>0</v>
      </c>
      <c r="BW11" s="1187"/>
      <c r="BX11" s="1186"/>
      <c r="BY11" s="1867">
        <v>0</v>
      </c>
      <c r="BZ11" s="1869"/>
      <c r="CA11" s="1870">
        <v>0</v>
      </c>
      <c r="CB11" s="1871"/>
      <c r="CC11" s="1872"/>
      <c r="CD11" s="1185">
        <v>24</v>
      </c>
      <c r="CE11" s="1187"/>
      <c r="CF11" s="1186"/>
      <c r="CG11" s="1180">
        <v>1211</v>
      </c>
      <c r="CH11" s="1181"/>
      <c r="CI11" s="1182"/>
      <c r="CJ11" s="1177">
        <v>867</v>
      </c>
      <c r="CK11" s="1178"/>
      <c r="CL11" s="1179"/>
      <c r="CM11" s="1185">
        <v>2078</v>
      </c>
      <c r="CN11" s="1187"/>
      <c r="CO11" s="1186"/>
      <c r="CP11" s="1185">
        <v>15</v>
      </c>
      <c r="CQ11" s="1187"/>
      <c r="CR11" s="1186"/>
      <c r="CS11" s="1185">
        <v>27</v>
      </c>
      <c r="CT11" s="1187"/>
      <c r="CU11" s="1186"/>
      <c r="CV11" s="1180">
        <v>42</v>
      </c>
      <c r="CW11" s="1182"/>
      <c r="CX11" s="1221" t="s">
        <v>35</v>
      </c>
      <c r="CY11" s="1222"/>
      <c r="CZ11" s="1222"/>
      <c r="DA11" s="1223"/>
      <c r="DB11" s="97">
        <f t="shared" si="0"/>
        <v>150000</v>
      </c>
      <c r="DC11" s="51"/>
      <c r="DD11" s="51"/>
      <c r="DE11" s="51"/>
      <c r="DF11" s="51"/>
      <c r="DG11" s="261"/>
    </row>
    <row r="12" spans="1:111" ht="27.75">
      <c r="A12" s="262">
        <v>6</v>
      </c>
      <c r="B12" s="1212" t="s">
        <v>139</v>
      </c>
      <c r="C12" s="1213"/>
      <c r="D12" s="1213"/>
      <c r="E12" s="1213"/>
      <c r="F12" s="1214"/>
      <c r="G12" s="1221" t="s">
        <v>17</v>
      </c>
      <c r="H12" s="1222"/>
      <c r="I12" s="1223"/>
      <c r="J12" s="1185">
        <v>7</v>
      </c>
      <c r="K12" s="1186"/>
      <c r="L12" s="1177">
        <v>8</v>
      </c>
      <c r="M12" s="1179"/>
      <c r="N12" s="1185">
        <v>647</v>
      </c>
      <c r="O12" s="1186"/>
      <c r="P12" s="1867">
        <v>0</v>
      </c>
      <c r="Q12" s="1869"/>
      <c r="R12" s="1177">
        <v>647</v>
      </c>
      <c r="S12" s="1179"/>
      <c r="T12" s="1185">
        <v>8</v>
      </c>
      <c r="U12" s="1186"/>
      <c r="V12" s="1180">
        <v>556</v>
      </c>
      <c r="W12" s="1181"/>
      <c r="X12" s="1182"/>
      <c r="Y12" s="1867">
        <v>0</v>
      </c>
      <c r="Z12" s="1869"/>
      <c r="AA12" s="1177">
        <v>556</v>
      </c>
      <c r="AB12" s="1179"/>
      <c r="AC12" s="1185">
        <v>5</v>
      </c>
      <c r="AD12" s="1186"/>
      <c r="AE12" s="1177">
        <v>448</v>
      </c>
      <c r="AF12" s="1179"/>
      <c r="AG12" s="1180">
        <v>0</v>
      </c>
      <c r="AH12" s="1182"/>
      <c r="AI12" s="1177">
        <v>448</v>
      </c>
      <c r="AJ12" s="1179"/>
      <c r="AK12" s="1185">
        <v>21</v>
      </c>
      <c r="AL12" s="1186"/>
      <c r="AM12" s="1185">
        <v>1651</v>
      </c>
      <c r="AN12" s="1186"/>
      <c r="AO12" s="1185">
        <v>0</v>
      </c>
      <c r="AP12" s="1187"/>
      <c r="AQ12" s="1187"/>
      <c r="AR12" s="1186"/>
      <c r="AS12" s="1185">
        <v>1651</v>
      </c>
      <c r="AT12" s="1187"/>
      <c r="AU12" s="1186"/>
      <c r="AV12" s="165">
        <v>0</v>
      </c>
      <c r="AW12" s="1177">
        <v>0</v>
      </c>
      <c r="AX12" s="1179"/>
      <c r="AY12" s="1180">
        <v>0</v>
      </c>
      <c r="AZ12" s="1182"/>
      <c r="BA12" s="120">
        <v>0</v>
      </c>
      <c r="BB12" s="1185">
        <v>0</v>
      </c>
      <c r="BC12" s="1186"/>
      <c r="BD12" s="1185">
        <v>0</v>
      </c>
      <c r="BE12" s="1186"/>
      <c r="BF12" s="1185">
        <v>0</v>
      </c>
      <c r="BG12" s="1187"/>
      <c r="BH12" s="1186"/>
      <c r="BI12" s="1867">
        <v>0</v>
      </c>
      <c r="BJ12" s="1869"/>
      <c r="BK12" s="1180">
        <v>0</v>
      </c>
      <c r="BL12" s="1182"/>
      <c r="BM12" s="1180">
        <v>0</v>
      </c>
      <c r="BN12" s="1181"/>
      <c r="BO12" s="1181"/>
      <c r="BP12" s="1182"/>
      <c r="BQ12" s="120">
        <v>0</v>
      </c>
      <c r="BR12" s="1185">
        <v>0</v>
      </c>
      <c r="BS12" s="1186"/>
      <c r="BT12" s="1185">
        <v>0</v>
      </c>
      <c r="BU12" s="1186"/>
      <c r="BV12" s="1185">
        <v>0</v>
      </c>
      <c r="BW12" s="1187"/>
      <c r="BX12" s="1186"/>
      <c r="BY12" s="1867">
        <v>0</v>
      </c>
      <c r="BZ12" s="1869"/>
      <c r="CA12" s="1870">
        <v>0</v>
      </c>
      <c r="CB12" s="1871"/>
      <c r="CC12" s="1872"/>
      <c r="CD12" s="1185">
        <v>21</v>
      </c>
      <c r="CE12" s="1187"/>
      <c r="CF12" s="1186"/>
      <c r="CG12" s="1180">
        <v>1651</v>
      </c>
      <c r="CH12" s="1181"/>
      <c r="CI12" s="1182"/>
      <c r="CJ12" s="1870">
        <v>0</v>
      </c>
      <c r="CK12" s="1871"/>
      <c r="CL12" s="1872"/>
      <c r="CM12" s="1185">
        <v>1651</v>
      </c>
      <c r="CN12" s="1187"/>
      <c r="CO12" s="1186"/>
      <c r="CP12" s="1185">
        <v>9</v>
      </c>
      <c r="CQ12" s="1187"/>
      <c r="CR12" s="1186"/>
      <c r="CS12" s="1185">
        <v>36</v>
      </c>
      <c r="CT12" s="1187"/>
      <c r="CU12" s="1186"/>
      <c r="CV12" s="1180">
        <v>45</v>
      </c>
      <c r="CW12" s="1182"/>
      <c r="CX12" s="1221" t="s">
        <v>35</v>
      </c>
      <c r="CY12" s="1222"/>
      <c r="CZ12" s="1222"/>
      <c r="DA12" s="1223"/>
      <c r="DB12" s="97">
        <f t="shared" si="0"/>
        <v>150000</v>
      </c>
      <c r="DC12" s="51"/>
      <c r="DD12" s="51"/>
      <c r="DE12" s="51"/>
      <c r="DF12" s="51"/>
      <c r="DG12" s="261"/>
    </row>
    <row r="13" spans="1:111" ht="29.25" customHeight="1">
      <c r="A13" s="262">
        <v>7</v>
      </c>
      <c r="B13" s="1212" t="s">
        <v>140</v>
      </c>
      <c r="C13" s="1213"/>
      <c r="D13" s="1213"/>
      <c r="E13" s="1213"/>
      <c r="F13" s="1214"/>
      <c r="G13" s="1221" t="s">
        <v>17</v>
      </c>
      <c r="H13" s="1222"/>
      <c r="I13" s="1223"/>
      <c r="J13" s="1185">
        <v>9</v>
      </c>
      <c r="K13" s="1186"/>
      <c r="L13" s="1177">
        <v>3</v>
      </c>
      <c r="M13" s="1179"/>
      <c r="N13" s="1185">
        <v>69</v>
      </c>
      <c r="O13" s="1186"/>
      <c r="P13" s="1180">
        <v>66</v>
      </c>
      <c r="Q13" s="1182"/>
      <c r="R13" s="1177">
        <v>135</v>
      </c>
      <c r="S13" s="1179"/>
      <c r="T13" s="1185">
        <v>3</v>
      </c>
      <c r="U13" s="1186"/>
      <c r="V13" s="1180">
        <v>72</v>
      </c>
      <c r="W13" s="1181"/>
      <c r="X13" s="1182"/>
      <c r="Y13" s="1180">
        <v>61</v>
      </c>
      <c r="Z13" s="1182"/>
      <c r="AA13" s="1177">
        <v>133</v>
      </c>
      <c r="AB13" s="1179"/>
      <c r="AC13" s="1185">
        <v>3</v>
      </c>
      <c r="AD13" s="1186"/>
      <c r="AE13" s="1177">
        <v>40</v>
      </c>
      <c r="AF13" s="1179"/>
      <c r="AG13" s="1180">
        <v>28</v>
      </c>
      <c r="AH13" s="1182"/>
      <c r="AI13" s="1177">
        <v>68</v>
      </c>
      <c r="AJ13" s="1179"/>
      <c r="AK13" s="1185">
        <v>9</v>
      </c>
      <c r="AL13" s="1186"/>
      <c r="AM13" s="1185">
        <v>181</v>
      </c>
      <c r="AN13" s="1186"/>
      <c r="AO13" s="1185">
        <v>155</v>
      </c>
      <c r="AP13" s="1187"/>
      <c r="AQ13" s="1187"/>
      <c r="AR13" s="1186"/>
      <c r="AS13" s="1185">
        <v>336</v>
      </c>
      <c r="AT13" s="1187"/>
      <c r="AU13" s="1186"/>
      <c r="AV13" s="165">
        <v>0</v>
      </c>
      <c r="AW13" s="1177">
        <v>0</v>
      </c>
      <c r="AX13" s="1179"/>
      <c r="AY13" s="1180">
        <v>0</v>
      </c>
      <c r="AZ13" s="1182"/>
      <c r="BA13" s="120">
        <v>0</v>
      </c>
      <c r="BB13" s="1185">
        <v>0</v>
      </c>
      <c r="BC13" s="1186"/>
      <c r="BD13" s="1185">
        <v>0</v>
      </c>
      <c r="BE13" s="1186"/>
      <c r="BF13" s="1185">
        <v>0</v>
      </c>
      <c r="BG13" s="1187"/>
      <c r="BH13" s="1186"/>
      <c r="BI13" s="1867">
        <v>0</v>
      </c>
      <c r="BJ13" s="1869"/>
      <c r="BK13" s="1180">
        <v>0</v>
      </c>
      <c r="BL13" s="1182"/>
      <c r="BM13" s="1180">
        <v>0</v>
      </c>
      <c r="BN13" s="1181"/>
      <c r="BO13" s="1181"/>
      <c r="BP13" s="1182"/>
      <c r="BQ13" s="120">
        <v>0</v>
      </c>
      <c r="BR13" s="1185">
        <v>0</v>
      </c>
      <c r="BS13" s="1186"/>
      <c r="BT13" s="1185">
        <v>0</v>
      </c>
      <c r="BU13" s="1186"/>
      <c r="BV13" s="1185">
        <v>0</v>
      </c>
      <c r="BW13" s="1187"/>
      <c r="BX13" s="1186"/>
      <c r="BY13" s="1867">
        <v>0</v>
      </c>
      <c r="BZ13" s="1869"/>
      <c r="CA13" s="1870">
        <v>0</v>
      </c>
      <c r="CB13" s="1871"/>
      <c r="CC13" s="1872"/>
      <c r="CD13" s="1185">
        <v>9</v>
      </c>
      <c r="CE13" s="1187"/>
      <c r="CF13" s="1186"/>
      <c r="CG13" s="1180">
        <v>181</v>
      </c>
      <c r="CH13" s="1181"/>
      <c r="CI13" s="1182"/>
      <c r="CJ13" s="1177">
        <v>155</v>
      </c>
      <c r="CK13" s="1178"/>
      <c r="CL13" s="1179"/>
      <c r="CM13" s="1185">
        <v>336</v>
      </c>
      <c r="CN13" s="1187"/>
      <c r="CO13" s="1186"/>
      <c r="CP13" s="1185">
        <v>5</v>
      </c>
      <c r="CQ13" s="1187"/>
      <c r="CR13" s="1186"/>
      <c r="CS13" s="1185">
        <v>19</v>
      </c>
      <c r="CT13" s="1187"/>
      <c r="CU13" s="1186"/>
      <c r="CV13" s="1180">
        <v>24</v>
      </c>
      <c r="CW13" s="1182"/>
      <c r="CX13" s="1221" t="s">
        <v>35</v>
      </c>
      <c r="CY13" s="1222"/>
      <c r="CZ13" s="1222"/>
      <c r="DA13" s="1223"/>
      <c r="DB13" s="97">
        <f t="shared" si="0"/>
        <v>90000</v>
      </c>
      <c r="DC13" s="51"/>
      <c r="DD13" s="51"/>
      <c r="DE13" s="51"/>
      <c r="DF13" s="51"/>
      <c r="DG13" s="261"/>
    </row>
    <row r="14" spans="1:111" ht="42.75" customHeight="1">
      <c r="A14" s="262">
        <v>8</v>
      </c>
      <c r="B14" s="1224" t="s">
        <v>141</v>
      </c>
      <c r="C14" s="1229"/>
      <c r="D14" s="1229"/>
      <c r="E14" s="1229"/>
      <c r="F14" s="1225"/>
      <c r="G14" s="1221" t="s">
        <v>17</v>
      </c>
      <c r="H14" s="1222"/>
      <c r="I14" s="1223"/>
      <c r="J14" s="1185">
        <v>3</v>
      </c>
      <c r="K14" s="1186"/>
      <c r="L14" s="1177">
        <v>6</v>
      </c>
      <c r="M14" s="1179"/>
      <c r="N14" s="1185">
        <v>218</v>
      </c>
      <c r="O14" s="1186"/>
      <c r="P14" s="1180">
        <v>216</v>
      </c>
      <c r="Q14" s="1182"/>
      <c r="R14" s="1177">
        <v>434</v>
      </c>
      <c r="S14" s="1179"/>
      <c r="T14" s="1185">
        <v>5</v>
      </c>
      <c r="U14" s="1186"/>
      <c r="V14" s="1180">
        <v>143</v>
      </c>
      <c r="W14" s="1181"/>
      <c r="X14" s="1182"/>
      <c r="Y14" s="1180">
        <v>117</v>
      </c>
      <c r="Z14" s="1182"/>
      <c r="AA14" s="1177">
        <v>260</v>
      </c>
      <c r="AB14" s="1179"/>
      <c r="AC14" s="1185">
        <v>2</v>
      </c>
      <c r="AD14" s="1186"/>
      <c r="AE14" s="1177">
        <v>47</v>
      </c>
      <c r="AF14" s="1179"/>
      <c r="AG14" s="1180">
        <v>46</v>
      </c>
      <c r="AH14" s="1182"/>
      <c r="AI14" s="1177">
        <v>93</v>
      </c>
      <c r="AJ14" s="1179"/>
      <c r="AK14" s="1185">
        <v>13</v>
      </c>
      <c r="AL14" s="1186"/>
      <c r="AM14" s="1185">
        <v>408</v>
      </c>
      <c r="AN14" s="1186"/>
      <c r="AO14" s="1185">
        <v>379</v>
      </c>
      <c r="AP14" s="1187"/>
      <c r="AQ14" s="1187"/>
      <c r="AR14" s="1186"/>
      <c r="AS14" s="1185">
        <v>787</v>
      </c>
      <c r="AT14" s="1187"/>
      <c r="AU14" s="1186"/>
      <c r="AV14" s="165">
        <v>0</v>
      </c>
      <c r="AW14" s="1177">
        <v>0</v>
      </c>
      <c r="AX14" s="1179"/>
      <c r="AY14" s="1180">
        <v>0</v>
      </c>
      <c r="AZ14" s="1182"/>
      <c r="BA14" s="120">
        <v>0</v>
      </c>
      <c r="BB14" s="1185">
        <v>0</v>
      </c>
      <c r="BC14" s="1186"/>
      <c r="BD14" s="1185">
        <v>0</v>
      </c>
      <c r="BE14" s="1186"/>
      <c r="BF14" s="1185">
        <v>0</v>
      </c>
      <c r="BG14" s="1187"/>
      <c r="BH14" s="1186"/>
      <c r="BI14" s="1867">
        <v>0</v>
      </c>
      <c r="BJ14" s="1869"/>
      <c r="BK14" s="1180">
        <v>0</v>
      </c>
      <c r="BL14" s="1182"/>
      <c r="BM14" s="1180">
        <v>0</v>
      </c>
      <c r="BN14" s="1181"/>
      <c r="BO14" s="1181"/>
      <c r="BP14" s="1182"/>
      <c r="BQ14" s="120">
        <v>0</v>
      </c>
      <c r="BR14" s="1185">
        <v>0</v>
      </c>
      <c r="BS14" s="1186"/>
      <c r="BT14" s="1185">
        <v>0</v>
      </c>
      <c r="BU14" s="1186"/>
      <c r="BV14" s="1185">
        <v>0</v>
      </c>
      <c r="BW14" s="1187"/>
      <c r="BX14" s="1186"/>
      <c r="BY14" s="1867">
        <v>0</v>
      </c>
      <c r="BZ14" s="1869"/>
      <c r="CA14" s="1870">
        <v>0</v>
      </c>
      <c r="CB14" s="1871"/>
      <c r="CC14" s="1872"/>
      <c r="CD14" s="1185">
        <v>13</v>
      </c>
      <c r="CE14" s="1187"/>
      <c r="CF14" s="1186"/>
      <c r="CG14" s="1180">
        <v>408</v>
      </c>
      <c r="CH14" s="1181"/>
      <c r="CI14" s="1182"/>
      <c r="CJ14" s="1177">
        <v>379</v>
      </c>
      <c r="CK14" s="1178"/>
      <c r="CL14" s="1179"/>
      <c r="CM14" s="1185">
        <v>787</v>
      </c>
      <c r="CN14" s="1187"/>
      <c r="CO14" s="1186"/>
      <c r="CP14" s="1185">
        <v>8</v>
      </c>
      <c r="CQ14" s="1187"/>
      <c r="CR14" s="1186"/>
      <c r="CS14" s="1185">
        <v>24</v>
      </c>
      <c r="CT14" s="1187"/>
      <c r="CU14" s="1186"/>
      <c r="CV14" s="1180">
        <v>32</v>
      </c>
      <c r="CW14" s="1182"/>
      <c r="CX14" s="1221" t="s">
        <v>35</v>
      </c>
      <c r="CY14" s="1222"/>
      <c r="CZ14" s="1222"/>
      <c r="DA14" s="1223"/>
      <c r="DB14" s="97">
        <f t="shared" si="0"/>
        <v>90000</v>
      </c>
      <c r="DC14" s="51"/>
      <c r="DD14" s="51"/>
      <c r="DE14" s="51"/>
      <c r="DF14" s="51"/>
      <c r="DG14" s="261"/>
    </row>
    <row r="15" spans="1:111" ht="27.75">
      <c r="A15" s="262">
        <v>9</v>
      </c>
      <c r="B15" s="1212" t="s">
        <v>142</v>
      </c>
      <c r="C15" s="1213"/>
      <c r="D15" s="1213"/>
      <c r="E15" s="1213"/>
      <c r="F15" s="1214"/>
      <c r="G15" s="1221" t="s">
        <v>17</v>
      </c>
      <c r="H15" s="1222"/>
      <c r="I15" s="1223"/>
      <c r="J15" s="1185">
        <v>6</v>
      </c>
      <c r="K15" s="1186"/>
      <c r="L15" s="1177">
        <v>8</v>
      </c>
      <c r="M15" s="1179"/>
      <c r="N15" s="1185">
        <v>281</v>
      </c>
      <c r="O15" s="1186"/>
      <c r="P15" s="1180">
        <v>208</v>
      </c>
      <c r="Q15" s="1182"/>
      <c r="R15" s="1177">
        <v>489</v>
      </c>
      <c r="S15" s="1179"/>
      <c r="T15" s="1185">
        <v>8</v>
      </c>
      <c r="U15" s="1186"/>
      <c r="V15" s="1180">
        <v>228</v>
      </c>
      <c r="W15" s="1181"/>
      <c r="X15" s="1182"/>
      <c r="Y15" s="1180">
        <v>219</v>
      </c>
      <c r="Z15" s="1182"/>
      <c r="AA15" s="1177">
        <v>447</v>
      </c>
      <c r="AB15" s="1179"/>
      <c r="AC15" s="1185">
        <v>6</v>
      </c>
      <c r="AD15" s="1186"/>
      <c r="AE15" s="1177">
        <v>107</v>
      </c>
      <c r="AF15" s="1179"/>
      <c r="AG15" s="1180">
        <v>133</v>
      </c>
      <c r="AH15" s="1182"/>
      <c r="AI15" s="1177">
        <v>240</v>
      </c>
      <c r="AJ15" s="1179"/>
      <c r="AK15" s="1185">
        <v>22</v>
      </c>
      <c r="AL15" s="1186"/>
      <c r="AM15" s="1185">
        <v>616</v>
      </c>
      <c r="AN15" s="1186"/>
      <c r="AO15" s="1185">
        <v>560</v>
      </c>
      <c r="AP15" s="1187"/>
      <c r="AQ15" s="1187"/>
      <c r="AR15" s="1186"/>
      <c r="AS15" s="1185">
        <v>1176</v>
      </c>
      <c r="AT15" s="1187"/>
      <c r="AU15" s="1186"/>
      <c r="AV15" s="165">
        <v>0</v>
      </c>
      <c r="AW15" s="1177">
        <v>0</v>
      </c>
      <c r="AX15" s="1179"/>
      <c r="AY15" s="1180">
        <v>0</v>
      </c>
      <c r="AZ15" s="1182"/>
      <c r="BA15" s="120">
        <v>0</v>
      </c>
      <c r="BB15" s="1185">
        <v>0</v>
      </c>
      <c r="BC15" s="1186"/>
      <c r="BD15" s="1185">
        <v>0</v>
      </c>
      <c r="BE15" s="1186"/>
      <c r="BF15" s="1185">
        <v>0</v>
      </c>
      <c r="BG15" s="1187"/>
      <c r="BH15" s="1186"/>
      <c r="BI15" s="1867">
        <v>0</v>
      </c>
      <c r="BJ15" s="1869"/>
      <c r="BK15" s="1180">
        <v>0</v>
      </c>
      <c r="BL15" s="1182"/>
      <c r="BM15" s="1180">
        <v>0</v>
      </c>
      <c r="BN15" s="1181"/>
      <c r="BO15" s="1181"/>
      <c r="BP15" s="1182"/>
      <c r="BQ15" s="120">
        <v>0</v>
      </c>
      <c r="BR15" s="1185">
        <v>0</v>
      </c>
      <c r="BS15" s="1186"/>
      <c r="BT15" s="1185">
        <v>0</v>
      </c>
      <c r="BU15" s="1186"/>
      <c r="BV15" s="1185">
        <v>0</v>
      </c>
      <c r="BW15" s="1187"/>
      <c r="BX15" s="1186"/>
      <c r="BY15" s="1867">
        <v>0</v>
      </c>
      <c r="BZ15" s="1869"/>
      <c r="CA15" s="1870">
        <v>0</v>
      </c>
      <c r="CB15" s="1871"/>
      <c r="CC15" s="1872"/>
      <c r="CD15" s="1185">
        <v>22</v>
      </c>
      <c r="CE15" s="1187"/>
      <c r="CF15" s="1186"/>
      <c r="CG15" s="1180">
        <v>616</v>
      </c>
      <c r="CH15" s="1181"/>
      <c r="CI15" s="1182"/>
      <c r="CJ15" s="1177">
        <v>560</v>
      </c>
      <c r="CK15" s="1178"/>
      <c r="CL15" s="1179"/>
      <c r="CM15" s="1185">
        <v>1176</v>
      </c>
      <c r="CN15" s="1187"/>
      <c r="CO15" s="1186"/>
      <c r="CP15" s="1185">
        <v>7</v>
      </c>
      <c r="CQ15" s="1187"/>
      <c r="CR15" s="1186"/>
      <c r="CS15" s="1185">
        <v>31</v>
      </c>
      <c r="CT15" s="1187"/>
      <c r="CU15" s="1186"/>
      <c r="CV15" s="1180">
        <v>38</v>
      </c>
      <c r="CW15" s="1182"/>
      <c r="CX15" s="1221" t="s">
        <v>35</v>
      </c>
      <c r="CY15" s="1222"/>
      <c r="CZ15" s="1222"/>
      <c r="DA15" s="1223"/>
      <c r="DB15" s="97">
        <f t="shared" si="0"/>
        <v>150000</v>
      </c>
      <c r="DC15" s="51"/>
      <c r="DD15" s="51"/>
      <c r="DE15" s="51"/>
      <c r="DF15" s="51"/>
      <c r="DG15" s="261"/>
    </row>
    <row r="16" spans="1:111" ht="27.75">
      <c r="A16" s="262">
        <v>10</v>
      </c>
      <c r="B16" s="1224" t="s">
        <v>143</v>
      </c>
      <c r="C16" s="1229"/>
      <c r="D16" s="1229"/>
      <c r="E16" s="1229"/>
      <c r="F16" s="1225"/>
      <c r="G16" s="1221" t="s">
        <v>17</v>
      </c>
      <c r="H16" s="1222"/>
      <c r="I16" s="1223"/>
      <c r="J16" s="1185">
        <v>9</v>
      </c>
      <c r="K16" s="1186"/>
      <c r="L16" s="1177">
        <v>5</v>
      </c>
      <c r="M16" s="1179"/>
      <c r="N16" s="1185">
        <v>0</v>
      </c>
      <c r="O16" s="1186"/>
      <c r="P16" s="1180">
        <v>223</v>
      </c>
      <c r="Q16" s="1182"/>
      <c r="R16" s="1177">
        <v>223</v>
      </c>
      <c r="S16" s="1179"/>
      <c r="T16" s="1185">
        <v>4</v>
      </c>
      <c r="U16" s="1186"/>
      <c r="V16" s="1867">
        <v>0</v>
      </c>
      <c r="W16" s="1868"/>
      <c r="X16" s="1869"/>
      <c r="Y16" s="1180">
        <v>152</v>
      </c>
      <c r="Z16" s="1182"/>
      <c r="AA16" s="1177">
        <v>152</v>
      </c>
      <c r="AB16" s="1179"/>
      <c r="AC16" s="1185">
        <v>4</v>
      </c>
      <c r="AD16" s="1186"/>
      <c r="AE16" s="1177">
        <v>0</v>
      </c>
      <c r="AF16" s="1179"/>
      <c r="AG16" s="1180">
        <v>120</v>
      </c>
      <c r="AH16" s="1182"/>
      <c r="AI16" s="1177">
        <v>120</v>
      </c>
      <c r="AJ16" s="1179"/>
      <c r="AK16" s="1185">
        <v>13</v>
      </c>
      <c r="AL16" s="1186"/>
      <c r="AM16" s="1185">
        <v>0</v>
      </c>
      <c r="AN16" s="1186"/>
      <c r="AO16" s="1185">
        <v>495</v>
      </c>
      <c r="AP16" s="1187"/>
      <c r="AQ16" s="1187"/>
      <c r="AR16" s="1186"/>
      <c r="AS16" s="1185">
        <v>495</v>
      </c>
      <c r="AT16" s="1187"/>
      <c r="AU16" s="1186"/>
      <c r="AV16" s="165">
        <v>0</v>
      </c>
      <c r="AW16" s="1177">
        <v>0</v>
      </c>
      <c r="AX16" s="1179"/>
      <c r="AY16" s="1180">
        <v>0</v>
      </c>
      <c r="AZ16" s="1182"/>
      <c r="BA16" s="120">
        <v>0</v>
      </c>
      <c r="BB16" s="1185">
        <v>0</v>
      </c>
      <c r="BC16" s="1186"/>
      <c r="BD16" s="1185">
        <v>0</v>
      </c>
      <c r="BE16" s="1186"/>
      <c r="BF16" s="1185">
        <v>0</v>
      </c>
      <c r="BG16" s="1187"/>
      <c r="BH16" s="1186"/>
      <c r="BI16" s="1867">
        <v>0</v>
      </c>
      <c r="BJ16" s="1869"/>
      <c r="BK16" s="1180">
        <v>0</v>
      </c>
      <c r="BL16" s="1182"/>
      <c r="BM16" s="1180">
        <v>0</v>
      </c>
      <c r="BN16" s="1181"/>
      <c r="BO16" s="1181"/>
      <c r="BP16" s="1182"/>
      <c r="BQ16" s="120">
        <v>0</v>
      </c>
      <c r="BR16" s="1185">
        <v>0</v>
      </c>
      <c r="BS16" s="1186"/>
      <c r="BT16" s="1185">
        <v>0</v>
      </c>
      <c r="BU16" s="1186"/>
      <c r="BV16" s="1185">
        <v>0</v>
      </c>
      <c r="BW16" s="1187"/>
      <c r="BX16" s="1186"/>
      <c r="BY16" s="1867">
        <v>0</v>
      </c>
      <c r="BZ16" s="1869"/>
      <c r="CA16" s="1870">
        <v>0</v>
      </c>
      <c r="CB16" s="1871"/>
      <c r="CC16" s="1872"/>
      <c r="CD16" s="1185">
        <v>13</v>
      </c>
      <c r="CE16" s="1187"/>
      <c r="CF16" s="1186"/>
      <c r="CG16" s="1867">
        <v>0</v>
      </c>
      <c r="CH16" s="1868"/>
      <c r="CI16" s="1869"/>
      <c r="CJ16" s="1177">
        <v>495</v>
      </c>
      <c r="CK16" s="1178"/>
      <c r="CL16" s="1179"/>
      <c r="CM16" s="1185">
        <v>495</v>
      </c>
      <c r="CN16" s="1187"/>
      <c r="CO16" s="1186"/>
      <c r="CP16" s="1185">
        <v>3</v>
      </c>
      <c r="CQ16" s="1187"/>
      <c r="CR16" s="1186"/>
      <c r="CS16" s="1185">
        <v>27</v>
      </c>
      <c r="CT16" s="1187"/>
      <c r="CU16" s="1186"/>
      <c r="CV16" s="1180">
        <v>30</v>
      </c>
      <c r="CW16" s="1182"/>
      <c r="CX16" s="1221" t="s">
        <v>35</v>
      </c>
      <c r="CY16" s="1222"/>
      <c r="CZ16" s="1222"/>
      <c r="DA16" s="1223"/>
      <c r="DB16" s="97">
        <f t="shared" si="0"/>
        <v>90000</v>
      </c>
      <c r="DC16" s="51"/>
      <c r="DD16" s="51"/>
      <c r="DE16" s="51"/>
      <c r="DF16" s="51"/>
      <c r="DG16" s="261"/>
    </row>
    <row r="17" spans="1:111" ht="27.75">
      <c r="A17" s="262">
        <v>11</v>
      </c>
      <c r="B17" s="1212" t="s">
        <v>144</v>
      </c>
      <c r="C17" s="1213"/>
      <c r="D17" s="1213"/>
      <c r="E17" s="1213"/>
      <c r="F17" s="1214"/>
      <c r="G17" s="1221" t="s">
        <v>17</v>
      </c>
      <c r="H17" s="1222"/>
      <c r="I17" s="1223"/>
      <c r="J17" s="1185">
        <v>2</v>
      </c>
      <c r="K17" s="1186"/>
      <c r="L17" s="1177">
        <v>6</v>
      </c>
      <c r="M17" s="1179"/>
      <c r="N17" s="1185">
        <v>0</v>
      </c>
      <c r="O17" s="1186"/>
      <c r="P17" s="1180">
        <v>635</v>
      </c>
      <c r="Q17" s="1182"/>
      <c r="R17" s="1177">
        <v>635</v>
      </c>
      <c r="S17" s="1179"/>
      <c r="T17" s="1185">
        <v>5</v>
      </c>
      <c r="U17" s="1186"/>
      <c r="V17" s="1867">
        <v>0</v>
      </c>
      <c r="W17" s="1868"/>
      <c r="X17" s="1869"/>
      <c r="Y17" s="1180">
        <v>568</v>
      </c>
      <c r="Z17" s="1182"/>
      <c r="AA17" s="1177">
        <v>568</v>
      </c>
      <c r="AB17" s="1179"/>
      <c r="AC17" s="1185">
        <v>5</v>
      </c>
      <c r="AD17" s="1186"/>
      <c r="AE17" s="1177">
        <v>0</v>
      </c>
      <c r="AF17" s="1179"/>
      <c r="AG17" s="1180">
        <v>487</v>
      </c>
      <c r="AH17" s="1182"/>
      <c r="AI17" s="1177">
        <v>487</v>
      </c>
      <c r="AJ17" s="1179"/>
      <c r="AK17" s="1185">
        <v>16</v>
      </c>
      <c r="AL17" s="1186"/>
      <c r="AM17" s="1185">
        <v>0</v>
      </c>
      <c r="AN17" s="1186"/>
      <c r="AO17" s="1185">
        <v>1690</v>
      </c>
      <c r="AP17" s="1187"/>
      <c r="AQ17" s="1187"/>
      <c r="AR17" s="1186"/>
      <c r="AS17" s="1185">
        <v>1690</v>
      </c>
      <c r="AT17" s="1187"/>
      <c r="AU17" s="1186"/>
      <c r="AV17" s="165">
        <v>0</v>
      </c>
      <c r="AW17" s="1177">
        <v>0</v>
      </c>
      <c r="AX17" s="1179"/>
      <c r="AY17" s="1180">
        <v>0</v>
      </c>
      <c r="AZ17" s="1182"/>
      <c r="BA17" s="120">
        <v>0</v>
      </c>
      <c r="BB17" s="1185">
        <v>0</v>
      </c>
      <c r="BC17" s="1186"/>
      <c r="BD17" s="1185">
        <v>0</v>
      </c>
      <c r="BE17" s="1186"/>
      <c r="BF17" s="1185">
        <v>0</v>
      </c>
      <c r="BG17" s="1187"/>
      <c r="BH17" s="1186"/>
      <c r="BI17" s="1867">
        <v>0</v>
      </c>
      <c r="BJ17" s="1869"/>
      <c r="BK17" s="1180">
        <v>0</v>
      </c>
      <c r="BL17" s="1182"/>
      <c r="BM17" s="1180">
        <v>0</v>
      </c>
      <c r="BN17" s="1181"/>
      <c r="BO17" s="1181"/>
      <c r="BP17" s="1182"/>
      <c r="BQ17" s="120">
        <v>0</v>
      </c>
      <c r="BR17" s="1185">
        <v>0</v>
      </c>
      <c r="BS17" s="1186"/>
      <c r="BT17" s="1185">
        <v>0</v>
      </c>
      <c r="BU17" s="1186"/>
      <c r="BV17" s="1185">
        <v>0</v>
      </c>
      <c r="BW17" s="1187"/>
      <c r="BX17" s="1186"/>
      <c r="BY17" s="1867">
        <v>0</v>
      </c>
      <c r="BZ17" s="1869"/>
      <c r="CA17" s="1870">
        <v>0</v>
      </c>
      <c r="CB17" s="1871"/>
      <c r="CC17" s="1872"/>
      <c r="CD17" s="1185">
        <v>16</v>
      </c>
      <c r="CE17" s="1187"/>
      <c r="CF17" s="1186"/>
      <c r="CG17" s="1867">
        <v>0</v>
      </c>
      <c r="CH17" s="1868"/>
      <c r="CI17" s="1869"/>
      <c r="CJ17" s="1177">
        <v>1690</v>
      </c>
      <c r="CK17" s="1178"/>
      <c r="CL17" s="1179"/>
      <c r="CM17" s="1185">
        <v>1690</v>
      </c>
      <c r="CN17" s="1187"/>
      <c r="CO17" s="1186"/>
      <c r="CP17" s="1185">
        <v>7</v>
      </c>
      <c r="CQ17" s="1187"/>
      <c r="CR17" s="1186"/>
      <c r="CS17" s="1185">
        <v>31</v>
      </c>
      <c r="CT17" s="1187"/>
      <c r="CU17" s="1186"/>
      <c r="CV17" s="1180">
        <v>38</v>
      </c>
      <c r="CW17" s="1182"/>
      <c r="CX17" s="1221" t="s">
        <v>35</v>
      </c>
      <c r="CY17" s="1222"/>
      <c r="CZ17" s="1222"/>
      <c r="DA17" s="1223"/>
      <c r="DB17" s="97">
        <f t="shared" si="0"/>
        <v>150000</v>
      </c>
      <c r="DC17" s="51"/>
      <c r="DD17" s="51"/>
      <c r="DE17" s="51"/>
      <c r="DF17" s="51"/>
      <c r="DG17" s="261"/>
    </row>
    <row r="18" spans="1:111" ht="27.75">
      <c r="A18" s="262">
        <v>12</v>
      </c>
      <c r="B18" s="1212" t="s">
        <v>145</v>
      </c>
      <c r="C18" s="1213"/>
      <c r="D18" s="1213"/>
      <c r="E18" s="1213"/>
      <c r="F18" s="1214"/>
      <c r="G18" s="1221" t="s">
        <v>17</v>
      </c>
      <c r="H18" s="1222"/>
      <c r="I18" s="1223"/>
      <c r="J18" s="1185">
        <v>6</v>
      </c>
      <c r="K18" s="1186"/>
      <c r="L18" s="1177">
        <v>0</v>
      </c>
      <c r="M18" s="1179"/>
      <c r="N18" s="1185">
        <v>0</v>
      </c>
      <c r="O18" s="1186"/>
      <c r="P18" s="1867">
        <v>0</v>
      </c>
      <c r="Q18" s="1869"/>
      <c r="R18" s="1177">
        <v>0</v>
      </c>
      <c r="S18" s="1179"/>
      <c r="T18" s="1185">
        <v>0</v>
      </c>
      <c r="U18" s="1186"/>
      <c r="V18" s="1867">
        <v>0</v>
      </c>
      <c r="W18" s="1868"/>
      <c r="X18" s="1869"/>
      <c r="Y18" s="1867">
        <v>0</v>
      </c>
      <c r="Z18" s="1869"/>
      <c r="AA18" s="1177">
        <v>0</v>
      </c>
      <c r="AB18" s="1179"/>
      <c r="AC18" s="1185">
        <v>0</v>
      </c>
      <c r="AD18" s="1186"/>
      <c r="AE18" s="1177">
        <v>0</v>
      </c>
      <c r="AF18" s="1179"/>
      <c r="AG18" s="1180">
        <v>0</v>
      </c>
      <c r="AH18" s="1182"/>
      <c r="AI18" s="1177">
        <v>0</v>
      </c>
      <c r="AJ18" s="1179"/>
      <c r="AK18" s="1185">
        <v>0</v>
      </c>
      <c r="AL18" s="1186"/>
      <c r="AM18" s="1185">
        <v>0</v>
      </c>
      <c r="AN18" s="1186"/>
      <c r="AO18" s="1185">
        <v>0</v>
      </c>
      <c r="AP18" s="1187"/>
      <c r="AQ18" s="1187"/>
      <c r="AR18" s="1186"/>
      <c r="AS18" s="1185">
        <v>0</v>
      </c>
      <c r="AT18" s="1187"/>
      <c r="AU18" s="1186"/>
      <c r="AV18" s="165">
        <v>9</v>
      </c>
      <c r="AW18" s="1177">
        <v>602</v>
      </c>
      <c r="AX18" s="1179"/>
      <c r="AY18" s="1180">
        <v>334</v>
      </c>
      <c r="AZ18" s="1182"/>
      <c r="BA18" s="120">
        <v>936</v>
      </c>
      <c r="BB18" s="1185">
        <v>10</v>
      </c>
      <c r="BC18" s="1186"/>
      <c r="BD18" s="1185">
        <v>605</v>
      </c>
      <c r="BE18" s="1186"/>
      <c r="BF18" s="1185">
        <v>341</v>
      </c>
      <c r="BG18" s="1187"/>
      <c r="BH18" s="1186"/>
      <c r="BI18" s="1180">
        <v>946</v>
      </c>
      <c r="BJ18" s="1182"/>
      <c r="BK18" s="1180">
        <v>8</v>
      </c>
      <c r="BL18" s="1182"/>
      <c r="BM18" s="1180">
        <v>376</v>
      </c>
      <c r="BN18" s="1181"/>
      <c r="BO18" s="1181"/>
      <c r="BP18" s="1182"/>
      <c r="BQ18" s="120">
        <v>251</v>
      </c>
      <c r="BR18" s="1185">
        <v>627</v>
      </c>
      <c r="BS18" s="1186"/>
      <c r="BT18" s="1185">
        <v>27</v>
      </c>
      <c r="BU18" s="1186"/>
      <c r="BV18" s="1185">
        <v>1583</v>
      </c>
      <c r="BW18" s="1187"/>
      <c r="BX18" s="1186"/>
      <c r="BY18" s="1180">
        <v>926</v>
      </c>
      <c r="BZ18" s="1182"/>
      <c r="CA18" s="1177">
        <v>2509</v>
      </c>
      <c r="CB18" s="1178"/>
      <c r="CC18" s="1179"/>
      <c r="CD18" s="1185">
        <v>27</v>
      </c>
      <c r="CE18" s="1187"/>
      <c r="CF18" s="1186"/>
      <c r="CG18" s="1180">
        <v>1583</v>
      </c>
      <c r="CH18" s="1181"/>
      <c r="CI18" s="1182"/>
      <c r="CJ18" s="1177">
        <v>926</v>
      </c>
      <c r="CK18" s="1178"/>
      <c r="CL18" s="1179"/>
      <c r="CM18" s="1185">
        <v>2509</v>
      </c>
      <c r="CN18" s="1187"/>
      <c r="CO18" s="1186"/>
      <c r="CP18" s="1185">
        <v>24</v>
      </c>
      <c r="CQ18" s="1187"/>
      <c r="CR18" s="1186"/>
      <c r="CS18" s="1185">
        <v>34</v>
      </c>
      <c r="CT18" s="1187"/>
      <c r="CU18" s="1186"/>
      <c r="CV18" s="1180">
        <v>58</v>
      </c>
      <c r="CW18" s="1182"/>
      <c r="CX18" s="1221" t="s">
        <v>35</v>
      </c>
      <c r="CY18" s="1222"/>
      <c r="CZ18" s="1222"/>
      <c r="DA18" s="1223"/>
      <c r="DB18" s="97">
        <f t="shared" si="0"/>
        <v>150000</v>
      </c>
      <c r="DC18" s="51"/>
      <c r="DD18" s="51"/>
      <c r="DE18" s="51"/>
      <c r="DF18" s="51"/>
      <c r="DG18" s="261"/>
    </row>
    <row r="19" spans="1:111" ht="27.75">
      <c r="A19" s="262">
        <v>13</v>
      </c>
      <c r="B19" s="1212" t="s">
        <v>146</v>
      </c>
      <c r="C19" s="1213"/>
      <c r="D19" s="1213"/>
      <c r="E19" s="1213"/>
      <c r="F19" s="1214"/>
      <c r="G19" s="1221" t="s">
        <v>17</v>
      </c>
      <c r="H19" s="1222"/>
      <c r="I19" s="1223"/>
      <c r="J19" s="1185">
        <v>4</v>
      </c>
      <c r="K19" s="1186"/>
      <c r="L19" s="1177">
        <v>0</v>
      </c>
      <c r="M19" s="1179"/>
      <c r="N19" s="1185">
        <v>0</v>
      </c>
      <c r="O19" s="1186"/>
      <c r="P19" s="1867">
        <v>0</v>
      </c>
      <c r="Q19" s="1869"/>
      <c r="R19" s="1177">
        <v>0</v>
      </c>
      <c r="S19" s="1179"/>
      <c r="T19" s="1185">
        <v>6</v>
      </c>
      <c r="U19" s="1186"/>
      <c r="V19" s="1867">
        <v>0</v>
      </c>
      <c r="W19" s="1868"/>
      <c r="X19" s="1869"/>
      <c r="Y19" s="1867">
        <v>0</v>
      </c>
      <c r="Z19" s="1869"/>
      <c r="AA19" s="1177">
        <v>0</v>
      </c>
      <c r="AB19" s="1179"/>
      <c r="AC19" s="1185">
        <v>0</v>
      </c>
      <c r="AD19" s="1186"/>
      <c r="AE19" s="1177">
        <v>0</v>
      </c>
      <c r="AF19" s="1179"/>
      <c r="AG19" s="1180">
        <v>0</v>
      </c>
      <c r="AH19" s="1182"/>
      <c r="AI19" s="1177">
        <v>0</v>
      </c>
      <c r="AJ19" s="1179"/>
      <c r="AK19" s="1185">
        <v>6</v>
      </c>
      <c r="AL19" s="1186"/>
      <c r="AM19" s="1185">
        <v>0</v>
      </c>
      <c r="AN19" s="1186"/>
      <c r="AO19" s="1185">
        <v>0</v>
      </c>
      <c r="AP19" s="1187"/>
      <c r="AQ19" s="1187"/>
      <c r="AR19" s="1186"/>
      <c r="AS19" s="1185">
        <v>0</v>
      </c>
      <c r="AT19" s="1187"/>
      <c r="AU19" s="1186"/>
      <c r="AV19" s="165">
        <v>12</v>
      </c>
      <c r="AW19" s="1177">
        <v>0</v>
      </c>
      <c r="AX19" s="1179"/>
      <c r="AY19" s="1180">
        <v>534</v>
      </c>
      <c r="AZ19" s="1182"/>
      <c r="BA19" s="120">
        <v>534</v>
      </c>
      <c r="BB19" s="1185">
        <v>6</v>
      </c>
      <c r="BC19" s="1186"/>
      <c r="BD19" s="1185">
        <v>0</v>
      </c>
      <c r="BE19" s="1186"/>
      <c r="BF19" s="1185">
        <v>232</v>
      </c>
      <c r="BG19" s="1187"/>
      <c r="BH19" s="1186"/>
      <c r="BI19" s="1180">
        <v>232</v>
      </c>
      <c r="BJ19" s="1182"/>
      <c r="BK19" s="1180">
        <v>4</v>
      </c>
      <c r="BL19" s="1182"/>
      <c r="BM19" s="1180">
        <v>0</v>
      </c>
      <c r="BN19" s="1181"/>
      <c r="BO19" s="1181"/>
      <c r="BP19" s="1182"/>
      <c r="BQ19" s="120">
        <v>86</v>
      </c>
      <c r="BR19" s="1185">
        <v>86</v>
      </c>
      <c r="BS19" s="1186"/>
      <c r="BT19" s="1185">
        <v>22</v>
      </c>
      <c r="BU19" s="1186"/>
      <c r="BV19" s="1185">
        <v>0</v>
      </c>
      <c r="BW19" s="1187"/>
      <c r="BX19" s="1186"/>
      <c r="BY19" s="1180">
        <v>852</v>
      </c>
      <c r="BZ19" s="1182"/>
      <c r="CA19" s="1177">
        <v>852</v>
      </c>
      <c r="CB19" s="1178"/>
      <c r="CC19" s="1179"/>
      <c r="CD19" s="1185">
        <v>28</v>
      </c>
      <c r="CE19" s="1187"/>
      <c r="CF19" s="1186"/>
      <c r="CG19" s="1867">
        <v>0</v>
      </c>
      <c r="CH19" s="1868"/>
      <c r="CI19" s="1869"/>
      <c r="CJ19" s="1177">
        <v>852</v>
      </c>
      <c r="CK19" s="1178"/>
      <c r="CL19" s="1179"/>
      <c r="CM19" s="1185">
        <v>852</v>
      </c>
      <c r="CN19" s="1187"/>
      <c r="CO19" s="1186"/>
      <c r="CP19" s="1185">
        <v>9</v>
      </c>
      <c r="CQ19" s="1187"/>
      <c r="CR19" s="1186"/>
      <c r="CS19" s="1185">
        <v>22</v>
      </c>
      <c r="CT19" s="1187"/>
      <c r="CU19" s="1186"/>
      <c r="CV19" s="1180">
        <v>31</v>
      </c>
      <c r="CW19" s="1182"/>
      <c r="CX19" s="1221" t="s">
        <v>35</v>
      </c>
      <c r="CY19" s="1222"/>
      <c r="CZ19" s="1222"/>
      <c r="DA19" s="1223"/>
      <c r="DB19" s="97">
        <f t="shared" si="0"/>
        <v>90000</v>
      </c>
      <c r="DC19" s="51"/>
      <c r="DD19" s="51"/>
      <c r="DE19" s="51"/>
      <c r="DF19" s="51"/>
      <c r="DG19" s="261"/>
    </row>
    <row r="20" spans="1:111" ht="27.75">
      <c r="A20" s="262">
        <v>14</v>
      </c>
      <c r="B20" s="1212" t="s">
        <v>147</v>
      </c>
      <c r="C20" s="1213"/>
      <c r="D20" s="1213"/>
      <c r="E20" s="1213"/>
      <c r="F20" s="1214"/>
      <c r="G20" s="1221" t="s">
        <v>17</v>
      </c>
      <c r="H20" s="1222"/>
      <c r="I20" s="1223"/>
      <c r="J20" s="1185">
        <v>9</v>
      </c>
      <c r="K20" s="1186"/>
      <c r="L20" s="1177">
        <v>0</v>
      </c>
      <c r="M20" s="1179"/>
      <c r="N20" s="1185">
        <v>0</v>
      </c>
      <c r="O20" s="1186"/>
      <c r="P20" s="1867">
        <v>0</v>
      </c>
      <c r="Q20" s="1869"/>
      <c r="R20" s="1177">
        <v>0</v>
      </c>
      <c r="S20" s="1179"/>
      <c r="T20" s="1185">
        <v>0</v>
      </c>
      <c r="U20" s="1186"/>
      <c r="V20" s="1867">
        <v>0</v>
      </c>
      <c r="W20" s="1868"/>
      <c r="X20" s="1869"/>
      <c r="Y20" s="1867">
        <v>0</v>
      </c>
      <c r="Z20" s="1869"/>
      <c r="AA20" s="1177">
        <v>0</v>
      </c>
      <c r="AB20" s="1179"/>
      <c r="AC20" s="1185">
        <v>0</v>
      </c>
      <c r="AD20" s="1186"/>
      <c r="AE20" s="1177">
        <v>0</v>
      </c>
      <c r="AF20" s="1179"/>
      <c r="AG20" s="1180">
        <v>0</v>
      </c>
      <c r="AH20" s="1182"/>
      <c r="AI20" s="1177">
        <v>0</v>
      </c>
      <c r="AJ20" s="1179"/>
      <c r="AK20" s="1185">
        <v>0</v>
      </c>
      <c r="AL20" s="1186"/>
      <c r="AM20" s="1185">
        <v>0</v>
      </c>
      <c r="AN20" s="1186"/>
      <c r="AO20" s="1185">
        <v>0</v>
      </c>
      <c r="AP20" s="1187"/>
      <c r="AQ20" s="1187"/>
      <c r="AR20" s="1186"/>
      <c r="AS20" s="1185">
        <v>0</v>
      </c>
      <c r="AT20" s="1187"/>
      <c r="AU20" s="1186"/>
      <c r="AV20" s="165">
        <v>8</v>
      </c>
      <c r="AW20" s="1177">
        <v>174</v>
      </c>
      <c r="AX20" s="1179"/>
      <c r="AY20" s="1180">
        <v>213</v>
      </c>
      <c r="AZ20" s="1182"/>
      <c r="BA20" s="120">
        <v>387</v>
      </c>
      <c r="BB20" s="1185">
        <v>5</v>
      </c>
      <c r="BC20" s="1186"/>
      <c r="BD20" s="1185">
        <v>115</v>
      </c>
      <c r="BE20" s="1186"/>
      <c r="BF20" s="1185">
        <v>114</v>
      </c>
      <c r="BG20" s="1187"/>
      <c r="BH20" s="1186"/>
      <c r="BI20" s="1180">
        <v>229</v>
      </c>
      <c r="BJ20" s="1182"/>
      <c r="BK20" s="1180">
        <v>5</v>
      </c>
      <c r="BL20" s="1182"/>
      <c r="BM20" s="1180">
        <v>128</v>
      </c>
      <c r="BN20" s="1181"/>
      <c r="BO20" s="1181"/>
      <c r="BP20" s="1182"/>
      <c r="BQ20" s="120">
        <v>103</v>
      </c>
      <c r="BR20" s="1185">
        <v>231</v>
      </c>
      <c r="BS20" s="1186"/>
      <c r="BT20" s="1185">
        <v>18</v>
      </c>
      <c r="BU20" s="1186"/>
      <c r="BV20" s="1185">
        <v>417</v>
      </c>
      <c r="BW20" s="1187"/>
      <c r="BX20" s="1186"/>
      <c r="BY20" s="1180">
        <v>430</v>
      </c>
      <c r="BZ20" s="1182"/>
      <c r="CA20" s="1177">
        <v>847</v>
      </c>
      <c r="CB20" s="1178"/>
      <c r="CC20" s="1179"/>
      <c r="CD20" s="1185">
        <v>18</v>
      </c>
      <c r="CE20" s="1187"/>
      <c r="CF20" s="1186"/>
      <c r="CG20" s="1180">
        <v>417</v>
      </c>
      <c r="CH20" s="1181"/>
      <c r="CI20" s="1182"/>
      <c r="CJ20" s="1177">
        <v>430</v>
      </c>
      <c r="CK20" s="1178"/>
      <c r="CL20" s="1179"/>
      <c r="CM20" s="1185">
        <v>847</v>
      </c>
      <c r="CN20" s="1187"/>
      <c r="CO20" s="1186"/>
      <c r="CP20" s="1185">
        <v>12</v>
      </c>
      <c r="CQ20" s="1187"/>
      <c r="CR20" s="1186"/>
      <c r="CS20" s="1185">
        <v>31</v>
      </c>
      <c r="CT20" s="1187"/>
      <c r="CU20" s="1186"/>
      <c r="CV20" s="1180">
        <v>43</v>
      </c>
      <c r="CW20" s="1182"/>
      <c r="CX20" s="1221" t="s">
        <v>35</v>
      </c>
      <c r="CY20" s="1222"/>
      <c r="CZ20" s="1222"/>
      <c r="DA20" s="1223"/>
      <c r="DB20" s="97">
        <f t="shared" si="0"/>
        <v>90000</v>
      </c>
      <c r="DC20" s="51"/>
      <c r="DD20" s="51"/>
      <c r="DE20" s="51"/>
      <c r="DF20" s="51"/>
      <c r="DG20" s="261"/>
    </row>
    <row r="21" spans="1:111" ht="27.75">
      <c r="A21" s="262">
        <v>15</v>
      </c>
      <c r="B21" s="1212" t="s">
        <v>148</v>
      </c>
      <c r="C21" s="1213"/>
      <c r="D21" s="1213"/>
      <c r="E21" s="1213"/>
      <c r="F21" s="1214"/>
      <c r="G21" s="1221" t="s">
        <v>17</v>
      </c>
      <c r="H21" s="1222"/>
      <c r="I21" s="1223"/>
      <c r="J21" s="1185">
        <v>8</v>
      </c>
      <c r="K21" s="1186"/>
      <c r="L21" s="1177">
        <v>0</v>
      </c>
      <c r="M21" s="1179"/>
      <c r="N21" s="1185">
        <v>0</v>
      </c>
      <c r="O21" s="1186"/>
      <c r="P21" s="1867">
        <v>0</v>
      </c>
      <c r="Q21" s="1869"/>
      <c r="R21" s="1177">
        <v>0</v>
      </c>
      <c r="S21" s="1179"/>
      <c r="T21" s="1185">
        <v>0</v>
      </c>
      <c r="U21" s="1186"/>
      <c r="V21" s="1867">
        <v>0</v>
      </c>
      <c r="W21" s="1868"/>
      <c r="X21" s="1869"/>
      <c r="Y21" s="1867">
        <v>0</v>
      </c>
      <c r="Z21" s="1869"/>
      <c r="AA21" s="1177">
        <v>0</v>
      </c>
      <c r="AB21" s="1179"/>
      <c r="AC21" s="1185">
        <v>0</v>
      </c>
      <c r="AD21" s="1186"/>
      <c r="AE21" s="1177">
        <v>0</v>
      </c>
      <c r="AF21" s="1179"/>
      <c r="AG21" s="1180">
        <v>0</v>
      </c>
      <c r="AH21" s="1182"/>
      <c r="AI21" s="1177">
        <v>0</v>
      </c>
      <c r="AJ21" s="1179"/>
      <c r="AK21" s="1185">
        <v>0</v>
      </c>
      <c r="AL21" s="1186"/>
      <c r="AM21" s="1185">
        <v>0</v>
      </c>
      <c r="AN21" s="1186"/>
      <c r="AO21" s="1185">
        <v>0</v>
      </c>
      <c r="AP21" s="1187"/>
      <c r="AQ21" s="1187"/>
      <c r="AR21" s="1186"/>
      <c r="AS21" s="1185">
        <v>0</v>
      </c>
      <c r="AT21" s="1187"/>
      <c r="AU21" s="1186"/>
      <c r="AV21" s="165">
        <v>3</v>
      </c>
      <c r="AW21" s="1177">
        <v>121</v>
      </c>
      <c r="AX21" s="1179"/>
      <c r="AY21" s="1180">
        <v>90</v>
      </c>
      <c r="AZ21" s="1182"/>
      <c r="BA21" s="120">
        <v>211</v>
      </c>
      <c r="BB21" s="1185">
        <v>3</v>
      </c>
      <c r="BC21" s="1186"/>
      <c r="BD21" s="1185">
        <v>66</v>
      </c>
      <c r="BE21" s="1186"/>
      <c r="BF21" s="1185">
        <v>51</v>
      </c>
      <c r="BG21" s="1187"/>
      <c r="BH21" s="1186"/>
      <c r="BI21" s="1180">
        <v>117</v>
      </c>
      <c r="BJ21" s="1182"/>
      <c r="BK21" s="1180">
        <v>3</v>
      </c>
      <c r="BL21" s="1182"/>
      <c r="BM21" s="1180">
        <v>59</v>
      </c>
      <c r="BN21" s="1181"/>
      <c r="BO21" s="1181"/>
      <c r="BP21" s="1182"/>
      <c r="BQ21" s="120">
        <v>42</v>
      </c>
      <c r="BR21" s="1185">
        <v>101</v>
      </c>
      <c r="BS21" s="1186"/>
      <c r="BT21" s="1185">
        <v>9</v>
      </c>
      <c r="BU21" s="1186"/>
      <c r="BV21" s="1185">
        <v>246</v>
      </c>
      <c r="BW21" s="1187"/>
      <c r="BX21" s="1186"/>
      <c r="BY21" s="1180">
        <v>183</v>
      </c>
      <c r="BZ21" s="1182"/>
      <c r="CA21" s="1177">
        <v>429</v>
      </c>
      <c r="CB21" s="1178"/>
      <c r="CC21" s="1179"/>
      <c r="CD21" s="1185">
        <v>9</v>
      </c>
      <c r="CE21" s="1187"/>
      <c r="CF21" s="1186"/>
      <c r="CG21" s="1180">
        <v>246</v>
      </c>
      <c r="CH21" s="1181"/>
      <c r="CI21" s="1182"/>
      <c r="CJ21" s="1177">
        <v>183</v>
      </c>
      <c r="CK21" s="1178"/>
      <c r="CL21" s="1179"/>
      <c r="CM21" s="1185">
        <v>429</v>
      </c>
      <c r="CN21" s="1187"/>
      <c r="CO21" s="1186"/>
      <c r="CP21" s="1185">
        <v>7</v>
      </c>
      <c r="CQ21" s="1187"/>
      <c r="CR21" s="1186"/>
      <c r="CS21" s="1185">
        <v>18</v>
      </c>
      <c r="CT21" s="1187"/>
      <c r="CU21" s="1186"/>
      <c r="CV21" s="1180">
        <v>25</v>
      </c>
      <c r="CW21" s="1182"/>
      <c r="CX21" s="1221" t="s">
        <v>35</v>
      </c>
      <c r="CY21" s="1222"/>
      <c r="CZ21" s="1222"/>
      <c r="DA21" s="1223"/>
      <c r="DB21" s="97">
        <f t="shared" si="0"/>
        <v>90000</v>
      </c>
      <c r="DC21" s="51"/>
      <c r="DD21" s="51"/>
      <c r="DE21" s="51"/>
      <c r="DF21" s="51"/>
      <c r="DG21" s="261"/>
    </row>
    <row r="22" spans="1:111" ht="27.75">
      <c r="A22" s="262">
        <v>16</v>
      </c>
      <c r="B22" s="1224" t="s">
        <v>149</v>
      </c>
      <c r="C22" s="1229"/>
      <c r="D22" s="1229"/>
      <c r="E22" s="1229"/>
      <c r="F22" s="1225"/>
      <c r="G22" s="1221" t="s">
        <v>17</v>
      </c>
      <c r="H22" s="1222"/>
      <c r="I22" s="1223"/>
      <c r="J22" s="1185">
        <v>6</v>
      </c>
      <c r="K22" s="1186"/>
      <c r="L22" s="1177">
        <v>0</v>
      </c>
      <c r="M22" s="1179"/>
      <c r="N22" s="1185">
        <v>0</v>
      </c>
      <c r="O22" s="1186"/>
      <c r="P22" s="1867">
        <v>0</v>
      </c>
      <c r="Q22" s="1869"/>
      <c r="R22" s="1177">
        <v>0</v>
      </c>
      <c r="S22" s="1179"/>
      <c r="T22" s="1185">
        <v>0</v>
      </c>
      <c r="U22" s="1186"/>
      <c r="V22" s="1867">
        <v>0</v>
      </c>
      <c r="W22" s="1868"/>
      <c r="X22" s="1869"/>
      <c r="Y22" s="1867">
        <v>0</v>
      </c>
      <c r="Z22" s="1869"/>
      <c r="AA22" s="1177">
        <v>0</v>
      </c>
      <c r="AB22" s="1179"/>
      <c r="AC22" s="1185">
        <v>0</v>
      </c>
      <c r="AD22" s="1186"/>
      <c r="AE22" s="1177">
        <v>0</v>
      </c>
      <c r="AF22" s="1179"/>
      <c r="AG22" s="1180">
        <v>0</v>
      </c>
      <c r="AH22" s="1182"/>
      <c r="AI22" s="1177">
        <v>0</v>
      </c>
      <c r="AJ22" s="1179"/>
      <c r="AK22" s="1185">
        <v>0</v>
      </c>
      <c r="AL22" s="1186"/>
      <c r="AM22" s="1185">
        <v>0</v>
      </c>
      <c r="AN22" s="1186"/>
      <c r="AO22" s="1185">
        <v>0</v>
      </c>
      <c r="AP22" s="1187"/>
      <c r="AQ22" s="1187"/>
      <c r="AR22" s="1186"/>
      <c r="AS22" s="1185">
        <v>0</v>
      </c>
      <c r="AT22" s="1187"/>
      <c r="AU22" s="1186"/>
      <c r="AV22" s="165">
        <v>13</v>
      </c>
      <c r="AW22" s="1177">
        <v>657</v>
      </c>
      <c r="AX22" s="1179"/>
      <c r="AY22" s="1180">
        <v>394</v>
      </c>
      <c r="AZ22" s="1182"/>
      <c r="BA22" s="120">
        <v>1051</v>
      </c>
      <c r="BB22" s="1185">
        <v>6</v>
      </c>
      <c r="BC22" s="1186"/>
      <c r="BD22" s="1185">
        <v>223</v>
      </c>
      <c r="BE22" s="1186"/>
      <c r="BF22" s="1185">
        <v>172</v>
      </c>
      <c r="BG22" s="1187"/>
      <c r="BH22" s="1186"/>
      <c r="BI22" s="1180">
        <v>395</v>
      </c>
      <c r="BJ22" s="1182"/>
      <c r="BK22" s="1180">
        <v>3</v>
      </c>
      <c r="BL22" s="1182"/>
      <c r="BM22" s="1180">
        <v>75</v>
      </c>
      <c r="BN22" s="1181"/>
      <c r="BO22" s="1181"/>
      <c r="BP22" s="1182"/>
      <c r="BQ22" s="120">
        <v>75</v>
      </c>
      <c r="BR22" s="1185">
        <v>150</v>
      </c>
      <c r="BS22" s="1186"/>
      <c r="BT22" s="1185">
        <v>22</v>
      </c>
      <c r="BU22" s="1186"/>
      <c r="BV22" s="1185">
        <v>955</v>
      </c>
      <c r="BW22" s="1187"/>
      <c r="BX22" s="1186"/>
      <c r="BY22" s="1180">
        <v>641</v>
      </c>
      <c r="BZ22" s="1182"/>
      <c r="CA22" s="1177">
        <v>1596</v>
      </c>
      <c r="CB22" s="1178"/>
      <c r="CC22" s="1179"/>
      <c r="CD22" s="1185">
        <v>22</v>
      </c>
      <c r="CE22" s="1187"/>
      <c r="CF22" s="1186"/>
      <c r="CG22" s="1180">
        <v>955</v>
      </c>
      <c r="CH22" s="1181"/>
      <c r="CI22" s="1182"/>
      <c r="CJ22" s="1177">
        <v>641</v>
      </c>
      <c r="CK22" s="1178"/>
      <c r="CL22" s="1179"/>
      <c r="CM22" s="1185">
        <v>1596</v>
      </c>
      <c r="CN22" s="1187"/>
      <c r="CO22" s="1186"/>
      <c r="CP22" s="1185">
        <v>23</v>
      </c>
      <c r="CQ22" s="1187"/>
      <c r="CR22" s="1186"/>
      <c r="CS22" s="1185">
        <v>30</v>
      </c>
      <c r="CT22" s="1187"/>
      <c r="CU22" s="1186"/>
      <c r="CV22" s="1180">
        <v>53</v>
      </c>
      <c r="CW22" s="1182"/>
      <c r="CX22" s="1221" t="s">
        <v>35</v>
      </c>
      <c r="CY22" s="1222"/>
      <c r="CZ22" s="1222"/>
      <c r="DA22" s="1223"/>
      <c r="DB22" s="97">
        <f t="shared" si="0"/>
        <v>150000</v>
      </c>
      <c r="DC22" s="51"/>
      <c r="DD22" s="51"/>
      <c r="DE22" s="51"/>
      <c r="DF22" s="51"/>
      <c r="DG22" s="261"/>
    </row>
    <row r="23" spans="1:111" ht="27.75">
      <c r="A23" s="262">
        <v>17</v>
      </c>
      <c r="B23" s="1212" t="s">
        <v>150</v>
      </c>
      <c r="C23" s="1213"/>
      <c r="D23" s="1213"/>
      <c r="E23" s="1213"/>
      <c r="F23" s="1214"/>
      <c r="G23" s="1221" t="s">
        <v>17</v>
      </c>
      <c r="H23" s="1222"/>
      <c r="I23" s="1223"/>
      <c r="J23" s="1185">
        <v>7</v>
      </c>
      <c r="K23" s="1186"/>
      <c r="L23" s="1177">
        <v>0</v>
      </c>
      <c r="M23" s="1179"/>
      <c r="N23" s="1185">
        <v>0</v>
      </c>
      <c r="O23" s="1186"/>
      <c r="P23" s="1867">
        <v>0</v>
      </c>
      <c r="Q23" s="1869"/>
      <c r="R23" s="1177">
        <v>0</v>
      </c>
      <c r="S23" s="1179"/>
      <c r="T23" s="1185">
        <v>0</v>
      </c>
      <c r="U23" s="1186"/>
      <c r="V23" s="1867">
        <v>0</v>
      </c>
      <c r="W23" s="1868"/>
      <c r="X23" s="1869"/>
      <c r="Y23" s="1867">
        <v>0</v>
      </c>
      <c r="Z23" s="1869"/>
      <c r="AA23" s="1177">
        <v>0</v>
      </c>
      <c r="AB23" s="1179"/>
      <c r="AC23" s="1185">
        <v>0</v>
      </c>
      <c r="AD23" s="1186"/>
      <c r="AE23" s="1177">
        <v>0</v>
      </c>
      <c r="AF23" s="1179"/>
      <c r="AG23" s="1180">
        <v>0</v>
      </c>
      <c r="AH23" s="1182"/>
      <c r="AI23" s="1177">
        <v>0</v>
      </c>
      <c r="AJ23" s="1179"/>
      <c r="AK23" s="1185">
        <v>0</v>
      </c>
      <c r="AL23" s="1186"/>
      <c r="AM23" s="1185">
        <v>0</v>
      </c>
      <c r="AN23" s="1186"/>
      <c r="AO23" s="1185">
        <v>0</v>
      </c>
      <c r="AP23" s="1187"/>
      <c r="AQ23" s="1187"/>
      <c r="AR23" s="1186"/>
      <c r="AS23" s="1185">
        <v>0</v>
      </c>
      <c r="AT23" s="1187"/>
      <c r="AU23" s="1186"/>
      <c r="AV23" s="165">
        <v>10</v>
      </c>
      <c r="AW23" s="1177">
        <v>794</v>
      </c>
      <c r="AX23" s="1179"/>
      <c r="AY23" s="1180">
        <v>0</v>
      </c>
      <c r="AZ23" s="1182"/>
      <c r="BA23" s="120">
        <v>794</v>
      </c>
      <c r="BB23" s="1185">
        <v>5</v>
      </c>
      <c r="BC23" s="1186"/>
      <c r="BD23" s="1185">
        <v>329</v>
      </c>
      <c r="BE23" s="1186"/>
      <c r="BF23" s="1185">
        <v>0</v>
      </c>
      <c r="BG23" s="1187"/>
      <c r="BH23" s="1186"/>
      <c r="BI23" s="1180">
        <v>329</v>
      </c>
      <c r="BJ23" s="1182"/>
      <c r="BK23" s="1180">
        <v>3</v>
      </c>
      <c r="BL23" s="1182"/>
      <c r="BM23" s="1180">
        <v>103</v>
      </c>
      <c r="BN23" s="1181"/>
      <c r="BO23" s="1181"/>
      <c r="BP23" s="1182"/>
      <c r="BQ23" s="120">
        <v>0</v>
      </c>
      <c r="BR23" s="1185">
        <v>103</v>
      </c>
      <c r="BS23" s="1186"/>
      <c r="BT23" s="1185">
        <v>18</v>
      </c>
      <c r="BU23" s="1186"/>
      <c r="BV23" s="1185">
        <v>1226</v>
      </c>
      <c r="BW23" s="1187"/>
      <c r="BX23" s="1186"/>
      <c r="BY23" s="1867">
        <v>0</v>
      </c>
      <c r="BZ23" s="1869"/>
      <c r="CA23" s="1177">
        <v>1226</v>
      </c>
      <c r="CB23" s="1178"/>
      <c r="CC23" s="1179"/>
      <c r="CD23" s="1185">
        <v>18</v>
      </c>
      <c r="CE23" s="1187"/>
      <c r="CF23" s="1186"/>
      <c r="CG23" s="1180">
        <v>1226</v>
      </c>
      <c r="CH23" s="1181"/>
      <c r="CI23" s="1182"/>
      <c r="CJ23" s="1870">
        <v>0</v>
      </c>
      <c r="CK23" s="1871"/>
      <c r="CL23" s="1872"/>
      <c r="CM23" s="1185">
        <v>1226</v>
      </c>
      <c r="CN23" s="1187"/>
      <c r="CO23" s="1186"/>
      <c r="CP23" s="1185">
        <v>24</v>
      </c>
      <c r="CQ23" s="1187"/>
      <c r="CR23" s="1186"/>
      <c r="CS23" s="1185">
        <v>23</v>
      </c>
      <c r="CT23" s="1187"/>
      <c r="CU23" s="1186"/>
      <c r="CV23" s="1180">
        <v>47</v>
      </c>
      <c r="CW23" s="1182"/>
      <c r="CX23" s="1221" t="s">
        <v>35</v>
      </c>
      <c r="CY23" s="1222"/>
      <c r="CZ23" s="1222"/>
      <c r="DA23" s="1223"/>
      <c r="DB23" s="97">
        <f t="shared" si="0"/>
        <v>150000</v>
      </c>
      <c r="DC23" s="51"/>
      <c r="DD23" s="51"/>
      <c r="DE23" s="51"/>
      <c r="DF23" s="51"/>
      <c r="DG23" s="261"/>
    </row>
    <row r="24" spans="1:111" ht="27.75">
      <c r="A24" s="262">
        <v>18</v>
      </c>
      <c r="B24" s="1212" t="s">
        <v>151</v>
      </c>
      <c r="C24" s="1213"/>
      <c r="D24" s="1213"/>
      <c r="E24" s="1213"/>
      <c r="F24" s="1214"/>
      <c r="G24" s="1221" t="s">
        <v>17</v>
      </c>
      <c r="H24" s="1222"/>
      <c r="I24" s="1223"/>
      <c r="J24" s="1185">
        <v>9</v>
      </c>
      <c r="K24" s="1186"/>
      <c r="L24" s="1177">
        <v>0</v>
      </c>
      <c r="M24" s="1179"/>
      <c r="N24" s="1185">
        <v>0</v>
      </c>
      <c r="O24" s="1186"/>
      <c r="P24" s="1867">
        <v>0</v>
      </c>
      <c r="Q24" s="1869"/>
      <c r="R24" s="1177">
        <v>0</v>
      </c>
      <c r="S24" s="1179"/>
      <c r="T24" s="1185">
        <v>0</v>
      </c>
      <c r="U24" s="1186"/>
      <c r="V24" s="1867">
        <v>0</v>
      </c>
      <c r="W24" s="1868"/>
      <c r="X24" s="1869"/>
      <c r="Y24" s="1867">
        <v>0</v>
      </c>
      <c r="Z24" s="1869"/>
      <c r="AA24" s="1177">
        <v>0</v>
      </c>
      <c r="AB24" s="1179"/>
      <c r="AC24" s="1185">
        <v>0</v>
      </c>
      <c r="AD24" s="1186"/>
      <c r="AE24" s="1177">
        <v>0</v>
      </c>
      <c r="AF24" s="1179"/>
      <c r="AG24" s="1180">
        <v>0</v>
      </c>
      <c r="AH24" s="1182"/>
      <c r="AI24" s="1177">
        <v>0</v>
      </c>
      <c r="AJ24" s="1179"/>
      <c r="AK24" s="1185">
        <v>0</v>
      </c>
      <c r="AL24" s="1186"/>
      <c r="AM24" s="1185">
        <v>0</v>
      </c>
      <c r="AN24" s="1186"/>
      <c r="AO24" s="1185">
        <v>0</v>
      </c>
      <c r="AP24" s="1187"/>
      <c r="AQ24" s="1187"/>
      <c r="AR24" s="1186"/>
      <c r="AS24" s="1185">
        <v>0</v>
      </c>
      <c r="AT24" s="1187"/>
      <c r="AU24" s="1186"/>
      <c r="AV24" s="165">
        <v>3</v>
      </c>
      <c r="AW24" s="1177">
        <v>68</v>
      </c>
      <c r="AX24" s="1179"/>
      <c r="AY24" s="1180">
        <v>45</v>
      </c>
      <c r="AZ24" s="1182"/>
      <c r="BA24" s="120">
        <v>113</v>
      </c>
      <c r="BB24" s="1185">
        <v>3</v>
      </c>
      <c r="BC24" s="1186"/>
      <c r="BD24" s="1185">
        <v>76</v>
      </c>
      <c r="BE24" s="1186"/>
      <c r="BF24" s="1185">
        <v>42</v>
      </c>
      <c r="BG24" s="1187"/>
      <c r="BH24" s="1186"/>
      <c r="BI24" s="1180">
        <v>118</v>
      </c>
      <c r="BJ24" s="1182"/>
      <c r="BK24" s="1180">
        <v>3</v>
      </c>
      <c r="BL24" s="1182"/>
      <c r="BM24" s="1180">
        <v>24</v>
      </c>
      <c r="BN24" s="1181"/>
      <c r="BO24" s="1181"/>
      <c r="BP24" s="1182"/>
      <c r="BQ24" s="120">
        <v>18</v>
      </c>
      <c r="BR24" s="1185">
        <v>42</v>
      </c>
      <c r="BS24" s="1186"/>
      <c r="BT24" s="1185">
        <v>9</v>
      </c>
      <c r="BU24" s="1186"/>
      <c r="BV24" s="1185">
        <v>168</v>
      </c>
      <c r="BW24" s="1187"/>
      <c r="BX24" s="1186"/>
      <c r="BY24" s="1180">
        <v>105</v>
      </c>
      <c r="BZ24" s="1182"/>
      <c r="CA24" s="1177">
        <v>273</v>
      </c>
      <c r="CB24" s="1178"/>
      <c r="CC24" s="1179"/>
      <c r="CD24" s="1185">
        <v>9</v>
      </c>
      <c r="CE24" s="1187"/>
      <c r="CF24" s="1186"/>
      <c r="CG24" s="1180">
        <v>168</v>
      </c>
      <c r="CH24" s="1181"/>
      <c r="CI24" s="1182"/>
      <c r="CJ24" s="1177">
        <v>105</v>
      </c>
      <c r="CK24" s="1178"/>
      <c r="CL24" s="1179"/>
      <c r="CM24" s="1185">
        <v>273</v>
      </c>
      <c r="CN24" s="1187"/>
      <c r="CO24" s="1186"/>
      <c r="CP24" s="1185">
        <v>12</v>
      </c>
      <c r="CQ24" s="1187"/>
      <c r="CR24" s="1186"/>
      <c r="CS24" s="1185">
        <v>22</v>
      </c>
      <c r="CT24" s="1187"/>
      <c r="CU24" s="1186"/>
      <c r="CV24" s="1180">
        <v>34</v>
      </c>
      <c r="CW24" s="1182"/>
      <c r="CX24" s="1221" t="s">
        <v>35</v>
      </c>
      <c r="CY24" s="1222"/>
      <c r="CZ24" s="1222"/>
      <c r="DA24" s="1223"/>
      <c r="DB24" s="97">
        <f t="shared" si="0"/>
        <v>90000</v>
      </c>
      <c r="DC24" s="51"/>
      <c r="DD24" s="51"/>
      <c r="DE24" s="51"/>
      <c r="DF24" s="51"/>
      <c r="DG24" s="261"/>
    </row>
    <row r="25" spans="1:111" ht="27.75">
      <c r="A25" s="262">
        <v>19</v>
      </c>
      <c r="B25" s="1224" t="s">
        <v>152</v>
      </c>
      <c r="C25" s="1229"/>
      <c r="D25" s="1229"/>
      <c r="E25" s="1229"/>
      <c r="F25" s="1225"/>
      <c r="G25" s="1221" t="s">
        <v>17</v>
      </c>
      <c r="H25" s="1222"/>
      <c r="I25" s="1223"/>
      <c r="J25" s="1185">
        <v>8</v>
      </c>
      <c r="K25" s="1186"/>
      <c r="L25" s="1177">
        <v>0</v>
      </c>
      <c r="M25" s="1179"/>
      <c r="N25" s="1185">
        <v>0</v>
      </c>
      <c r="O25" s="1186"/>
      <c r="P25" s="1867">
        <v>0</v>
      </c>
      <c r="Q25" s="1869"/>
      <c r="R25" s="1177">
        <v>0</v>
      </c>
      <c r="S25" s="1179"/>
      <c r="T25" s="1185">
        <v>0</v>
      </c>
      <c r="U25" s="1186"/>
      <c r="V25" s="1867">
        <v>0</v>
      </c>
      <c r="W25" s="1868"/>
      <c r="X25" s="1869"/>
      <c r="Y25" s="1867">
        <v>0</v>
      </c>
      <c r="Z25" s="1869"/>
      <c r="AA25" s="1177">
        <v>0</v>
      </c>
      <c r="AB25" s="1179"/>
      <c r="AC25" s="1185">
        <v>0</v>
      </c>
      <c r="AD25" s="1186"/>
      <c r="AE25" s="1177">
        <v>0</v>
      </c>
      <c r="AF25" s="1179"/>
      <c r="AG25" s="1180">
        <v>0</v>
      </c>
      <c r="AH25" s="1182"/>
      <c r="AI25" s="1177">
        <v>0</v>
      </c>
      <c r="AJ25" s="1179"/>
      <c r="AK25" s="1185">
        <v>0</v>
      </c>
      <c r="AL25" s="1186"/>
      <c r="AM25" s="1185">
        <v>0</v>
      </c>
      <c r="AN25" s="1186"/>
      <c r="AO25" s="1185">
        <v>0</v>
      </c>
      <c r="AP25" s="1187"/>
      <c r="AQ25" s="1187"/>
      <c r="AR25" s="1186"/>
      <c r="AS25" s="1185">
        <v>0</v>
      </c>
      <c r="AT25" s="1187"/>
      <c r="AU25" s="1186"/>
      <c r="AV25" s="165">
        <v>4</v>
      </c>
      <c r="AW25" s="1177">
        <v>111</v>
      </c>
      <c r="AX25" s="1179"/>
      <c r="AY25" s="1180">
        <v>148</v>
      </c>
      <c r="AZ25" s="1182"/>
      <c r="BA25" s="120">
        <v>259</v>
      </c>
      <c r="BB25" s="1185">
        <v>4</v>
      </c>
      <c r="BC25" s="1186"/>
      <c r="BD25" s="1185">
        <v>91</v>
      </c>
      <c r="BE25" s="1186"/>
      <c r="BF25" s="1185">
        <v>73</v>
      </c>
      <c r="BG25" s="1187"/>
      <c r="BH25" s="1186"/>
      <c r="BI25" s="1180">
        <v>164</v>
      </c>
      <c r="BJ25" s="1182"/>
      <c r="BK25" s="1180">
        <v>2</v>
      </c>
      <c r="BL25" s="1182"/>
      <c r="BM25" s="1180">
        <v>4</v>
      </c>
      <c r="BN25" s="1181"/>
      <c r="BO25" s="1181"/>
      <c r="BP25" s="1182"/>
      <c r="BQ25" s="120">
        <v>1</v>
      </c>
      <c r="BR25" s="1185">
        <v>5</v>
      </c>
      <c r="BS25" s="1186"/>
      <c r="BT25" s="1185">
        <v>10</v>
      </c>
      <c r="BU25" s="1186"/>
      <c r="BV25" s="1185">
        <v>206</v>
      </c>
      <c r="BW25" s="1187"/>
      <c r="BX25" s="1186"/>
      <c r="BY25" s="1180">
        <v>222</v>
      </c>
      <c r="BZ25" s="1182"/>
      <c r="CA25" s="1177">
        <v>428</v>
      </c>
      <c r="CB25" s="1178"/>
      <c r="CC25" s="1179"/>
      <c r="CD25" s="1185">
        <v>10</v>
      </c>
      <c r="CE25" s="1187"/>
      <c r="CF25" s="1186"/>
      <c r="CG25" s="1180">
        <v>206</v>
      </c>
      <c r="CH25" s="1181"/>
      <c r="CI25" s="1182"/>
      <c r="CJ25" s="1177">
        <v>222</v>
      </c>
      <c r="CK25" s="1178"/>
      <c r="CL25" s="1179"/>
      <c r="CM25" s="1185">
        <v>428</v>
      </c>
      <c r="CN25" s="1187"/>
      <c r="CO25" s="1186"/>
      <c r="CP25" s="1185">
        <v>10</v>
      </c>
      <c r="CQ25" s="1187"/>
      <c r="CR25" s="1186"/>
      <c r="CS25" s="1185">
        <v>24</v>
      </c>
      <c r="CT25" s="1187"/>
      <c r="CU25" s="1186"/>
      <c r="CV25" s="1180">
        <v>34</v>
      </c>
      <c r="CW25" s="1182"/>
      <c r="CX25" s="1221" t="s">
        <v>35</v>
      </c>
      <c r="CY25" s="1222"/>
      <c r="CZ25" s="1222"/>
      <c r="DA25" s="1223"/>
      <c r="DB25" s="97">
        <f t="shared" si="0"/>
        <v>90000</v>
      </c>
      <c r="DC25" s="51"/>
      <c r="DD25" s="51"/>
      <c r="DE25" s="51"/>
      <c r="DF25" s="51"/>
      <c r="DG25" s="261"/>
    </row>
    <row r="26" spans="1:111" ht="27.75">
      <c r="A26" s="262">
        <v>20</v>
      </c>
      <c r="B26" s="1212" t="s">
        <v>153</v>
      </c>
      <c r="C26" s="1213"/>
      <c r="D26" s="1213"/>
      <c r="E26" s="1213"/>
      <c r="F26" s="1214"/>
      <c r="G26" s="1221" t="s">
        <v>17</v>
      </c>
      <c r="H26" s="1222"/>
      <c r="I26" s="1223"/>
      <c r="J26" s="1185">
        <v>6</v>
      </c>
      <c r="K26" s="1186"/>
      <c r="L26" s="1177">
        <v>0</v>
      </c>
      <c r="M26" s="1179"/>
      <c r="N26" s="1185">
        <v>0</v>
      </c>
      <c r="O26" s="1186"/>
      <c r="P26" s="1867">
        <v>0</v>
      </c>
      <c r="Q26" s="1869"/>
      <c r="R26" s="1177">
        <v>0</v>
      </c>
      <c r="S26" s="1179"/>
      <c r="T26" s="1185">
        <v>0</v>
      </c>
      <c r="U26" s="1186"/>
      <c r="V26" s="1867">
        <v>0</v>
      </c>
      <c r="W26" s="1868"/>
      <c r="X26" s="1869"/>
      <c r="Y26" s="1867">
        <v>0</v>
      </c>
      <c r="Z26" s="1869"/>
      <c r="AA26" s="1177">
        <v>0</v>
      </c>
      <c r="AB26" s="1179"/>
      <c r="AC26" s="1185">
        <v>0</v>
      </c>
      <c r="AD26" s="1186"/>
      <c r="AE26" s="1177">
        <v>0</v>
      </c>
      <c r="AF26" s="1179"/>
      <c r="AG26" s="1180">
        <v>0</v>
      </c>
      <c r="AH26" s="1182"/>
      <c r="AI26" s="1177">
        <v>0</v>
      </c>
      <c r="AJ26" s="1179"/>
      <c r="AK26" s="1185">
        <v>0</v>
      </c>
      <c r="AL26" s="1186"/>
      <c r="AM26" s="1185">
        <v>0</v>
      </c>
      <c r="AN26" s="1186"/>
      <c r="AO26" s="1185">
        <v>0</v>
      </c>
      <c r="AP26" s="1187"/>
      <c r="AQ26" s="1187"/>
      <c r="AR26" s="1186"/>
      <c r="AS26" s="1185">
        <v>0</v>
      </c>
      <c r="AT26" s="1187"/>
      <c r="AU26" s="1186"/>
      <c r="AV26" s="165">
        <v>7</v>
      </c>
      <c r="AW26" s="1177">
        <v>353</v>
      </c>
      <c r="AX26" s="1179"/>
      <c r="AY26" s="1180">
        <v>298</v>
      </c>
      <c r="AZ26" s="1182"/>
      <c r="BA26" s="120">
        <v>651</v>
      </c>
      <c r="BB26" s="1185">
        <v>3</v>
      </c>
      <c r="BC26" s="1186"/>
      <c r="BD26" s="1185">
        <v>79</v>
      </c>
      <c r="BE26" s="1186"/>
      <c r="BF26" s="1185">
        <v>121</v>
      </c>
      <c r="BG26" s="1187"/>
      <c r="BH26" s="1186"/>
      <c r="BI26" s="1180">
        <v>200</v>
      </c>
      <c r="BJ26" s="1182"/>
      <c r="BK26" s="1180">
        <v>1</v>
      </c>
      <c r="BL26" s="1182"/>
      <c r="BM26" s="1180">
        <v>13</v>
      </c>
      <c r="BN26" s="1181"/>
      <c r="BO26" s="1181"/>
      <c r="BP26" s="1182"/>
      <c r="BQ26" s="120">
        <v>14</v>
      </c>
      <c r="BR26" s="1185">
        <v>27</v>
      </c>
      <c r="BS26" s="1186"/>
      <c r="BT26" s="1185">
        <v>11</v>
      </c>
      <c r="BU26" s="1186"/>
      <c r="BV26" s="1185">
        <v>445</v>
      </c>
      <c r="BW26" s="1187"/>
      <c r="BX26" s="1186"/>
      <c r="BY26" s="1180">
        <v>433</v>
      </c>
      <c r="BZ26" s="1182"/>
      <c r="CA26" s="1177">
        <v>878</v>
      </c>
      <c r="CB26" s="1178"/>
      <c r="CC26" s="1179"/>
      <c r="CD26" s="1185">
        <v>11</v>
      </c>
      <c r="CE26" s="1187"/>
      <c r="CF26" s="1186"/>
      <c r="CG26" s="1180">
        <v>445</v>
      </c>
      <c r="CH26" s="1181"/>
      <c r="CI26" s="1182"/>
      <c r="CJ26" s="1177">
        <v>433</v>
      </c>
      <c r="CK26" s="1178"/>
      <c r="CL26" s="1179"/>
      <c r="CM26" s="1185">
        <v>878</v>
      </c>
      <c r="CN26" s="1187"/>
      <c r="CO26" s="1186"/>
      <c r="CP26" s="1185">
        <v>11</v>
      </c>
      <c r="CQ26" s="1187"/>
      <c r="CR26" s="1186"/>
      <c r="CS26" s="1185">
        <v>22</v>
      </c>
      <c r="CT26" s="1187"/>
      <c r="CU26" s="1186"/>
      <c r="CV26" s="1180">
        <v>33</v>
      </c>
      <c r="CW26" s="1182"/>
      <c r="CX26" s="1221" t="s">
        <v>35</v>
      </c>
      <c r="CY26" s="1222"/>
      <c r="CZ26" s="1222"/>
      <c r="DA26" s="1223"/>
      <c r="DB26" s="97">
        <f t="shared" si="0"/>
        <v>90000</v>
      </c>
      <c r="DC26" s="51"/>
      <c r="DD26" s="51"/>
      <c r="DE26" s="51"/>
      <c r="DF26" s="51"/>
      <c r="DG26" s="261"/>
    </row>
    <row r="27" spans="1:111" ht="27.75">
      <c r="A27" s="262">
        <v>21</v>
      </c>
      <c r="B27" s="1224" t="s">
        <v>154</v>
      </c>
      <c r="C27" s="1229"/>
      <c r="D27" s="1229"/>
      <c r="E27" s="1229"/>
      <c r="F27" s="1225"/>
      <c r="G27" s="1221" t="s">
        <v>17</v>
      </c>
      <c r="H27" s="1222"/>
      <c r="I27" s="1223"/>
      <c r="J27" s="1185">
        <v>9</v>
      </c>
      <c r="K27" s="1186"/>
      <c r="L27" s="1177">
        <v>0</v>
      </c>
      <c r="M27" s="1179"/>
      <c r="N27" s="1185">
        <v>0</v>
      </c>
      <c r="O27" s="1186"/>
      <c r="P27" s="1867">
        <v>0</v>
      </c>
      <c r="Q27" s="1869"/>
      <c r="R27" s="1177">
        <v>0</v>
      </c>
      <c r="S27" s="1179"/>
      <c r="T27" s="1185">
        <v>0</v>
      </c>
      <c r="U27" s="1186"/>
      <c r="V27" s="1867">
        <v>0</v>
      </c>
      <c r="W27" s="1868"/>
      <c r="X27" s="1869"/>
      <c r="Y27" s="1867">
        <v>0</v>
      </c>
      <c r="Z27" s="1869"/>
      <c r="AA27" s="1177">
        <v>0</v>
      </c>
      <c r="AB27" s="1179"/>
      <c r="AC27" s="1185">
        <v>0</v>
      </c>
      <c r="AD27" s="1186"/>
      <c r="AE27" s="1177">
        <v>0</v>
      </c>
      <c r="AF27" s="1179"/>
      <c r="AG27" s="1180">
        <v>0</v>
      </c>
      <c r="AH27" s="1182"/>
      <c r="AI27" s="1177">
        <v>0</v>
      </c>
      <c r="AJ27" s="1179"/>
      <c r="AK27" s="1185">
        <v>0</v>
      </c>
      <c r="AL27" s="1186"/>
      <c r="AM27" s="1185">
        <v>0</v>
      </c>
      <c r="AN27" s="1186"/>
      <c r="AO27" s="1185">
        <v>0</v>
      </c>
      <c r="AP27" s="1187"/>
      <c r="AQ27" s="1187"/>
      <c r="AR27" s="1186"/>
      <c r="AS27" s="1185">
        <v>0</v>
      </c>
      <c r="AT27" s="1187"/>
      <c r="AU27" s="1186"/>
      <c r="AV27" s="165">
        <v>6</v>
      </c>
      <c r="AW27" s="1177">
        <v>0</v>
      </c>
      <c r="AX27" s="1179"/>
      <c r="AY27" s="1180">
        <v>268</v>
      </c>
      <c r="AZ27" s="1182"/>
      <c r="BA27" s="120">
        <v>268</v>
      </c>
      <c r="BB27" s="1185">
        <v>4</v>
      </c>
      <c r="BC27" s="1186"/>
      <c r="BD27" s="1185">
        <v>0</v>
      </c>
      <c r="BE27" s="1186"/>
      <c r="BF27" s="1185">
        <v>165</v>
      </c>
      <c r="BG27" s="1187"/>
      <c r="BH27" s="1186"/>
      <c r="BI27" s="1180">
        <v>165</v>
      </c>
      <c r="BJ27" s="1182"/>
      <c r="BK27" s="1180">
        <v>3</v>
      </c>
      <c r="BL27" s="1182"/>
      <c r="BM27" s="1180">
        <v>0</v>
      </c>
      <c r="BN27" s="1181"/>
      <c r="BO27" s="1181"/>
      <c r="BP27" s="1182"/>
      <c r="BQ27" s="120">
        <v>136</v>
      </c>
      <c r="BR27" s="1185">
        <v>136</v>
      </c>
      <c r="BS27" s="1186"/>
      <c r="BT27" s="1185">
        <v>13</v>
      </c>
      <c r="BU27" s="1186"/>
      <c r="BV27" s="1185">
        <v>0</v>
      </c>
      <c r="BW27" s="1187"/>
      <c r="BX27" s="1186"/>
      <c r="BY27" s="1180">
        <v>569</v>
      </c>
      <c r="BZ27" s="1182"/>
      <c r="CA27" s="1177">
        <v>569</v>
      </c>
      <c r="CB27" s="1178"/>
      <c r="CC27" s="1179"/>
      <c r="CD27" s="1185">
        <v>13</v>
      </c>
      <c r="CE27" s="1187"/>
      <c r="CF27" s="1186"/>
      <c r="CG27" s="1867">
        <v>0</v>
      </c>
      <c r="CH27" s="1868"/>
      <c r="CI27" s="1869"/>
      <c r="CJ27" s="1177">
        <v>569</v>
      </c>
      <c r="CK27" s="1178"/>
      <c r="CL27" s="1179"/>
      <c r="CM27" s="1185">
        <v>569</v>
      </c>
      <c r="CN27" s="1187"/>
      <c r="CO27" s="1186"/>
      <c r="CP27" s="1185">
        <v>10</v>
      </c>
      <c r="CQ27" s="1187"/>
      <c r="CR27" s="1186"/>
      <c r="CS27" s="1185">
        <v>29</v>
      </c>
      <c r="CT27" s="1187"/>
      <c r="CU27" s="1186"/>
      <c r="CV27" s="1180">
        <v>39</v>
      </c>
      <c r="CW27" s="1182"/>
      <c r="CX27" s="1221" t="s">
        <v>35</v>
      </c>
      <c r="CY27" s="1222"/>
      <c r="CZ27" s="1222"/>
      <c r="DA27" s="1223"/>
      <c r="DB27" s="97">
        <f t="shared" si="0"/>
        <v>90000</v>
      </c>
      <c r="DC27" s="51"/>
      <c r="DD27" s="51"/>
      <c r="DE27" s="51"/>
      <c r="DF27" s="51"/>
      <c r="DG27" s="261"/>
    </row>
    <row r="28" spans="1:111" ht="27.75">
      <c r="A28" s="262">
        <v>22</v>
      </c>
      <c r="B28" s="1212" t="s">
        <v>155</v>
      </c>
      <c r="C28" s="1213"/>
      <c r="D28" s="1213"/>
      <c r="E28" s="1213"/>
      <c r="F28" s="1214"/>
      <c r="G28" s="1221" t="s">
        <v>17</v>
      </c>
      <c r="H28" s="1222"/>
      <c r="I28" s="1223"/>
      <c r="J28" s="1185">
        <v>2</v>
      </c>
      <c r="K28" s="1186"/>
      <c r="L28" s="1177">
        <v>0</v>
      </c>
      <c r="M28" s="1179"/>
      <c r="N28" s="1185">
        <v>0</v>
      </c>
      <c r="O28" s="1186"/>
      <c r="P28" s="1867">
        <v>0</v>
      </c>
      <c r="Q28" s="1869"/>
      <c r="R28" s="1177">
        <v>0</v>
      </c>
      <c r="S28" s="1179"/>
      <c r="T28" s="1185">
        <v>0</v>
      </c>
      <c r="U28" s="1186"/>
      <c r="V28" s="1867">
        <v>0</v>
      </c>
      <c r="W28" s="1868"/>
      <c r="X28" s="1869"/>
      <c r="Y28" s="1867">
        <v>0</v>
      </c>
      <c r="Z28" s="1869"/>
      <c r="AA28" s="1177">
        <v>0</v>
      </c>
      <c r="AB28" s="1179"/>
      <c r="AC28" s="1185">
        <v>0</v>
      </c>
      <c r="AD28" s="1186"/>
      <c r="AE28" s="1177">
        <v>0</v>
      </c>
      <c r="AF28" s="1179"/>
      <c r="AG28" s="1180">
        <v>0</v>
      </c>
      <c r="AH28" s="1182"/>
      <c r="AI28" s="1177">
        <v>0</v>
      </c>
      <c r="AJ28" s="1179"/>
      <c r="AK28" s="1185">
        <v>0</v>
      </c>
      <c r="AL28" s="1186"/>
      <c r="AM28" s="1185">
        <v>0</v>
      </c>
      <c r="AN28" s="1186"/>
      <c r="AO28" s="1185">
        <v>0</v>
      </c>
      <c r="AP28" s="1187"/>
      <c r="AQ28" s="1187"/>
      <c r="AR28" s="1186"/>
      <c r="AS28" s="1185">
        <v>0</v>
      </c>
      <c r="AT28" s="1187"/>
      <c r="AU28" s="1186"/>
      <c r="AV28" s="165">
        <v>8</v>
      </c>
      <c r="AW28" s="1177">
        <v>0</v>
      </c>
      <c r="AX28" s="1179"/>
      <c r="AY28" s="1180">
        <v>1010</v>
      </c>
      <c r="AZ28" s="1182"/>
      <c r="BA28" s="120">
        <v>1010</v>
      </c>
      <c r="BB28" s="1185">
        <v>5</v>
      </c>
      <c r="BC28" s="1186"/>
      <c r="BD28" s="1185">
        <v>0</v>
      </c>
      <c r="BE28" s="1186"/>
      <c r="BF28" s="1185">
        <v>406</v>
      </c>
      <c r="BG28" s="1187"/>
      <c r="BH28" s="1186"/>
      <c r="BI28" s="1180">
        <v>406</v>
      </c>
      <c r="BJ28" s="1182"/>
      <c r="BK28" s="1180">
        <v>4</v>
      </c>
      <c r="BL28" s="1182"/>
      <c r="BM28" s="1180">
        <v>0</v>
      </c>
      <c r="BN28" s="1181"/>
      <c r="BO28" s="1181"/>
      <c r="BP28" s="1182"/>
      <c r="BQ28" s="120">
        <v>262</v>
      </c>
      <c r="BR28" s="1185">
        <v>262</v>
      </c>
      <c r="BS28" s="1186"/>
      <c r="BT28" s="1185">
        <v>17</v>
      </c>
      <c r="BU28" s="1186"/>
      <c r="BV28" s="1185">
        <v>0</v>
      </c>
      <c r="BW28" s="1187"/>
      <c r="BX28" s="1186"/>
      <c r="BY28" s="1180">
        <v>1678</v>
      </c>
      <c r="BZ28" s="1182"/>
      <c r="CA28" s="1177">
        <v>1678</v>
      </c>
      <c r="CB28" s="1178"/>
      <c r="CC28" s="1179"/>
      <c r="CD28" s="1185">
        <v>17</v>
      </c>
      <c r="CE28" s="1187"/>
      <c r="CF28" s="1186"/>
      <c r="CG28" s="1867">
        <v>0</v>
      </c>
      <c r="CH28" s="1868"/>
      <c r="CI28" s="1869"/>
      <c r="CJ28" s="1177">
        <v>1678</v>
      </c>
      <c r="CK28" s="1178"/>
      <c r="CL28" s="1179"/>
      <c r="CM28" s="1185">
        <v>1678</v>
      </c>
      <c r="CN28" s="1187"/>
      <c r="CO28" s="1186"/>
      <c r="CP28" s="1185">
        <v>14</v>
      </c>
      <c r="CQ28" s="1187"/>
      <c r="CR28" s="1186"/>
      <c r="CS28" s="1185">
        <v>26</v>
      </c>
      <c r="CT28" s="1187"/>
      <c r="CU28" s="1186"/>
      <c r="CV28" s="1180">
        <v>40</v>
      </c>
      <c r="CW28" s="1182"/>
      <c r="CX28" s="1221" t="s">
        <v>35</v>
      </c>
      <c r="CY28" s="1222"/>
      <c r="CZ28" s="1222"/>
      <c r="DA28" s="1223"/>
      <c r="DB28" s="97">
        <f t="shared" si="0"/>
        <v>150000</v>
      </c>
      <c r="DC28" s="51"/>
      <c r="DD28" s="51"/>
      <c r="DE28" s="51"/>
      <c r="DF28" s="51"/>
      <c r="DG28" s="261"/>
    </row>
    <row r="29" spans="1:111" ht="27.75">
      <c r="A29" s="262">
        <v>23</v>
      </c>
      <c r="B29" s="1224" t="s">
        <v>156</v>
      </c>
      <c r="C29" s="1229"/>
      <c r="D29" s="1229"/>
      <c r="E29" s="1229"/>
      <c r="F29" s="1225"/>
      <c r="G29" s="1221" t="s">
        <v>17</v>
      </c>
      <c r="H29" s="1222"/>
      <c r="I29" s="1223"/>
      <c r="J29" s="1185">
        <v>11</v>
      </c>
      <c r="K29" s="1186"/>
      <c r="L29" s="1177">
        <v>2</v>
      </c>
      <c r="M29" s="1179"/>
      <c r="N29" s="1185">
        <v>25</v>
      </c>
      <c r="O29" s="1186"/>
      <c r="P29" s="1180">
        <v>37</v>
      </c>
      <c r="Q29" s="1182"/>
      <c r="R29" s="1177">
        <v>62</v>
      </c>
      <c r="S29" s="1179"/>
      <c r="T29" s="1185">
        <v>2</v>
      </c>
      <c r="U29" s="1186"/>
      <c r="V29" s="1180">
        <v>21</v>
      </c>
      <c r="W29" s="1181"/>
      <c r="X29" s="1182"/>
      <c r="Y29" s="1180">
        <v>34</v>
      </c>
      <c r="Z29" s="1182"/>
      <c r="AA29" s="1177">
        <v>55</v>
      </c>
      <c r="AB29" s="1179"/>
      <c r="AC29" s="1185">
        <v>2</v>
      </c>
      <c r="AD29" s="1186"/>
      <c r="AE29" s="1177">
        <v>33</v>
      </c>
      <c r="AF29" s="1179"/>
      <c r="AG29" s="1180">
        <v>40</v>
      </c>
      <c r="AH29" s="1182"/>
      <c r="AI29" s="1177">
        <v>73</v>
      </c>
      <c r="AJ29" s="1179"/>
      <c r="AK29" s="1185">
        <v>6</v>
      </c>
      <c r="AL29" s="1186"/>
      <c r="AM29" s="1185">
        <v>79</v>
      </c>
      <c r="AN29" s="1186"/>
      <c r="AO29" s="1185">
        <v>111</v>
      </c>
      <c r="AP29" s="1187"/>
      <c r="AQ29" s="1187"/>
      <c r="AR29" s="1186"/>
      <c r="AS29" s="1185">
        <v>190</v>
      </c>
      <c r="AT29" s="1187"/>
      <c r="AU29" s="1186"/>
      <c r="AV29" s="165">
        <v>2</v>
      </c>
      <c r="AW29" s="1177">
        <v>31</v>
      </c>
      <c r="AX29" s="1179"/>
      <c r="AY29" s="1180">
        <v>21</v>
      </c>
      <c r="AZ29" s="1182"/>
      <c r="BA29" s="120">
        <v>52</v>
      </c>
      <c r="BB29" s="1185">
        <v>2</v>
      </c>
      <c r="BC29" s="1186"/>
      <c r="BD29" s="1185">
        <v>28</v>
      </c>
      <c r="BE29" s="1186"/>
      <c r="BF29" s="1185">
        <v>16</v>
      </c>
      <c r="BG29" s="1187"/>
      <c r="BH29" s="1186"/>
      <c r="BI29" s="1180">
        <v>44</v>
      </c>
      <c r="BJ29" s="1182"/>
      <c r="BK29" s="1180">
        <v>2</v>
      </c>
      <c r="BL29" s="1182"/>
      <c r="BM29" s="1180">
        <v>22</v>
      </c>
      <c r="BN29" s="1181"/>
      <c r="BO29" s="1181"/>
      <c r="BP29" s="1182"/>
      <c r="BQ29" s="120">
        <v>20</v>
      </c>
      <c r="BR29" s="1185">
        <v>42</v>
      </c>
      <c r="BS29" s="1186"/>
      <c r="BT29" s="1185">
        <v>6</v>
      </c>
      <c r="BU29" s="1186"/>
      <c r="BV29" s="1185">
        <v>81</v>
      </c>
      <c r="BW29" s="1187"/>
      <c r="BX29" s="1186"/>
      <c r="BY29" s="1180">
        <v>57</v>
      </c>
      <c r="BZ29" s="1182"/>
      <c r="CA29" s="1177">
        <v>138</v>
      </c>
      <c r="CB29" s="1178"/>
      <c r="CC29" s="1179"/>
      <c r="CD29" s="1185">
        <v>12</v>
      </c>
      <c r="CE29" s="1187"/>
      <c r="CF29" s="1186"/>
      <c r="CG29" s="1180">
        <v>160</v>
      </c>
      <c r="CH29" s="1181"/>
      <c r="CI29" s="1182"/>
      <c r="CJ29" s="1177">
        <v>168</v>
      </c>
      <c r="CK29" s="1178"/>
      <c r="CL29" s="1179"/>
      <c r="CM29" s="1185">
        <v>328</v>
      </c>
      <c r="CN29" s="1187"/>
      <c r="CO29" s="1186"/>
      <c r="CP29" s="1185">
        <v>13</v>
      </c>
      <c r="CQ29" s="1187"/>
      <c r="CR29" s="1186"/>
      <c r="CS29" s="1185">
        <v>4</v>
      </c>
      <c r="CT29" s="1187"/>
      <c r="CU29" s="1186"/>
      <c r="CV29" s="1180">
        <v>17</v>
      </c>
      <c r="CW29" s="1182"/>
      <c r="CX29" s="1221" t="s">
        <v>35</v>
      </c>
      <c r="CY29" s="1222"/>
      <c r="CZ29" s="1222"/>
      <c r="DA29" s="1223"/>
      <c r="DB29" s="97">
        <f t="shared" si="0"/>
        <v>90000</v>
      </c>
      <c r="DC29" s="51"/>
      <c r="DD29" s="51"/>
      <c r="DE29" s="51"/>
      <c r="DF29" s="51"/>
      <c r="DG29" s="261"/>
    </row>
    <row r="30" spans="1:111" s="4" customFormat="1" ht="27.75">
      <c r="A30" s="262">
        <v>24</v>
      </c>
      <c r="B30" s="1212" t="s">
        <v>157</v>
      </c>
      <c r="C30" s="1213"/>
      <c r="D30" s="1213"/>
      <c r="E30" s="1213"/>
      <c r="F30" s="1214"/>
      <c r="G30" s="1221" t="s">
        <v>17</v>
      </c>
      <c r="H30" s="1222"/>
      <c r="I30" s="1223"/>
      <c r="J30" s="1185">
        <v>9</v>
      </c>
      <c r="K30" s="1186"/>
      <c r="L30" s="1177">
        <v>3</v>
      </c>
      <c r="M30" s="1179"/>
      <c r="N30" s="1185">
        <v>87</v>
      </c>
      <c r="O30" s="1186"/>
      <c r="P30" s="1180">
        <v>50</v>
      </c>
      <c r="Q30" s="1182"/>
      <c r="R30" s="1177">
        <v>137</v>
      </c>
      <c r="S30" s="1179"/>
      <c r="T30" s="1185">
        <v>3</v>
      </c>
      <c r="U30" s="1186"/>
      <c r="V30" s="1180">
        <v>68</v>
      </c>
      <c r="W30" s="1181"/>
      <c r="X30" s="1182"/>
      <c r="Y30" s="1180">
        <v>38</v>
      </c>
      <c r="Z30" s="1182"/>
      <c r="AA30" s="1177">
        <v>106</v>
      </c>
      <c r="AB30" s="1179"/>
      <c r="AC30" s="1185">
        <v>2</v>
      </c>
      <c r="AD30" s="1186"/>
      <c r="AE30" s="1177">
        <v>67</v>
      </c>
      <c r="AF30" s="1179"/>
      <c r="AG30" s="1180">
        <v>29</v>
      </c>
      <c r="AH30" s="1182"/>
      <c r="AI30" s="1177">
        <v>96</v>
      </c>
      <c r="AJ30" s="1179"/>
      <c r="AK30" s="1185">
        <v>8</v>
      </c>
      <c r="AL30" s="1186"/>
      <c r="AM30" s="1185">
        <v>222</v>
      </c>
      <c r="AN30" s="1186"/>
      <c r="AO30" s="1185">
        <v>117</v>
      </c>
      <c r="AP30" s="1187"/>
      <c r="AQ30" s="1187"/>
      <c r="AR30" s="1186"/>
      <c r="AS30" s="1185">
        <v>339</v>
      </c>
      <c r="AT30" s="1187"/>
      <c r="AU30" s="1186"/>
      <c r="AV30" s="165">
        <v>2</v>
      </c>
      <c r="AW30" s="1177">
        <v>49</v>
      </c>
      <c r="AX30" s="1179"/>
      <c r="AY30" s="1180">
        <v>34</v>
      </c>
      <c r="AZ30" s="1182"/>
      <c r="BA30" s="120">
        <v>83</v>
      </c>
      <c r="BB30" s="1185">
        <v>2</v>
      </c>
      <c r="BC30" s="1186"/>
      <c r="BD30" s="1185">
        <v>29</v>
      </c>
      <c r="BE30" s="1186"/>
      <c r="BF30" s="1185">
        <v>16</v>
      </c>
      <c r="BG30" s="1187"/>
      <c r="BH30" s="1186"/>
      <c r="BI30" s="1180">
        <v>45</v>
      </c>
      <c r="BJ30" s="1182"/>
      <c r="BK30" s="1180">
        <v>1</v>
      </c>
      <c r="BL30" s="1182"/>
      <c r="BM30" s="1180">
        <v>14</v>
      </c>
      <c r="BN30" s="1181"/>
      <c r="BO30" s="1181"/>
      <c r="BP30" s="1182"/>
      <c r="BQ30" s="120">
        <v>8</v>
      </c>
      <c r="BR30" s="1185">
        <v>22</v>
      </c>
      <c r="BS30" s="1186"/>
      <c r="BT30" s="1185">
        <v>5</v>
      </c>
      <c r="BU30" s="1186"/>
      <c r="BV30" s="1185">
        <v>92</v>
      </c>
      <c r="BW30" s="1187"/>
      <c r="BX30" s="1186"/>
      <c r="BY30" s="1180">
        <v>58</v>
      </c>
      <c r="BZ30" s="1182"/>
      <c r="CA30" s="1177">
        <v>150</v>
      </c>
      <c r="CB30" s="1178"/>
      <c r="CC30" s="1179"/>
      <c r="CD30" s="1185">
        <v>13</v>
      </c>
      <c r="CE30" s="1187"/>
      <c r="CF30" s="1186"/>
      <c r="CG30" s="1180">
        <v>314</v>
      </c>
      <c r="CH30" s="1181"/>
      <c r="CI30" s="1182"/>
      <c r="CJ30" s="1177">
        <v>175</v>
      </c>
      <c r="CK30" s="1178"/>
      <c r="CL30" s="1179"/>
      <c r="CM30" s="1185">
        <v>489</v>
      </c>
      <c r="CN30" s="1187"/>
      <c r="CO30" s="1186"/>
      <c r="CP30" s="1185">
        <v>10</v>
      </c>
      <c r="CQ30" s="1187"/>
      <c r="CR30" s="1186"/>
      <c r="CS30" s="1185">
        <v>21</v>
      </c>
      <c r="CT30" s="1187"/>
      <c r="CU30" s="1186"/>
      <c r="CV30" s="1180">
        <v>31</v>
      </c>
      <c r="CW30" s="1182"/>
      <c r="CX30" s="1221" t="s">
        <v>35</v>
      </c>
      <c r="CY30" s="1222"/>
      <c r="CZ30" s="1222"/>
      <c r="DA30" s="1223"/>
      <c r="DB30" s="97">
        <f t="shared" si="0"/>
        <v>90000</v>
      </c>
      <c r="DG30" s="263"/>
    </row>
    <row r="31" spans="1:111" ht="27.75">
      <c r="A31" s="262">
        <v>25</v>
      </c>
      <c r="B31" s="1224" t="s">
        <v>158</v>
      </c>
      <c r="C31" s="1229"/>
      <c r="D31" s="1229"/>
      <c r="E31" s="1229"/>
      <c r="F31" s="1225"/>
      <c r="G31" s="1221" t="s">
        <v>17</v>
      </c>
      <c r="H31" s="1222"/>
      <c r="I31" s="1223"/>
      <c r="J31" s="1185">
        <v>11</v>
      </c>
      <c r="K31" s="1186"/>
      <c r="L31" s="1177">
        <v>2</v>
      </c>
      <c r="M31" s="1179"/>
      <c r="N31" s="1185">
        <v>53</v>
      </c>
      <c r="O31" s="1186"/>
      <c r="P31" s="1180">
        <v>56</v>
      </c>
      <c r="Q31" s="1182"/>
      <c r="R31" s="1177">
        <v>109</v>
      </c>
      <c r="S31" s="1179"/>
      <c r="T31" s="1185">
        <v>1</v>
      </c>
      <c r="U31" s="1186"/>
      <c r="V31" s="1180">
        <v>22</v>
      </c>
      <c r="W31" s="1181"/>
      <c r="X31" s="1182"/>
      <c r="Y31" s="1180">
        <v>23</v>
      </c>
      <c r="Z31" s="1182"/>
      <c r="AA31" s="1177">
        <v>45</v>
      </c>
      <c r="AB31" s="1179"/>
      <c r="AC31" s="1185">
        <v>1</v>
      </c>
      <c r="AD31" s="1186"/>
      <c r="AE31" s="1177">
        <v>9</v>
      </c>
      <c r="AF31" s="1179"/>
      <c r="AG31" s="1180">
        <v>8</v>
      </c>
      <c r="AH31" s="1182"/>
      <c r="AI31" s="1177">
        <v>17</v>
      </c>
      <c r="AJ31" s="1179"/>
      <c r="AK31" s="1185">
        <v>4</v>
      </c>
      <c r="AL31" s="1186"/>
      <c r="AM31" s="1185">
        <v>84</v>
      </c>
      <c r="AN31" s="1186"/>
      <c r="AO31" s="1185">
        <v>87</v>
      </c>
      <c r="AP31" s="1187"/>
      <c r="AQ31" s="1187"/>
      <c r="AR31" s="1186"/>
      <c r="AS31" s="1185">
        <v>171</v>
      </c>
      <c r="AT31" s="1187"/>
      <c r="AU31" s="1186"/>
      <c r="AV31" s="165">
        <v>2</v>
      </c>
      <c r="AW31" s="1177">
        <v>41</v>
      </c>
      <c r="AX31" s="1179"/>
      <c r="AY31" s="1180">
        <v>44</v>
      </c>
      <c r="AZ31" s="1182"/>
      <c r="BA31" s="120">
        <v>85</v>
      </c>
      <c r="BB31" s="1185">
        <v>1</v>
      </c>
      <c r="BC31" s="1186"/>
      <c r="BD31" s="1185">
        <v>10</v>
      </c>
      <c r="BE31" s="1186"/>
      <c r="BF31" s="1185">
        <v>18</v>
      </c>
      <c r="BG31" s="1187"/>
      <c r="BH31" s="1186"/>
      <c r="BI31" s="1180">
        <v>28</v>
      </c>
      <c r="BJ31" s="1182"/>
      <c r="BK31" s="1180">
        <v>1</v>
      </c>
      <c r="BL31" s="1182"/>
      <c r="BM31" s="1180">
        <v>9</v>
      </c>
      <c r="BN31" s="1181"/>
      <c r="BO31" s="1181"/>
      <c r="BP31" s="1182"/>
      <c r="BQ31" s="120">
        <v>14</v>
      </c>
      <c r="BR31" s="1185">
        <v>23</v>
      </c>
      <c r="BS31" s="1186"/>
      <c r="BT31" s="1185">
        <v>4</v>
      </c>
      <c r="BU31" s="1186"/>
      <c r="BV31" s="1185">
        <v>60</v>
      </c>
      <c r="BW31" s="1187"/>
      <c r="BX31" s="1186"/>
      <c r="BY31" s="1180">
        <v>76</v>
      </c>
      <c r="BZ31" s="1182"/>
      <c r="CA31" s="1177">
        <v>136</v>
      </c>
      <c r="CB31" s="1178"/>
      <c r="CC31" s="1179"/>
      <c r="CD31" s="1185">
        <v>8</v>
      </c>
      <c r="CE31" s="1187"/>
      <c r="CF31" s="1186"/>
      <c r="CG31" s="1180">
        <v>144</v>
      </c>
      <c r="CH31" s="1181"/>
      <c r="CI31" s="1182"/>
      <c r="CJ31" s="1177">
        <v>163</v>
      </c>
      <c r="CK31" s="1178"/>
      <c r="CL31" s="1179"/>
      <c r="CM31" s="1185">
        <v>307</v>
      </c>
      <c r="CN31" s="1187"/>
      <c r="CO31" s="1186"/>
      <c r="CP31" s="1185">
        <v>12</v>
      </c>
      <c r="CQ31" s="1187"/>
      <c r="CR31" s="1186"/>
      <c r="CS31" s="1185">
        <v>15</v>
      </c>
      <c r="CT31" s="1187"/>
      <c r="CU31" s="1186"/>
      <c r="CV31" s="1180">
        <v>27</v>
      </c>
      <c r="CW31" s="1182"/>
      <c r="CX31" s="1221" t="s">
        <v>35</v>
      </c>
      <c r="CY31" s="1222"/>
      <c r="CZ31" s="1222"/>
      <c r="DA31" s="1223"/>
      <c r="DB31" s="97">
        <f t="shared" si="0"/>
        <v>90000</v>
      </c>
      <c r="DC31" s="51"/>
      <c r="DD31" s="51"/>
      <c r="DE31" s="51"/>
      <c r="DF31" s="51"/>
      <c r="DG31" s="261"/>
    </row>
    <row r="32" spans="1:111" ht="27.75">
      <c r="A32" s="262">
        <v>26</v>
      </c>
      <c r="B32" s="1212" t="s">
        <v>159</v>
      </c>
      <c r="C32" s="1213"/>
      <c r="D32" s="1213"/>
      <c r="E32" s="1213"/>
      <c r="F32" s="1214"/>
      <c r="G32" s="1221" t="s">
        <v>17</v>
      </c>
      <c r="H32" s="1222"/>
      <c r="I32" s="1223"/>
      <c r="J32" s="1185">
        <v>11</v>
      </c>
      <c r="K32" s="1186"/>
      <c r="L32" s="1177">
        <v>1</v>
      </c>
      <c r="M32" s="1179"/>
      <c r="N32" s="1185">
        <v>15</v>
      </c>
      <c r="O32" s="1186"/>
      <c r="P32" s="1180">
        <v>10</v>
      </c>
      <c r="Q32" s="1182"/>
      <c r="R32" s="1177">
        <v>25</v>
      </c>
      <c r="S32" s="1179"/>
      <c r="T32" s="1185">
        <v>1</v>
      </c>
      <c r="U32" s="1186"/>
      <c r="V32" s="1180">
        <v>20</v>
      </c>
      <c r="W32" s="1181"/>
      <c r="X32" s="1182"/>
      <c r="Y32" s="1180">
        <v>11</v>
      </c>
      <c r="Z32" s="1182"/>
      <c r="AA32" s="1177">
        <v>31</v>
      </c>
      <c r="AB32" s="1179"/>
      <c r="AC32" s="1185">
        <v>1</v>
      </c>
      <c r="AD32" s="1186"/>
      <c r="AE32" s="1177">
        <v>16</v>
      </c>
      <c r="AF32" s="1179"/>
      <c r="AG32" s="1180">
        <v>18</v>
      </c>
      <c r="AH32" s="1182"/>
      <c r="AI32" s="1177">
        <v>34</v>
      </c>
      <c r="AJ32" s="1179"/>
      <c r="AK32" s="1185">
        <v>3</v>
      </c>
      <c r="AL32" s="1186"/>
      <c r="AM32" s="1185">
        <v>51</v>
      </c>
      <c r="AN32" s="1186"/>
      <c r="AO32" s="1185">
        <v>39</v>
      </c>
      <c r="AP32" s="1187"/>
      <c r="AQ32" s="1187"/>
      <c r="AR32" s="1186"/>
      <c r="AS32" s="1185">
        <v>90</v>
      </c>
      <c r="AT32" s="1187"/>
      <c r="AU32" s="1186"/>
      <c r="AV32" s="165">
        <v>1</v>
      </c>
      <c r="AW32" s="1177">
        <v>22</v>
      </c>
      <c r="AX32" s="1179"/>
      <c r="AY32" s="1180">
        <v>14</v>
      </c>
      <c r="AZ32" s="1182"/>
      <c r="BA32" s="120">
        <v>36</v>
      </c>
      <c r="BB32" s="1185">
        <v>1</v>
      </c>
      <c r="BC32" s="1186"/>
      <c r="BD32" s="1185">
        <v>25</v>
      </c>
      <c r="BE32" s="1186"/>
      <c r="BF32" s="1185">
        <v>17</v>
      </c>
      <c r="BG32" s="1187"/>
      <c r="BH32" s="1186"/>
      <c r="BI32" s="1180">
        <v>42</v>
      </c>
      <c r="BJ32" s="1182"/>
      <c r="BK32" s="1180">
        <v>1</v>
      </c>
      <c r="BL32" s="1182"/>
      <c r="BM32" s="1180">
        <v>12</v>
      </c>
      <c r="BN32" s="1181"/>
      <c r="BO32" s="1181"/>
      <c r="BP32" s="1182"/>
      <c r="BQ32" s="120">
        <v>7</v>
      </c>
      <c r="BR32" s="1185">
        <v>19</v>
      </c>
      <c r="BS32" s="1186"/>
      <c r="BT32" s="1185">
        <v>3</v>
      </c>
      <c r="BU32" s="1186"/>
      <c r="BV32" s="1185">
        <v>59</v>
      </c>
      <c r="BW32" s="1187"/>
      <c r="BX32" s="1186"/>
      <c r="BY32" s="1180">
        <v>38</v>
      </c>
      <c r="BZ32" s="1182"/>
      <c r="CA32" s="1177">
        <v>97</v>
      </c>
      <c r="CB32" s="1178"/>
      <c r="CC32" s="1179"/>
      <c r="CD32" s="1185">
        <v>6</v>
      </c>
      <c r="CE32" s="1187"/>
      <c r="CF32" s="1186"/>
      <c r="CG32" s="1180">
        <v>110</v>
      </c>
      <c r="CH32" s="1181"/>
      <c r="CI32" s="1182"/>
      <c r="CJ32" s="1177">
        <v>77</v>
      </c>
      <c r="CK32" s="1178"/>
      <c r="CL32" s="1179"/>
      <c r="CM32" s="1185">
        <v>187</v>
      </c>
      <c r="CN32" s="1187"/>
      <c r="CO32" s="1186"/>
      <c r="CP32" s="1185">
        <v>13</v>
      </c>
      <c r="CQ32" s="1187"/>
      <c r="CR32" s="1186"/>
      <c r="CS32" s="1185">
        <v>3</v>
      </c>
      <c r="CT32" s="1187"/>
      <c r="CU32" s="1186"/>
      <c r="CV32" s="1180">
        <v>16</v>
      </c>
      <c r="CW32" s="1182"/>
      <c r="CX32" s="1221" t="s">
        <v>35</v>
      </c>
      <c r="CY32" s="1222"/>
      <c r="CZ32" s="1222"/>
      <c r="DA32" s="1223"/>
      <c r="DB32" s="97">
        <f t="shared" si="0"/>
        <v>90000</v>
      </c>
      <c r="DC32" s="51"/>
      <c r="DD32" s="51"/>
      <c r="DE32" s="51"/>
      <c r="DF32" s="51"/>
      <c r="DG32" s="261"/>
    </row>
    <row r="33" spans="1:111" ht="27.75">
      <c r="A33" s="264"/>
      <c r="B33" s="1224" t="s">
        <v>420</v>
      </c>
      <c r="C33" s="1229"/>
      <c r="D33" s="1229"/>
      <c r="E33" s="1229"/>
      <c r="F33" s="1225"/>
      <c r="G33" s="1415"/>
      <c r="H33" s="1416"/>
      <c r="I33" s="1417"/>
      <c r="J33" s="1415"/>
      <c r="K33" s="1417"/>
      <c r="L33" s="1177">
        <v>88</v>
      </c>
      <c r="M33" s="1179"/>
      <c r="N33" s="1185">
        <v>3179</v>
      </c>
      <c r="O33" s="1186"/>
      <c r="P33" s="1180">
        <v>3211</v>
      </c>
      <c r="Q33" s="1182"/>
      <c r="R33" s="1177">
        <v>6390</v>
      </c>
      <c r="S33" s="1179"/>
      <c r="T33" s="1185">
        <v>82</v>
      </c>
      <c r="U33" s="1186"/>
      <c r="V33" s="1180">
        <v>2501</v>
      </c>
      <c r="W33" s="1181"/>
      <c r="X33" s="1182"/>
      <c r="Y33" s="1180">
        <v>2659</v>
      </c>
      <c r="Z33" s="1182"/>
      <c r="AA33" s="1177">
        <v>5160</v>
      </c>
      <c r="AB33" s="1179"/>
      <c r="AC33" s="1185">
        <v>48</v>
      </c>
      <c r="AD33" s="1186"/>
      <c r="AE33" s="1177">
        <v>1371</v>
      </c>
      <c r="AF33" s="1179"/>
      <c r="AG33" s="1180">
        <v>1517</v>
      </c>
      <c r="AH33" s="1182"/>
      <c r="AI33" s="1177">
        <v>2888</v>
      </c>
      <c r="AJ33" s="1179"/>
      <c r="AK33" s="1185">
        <v>218</v>
      </c>
      <c r="AL33" s="1186"/>
      <c r="AM33" s="1185">
        <v>7051</v>
      </c>
      <c r="AN33" s="1186"/>
      <c r="AO33" s="1185">
        <v>7387</v>
      </c>
      <c r="AP33" s="1187"/>
      <c r="AQ33" s="1187"/>
      <c r="AR33" s="1186"/>
      <c r="AS33" s="1185">
        <v>14438</v>
      </c>
      <c r="AT33" s="1187"/>
      <c r="AU33" s="1186"/>
      <c r="AV33" s="165">
        <v>90</v>
      </c>
      <c r="AW33" s="1177">
        <v>3023</v>
      </c>
      <c r="AX33" s="1179"/>
      <c r="AY33" s="1180">
        <v>3447</v>
      </c>
      <c r="AZ33" s="1182"/>
      <c r="BA33" s="120">
        <v>6470</v>
      </c>
      <c r="BB33" s="1185">
        <v>60</v>
      </c>
      <c r="BC33" s="1186"/>
      <c r="BD33" s="1185">
        <v>1676</v>
      </c>
      <c r="BE33" s="1186"/>
      <c r="BF33" s="1185">
        <v>1784</v>
      </c>
      <c r="BG33" s="1187"/>
      <c r="BH33" s="1186"/>
      <c r="BI33" s="1180">
        <v>3460</v>
      </c>
      <c r="BJ33" s="1182"/>
      <c r="BK33" s="1180">
        <v>44</v>
      </c>
      <c r="BL33" s="1182"/>
      <c r="BM33" s="1180">
        <v>839</v>
      </c>
      <c r="BN33" s="1181"/>
      <c r="BO33" s="1181"/>
      <c r="BP33" s="1182"/>
      <c r="BQ33" s="120">
        <v>1037</v>
      </c>
      <c r="BR33" s="1185">
        <v>1876</v>
      </c>
      <c r="BS33" s="1186"/>
      <c r="BT33" s="1185">
        <v>194</v>
      </c>
      <c r="BU33" s="1186"/>
      <c r="BV33" s="1185">
        <v>5538</v>
      </c>
      <c r="BW33" s="1187"/>
      <c r="BX33" s="1186"/>
      <c r="BY33" s="1180">
        <v>6268</v>
      </c>
      <c r="BZ33" s="1182"/>
      <c r="CA33" s="1177">
        <v>11806</v>
      </c>
      <c r="CB33" s="1178"/>
      <c r="CC33" s="1179"/>
      <c r="CD33" s="1185">
        <v>412</v>
      </c>
      <c r="CE33" s="1187"/>
      <c r="CF33" s="1186"/>
      <c r="CG33" s="1180">
        <v>12589</v>
      </c>
      <c r="CH33" s="1181"/>
      <c r="CI33" s="1182"/>
      <c r="CJ33" s="1177">
        <v>13655</v>
      </c>
      <c r="CK33" s="1178"/>
      <c r="CL33" s="1179"/>
      <c r="CM33" s="1185">
        <v>26244</v>
      </c>
      <c r="CN33" s="1187"/>
      <c r="CO33" s="1186"/>
      <c r="CP33" s="1185">
        <v>296</v>
      </c>
      <c r="CQ33" s="1187"/>
      <c r="CR33" s="1186"/>
      <c r="CS33" s="1185">
        <v>650</v>
      </c>
      <c r="CT33" s="1187"/>
      <c r="CU33" s="1186"/>
      <c r="CV33" s="1180">
        <v>946</v>
      </c>
      <c r="CW33" s="1182"/>
      <c r="CX33" s="1183">
        <v>26</v>
      </c>
      <c r="CY33" s="1184"/>
      <c r="CZ33" s="1184"/>
      <c r="DA33" s="1184"/>
      <c r="DB33" s="97">
        <f>SUM(DB7:DB32)</f>
        <v>3000000</v>
      </c>
      <c r="DC33" s="51"/>
      <c r="DD33" s="51"/>
      <c r="DE33" s="51"/>
      <c r="DF33" s="51"/>
      <c r="DG33" s="261"/>
    </row>
    <row r="34" spans="1:111" ht="31.5">
      <c r="A34" s="265" t="s">
        <v>432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4"/>
      <c r="CN34" s="29"/>
      <c r="CO34" s="30"/>
      <c r="CP34" s="807">
        <v>10</v>
      </c>
      <c r="CQ34" s="814"/>
      <c r="CR34" s="808"/>
      <c r="CS34" s="807">
        <v>21</v>
      </c>
      <c r="CT34" s="814"/>
      <c r="CU34" s="808"/>
      <c r="CV34" s="805">
        <v>31</v>
      </c>
      <c r="CW34" s="806"/>
      <c r="CX34" s="1572"/>
      <c r="CY34" s="997"/>
      <c r="CZ34" s="997"/>
      <c r="DA34" s="997"/>
      <c r="DB34" s="97">
        <f>CM33*20</f>
        <v>524880</v>
      </c>
      <c r="DC34" s="51"/>
      <c r="DD34" s="51"/>
      <c r="DE34" s="51"/>
      <c r="DF34" s="51"/>
      <c r="DG34" s="261"/>
    </row>
    <row r="35" spans="1:111" ht="35.25" thickBot="1">
      <c r="A35" s="249" t="s">
        <v>433</v>
      </c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66"/>
      <c r="CO35" s="267"/>
      <c r="CP35" s="926">
        <v>286</v>
      </c>
      <c r="CQ35" s="927"/>
      <c r="CR35" s="928"/>
      <c r="CS35" s="926">
        <v>629</v>
      </c>
      <c r="CT35" s="927"/>
      <c r="CU35" s="928"/>
      <c r="CV35" s="929">
        <v>915</v>
      </c>
      <c r="CW35" s="931"/>
      <c r="CX35" s="1573" t="s">
        <v>64</v>
      </c>
      <c r="CY35" s="1574"/>
      <c r="CZ35" s="1574"/>
      <c r="DA35" s="1575"/>
      <c r="DB35" s="268">
        <f>DB33+DB34</f>
        <v>3524880</v>
      </c>
      <c r="DC35" s="243"/>
      <c r="DD35" s="243"/>
      <c r="DE35" s="243"/>
      <c r="DF35" s="243"/>
      <c r="DG35" s="269"/>
    </row>
    <row r="36" spans="1:111" ht="52.5" customHeight="1">
      <c r="CG36" s="200">
        <f>COUNTIF(CM7:CO32, "&lt;1000")</f>
        <v>15</v>
      </c>
      <c r="CH36" s="200">
        <f>COUNTIF(CM7:CO32, "&gt;1000")</f>
        <v>11</v>
      </c>
    </row>
  </sheetData>
  <mergeCells count="1143">
    <mergeCell ref="CD5:CO5"/>
    <mergeCell ref="CP5:CW5"/>
    <mergeCell ref="CX5:DA6"/>
    <mergeCell ref="L6:M6"/>
    <mergeCell ref="N6:O6"/>
    <mergeCell ref="P6:Q6"/>
    <mergeCell ref="R6:S6"/>
    <mergeCell ref="T6:U6"/>
    <mergeCell ref="V6:X6"/>
    <mergeCell ref="Y6:Z6"/>
    <mergeCell ref="AC5:AJ5"/>
    <mergeCell ref="AK5:AU5"/>
    <mergeCell ref="AV5:BA5"/>
    <mergeCell ref="BB5:BJ5"/>
    <mergeCell ref="A5:A6"/>
    <mergeCell ref="B5:F6"/>
    <mergeCell ref="G5:I6"/>
    <mergeCell ref="J5:K6"/>
    <mergeCell ref="L5:S5"/>
    <mergeCell ref="T5:AB5"/>
    <mergeCell ref="AA6:AB6"/>
    <mergeCell ref="AW6:AX6"/>
    <mergeCell ref="AY6:AZ6"/>
    <mergeCell ref="BB6:BC6"/>
    <mergeCell ref="BD6:BE6"/>
    <mergeCell ref="AC6:AD6"/>
    <mergeCell ref="AE6:AF6"/>
    <mergeCell ref="AG6:AH6"/>
    <mergeCell ref="AI6:AJ6"/>
    <mergeCell ref="AK6:AL6"/>
    <mergeCell ref="AM6:AN6"/>
    <mergeCell ref="BK5:BS5"/>
    <mergeCell ref="BT5:CC5"/>
    <mergeCell ref="AM7:AN7"/>
    <mergeCell ref="AO7:AR7"/>
    <mergeCell ref="R7:S7"/>
    <mergeCell ref="T7:U7"/>
    <mergeCell ref="V7:X7"/>
    <mergeCell ref="Y7:Z7"/>
    <mergeCell ref="AA7:AB7"/>
    <mergeCell ref="AC7:AD7"/>
    <mergeCell ref="CM6:CO6"/>
    <mergeCell ref="CP6:CR6"/>
    <mergeCell ref="CS6:CU6"/>
    <mergeCell ref="CV6:CW6"/>
    <mergeCell ref="B7:F7"/>
    <mergeCell ref="G7:I7"/>
    <mergeCell ref="J7:K7"/>
    <mergeCell ref="L7:M7"/>
    <mergeCell ref="N7:O7"/>
    <mergeCell ref="P7:Q7"/>
    <mergeCell ref="BV6:BX6"/>
    <mergeCell ref="BY6:BZ6"/>
    <mergeCell ref="CA6:CC6"/>
    <mergeCell ref="CD6:CF6"/>
    <mergeCell ref="CG6:CI6"/>
    <mergeCell ref="CJ6:CL6"/>
    <mergeCell ref="BF6:BH6"/>
    <mergeCell ref="BI6:BJ6"/>
    <mergeCell ref="BK6:BL6"/>
    <mergeCell ref="BM6:BP6"/>
    <mergeCell ref="BR6:BS6"/>
    <mergeCell ref="BT6:BU6"/>
    <mergeCell ref="AO6:AR6"/>
    <mergeCell ref="AS6:AU6"/>
    <mergeCell ref="CP7:CR7"/>
    <mergeCell ref="CS7:CU7"/>
    <mergeCell ref="CV7:CW7"/>
    <mergeCell ref="CX7:DA7"/>
    <mergeCell ref="B8:F8"/>
    <mergeCell ref="G8:I8"/>
    <mergeCell ref="J8:K8"/>
    <mergeCell ref="L8:M8"/>
    <mergeCell ref="N8:O8"/>
    <mergeCell ref="P8:Q8"/>
    <mergeCell ref="BY7:BZ7"/>
    <mergeCell ref="CA7:CC7"/>
    <mergeCell ref="CD7:CF7"/>
    <mergeCell ref="CG7:CI7"/>
    <mergeCell ref="CJ7:CL7"/>
    <mergeCell ref="CM7:CO7"/>
    <mergeCell ref="BI7:BJ7"/>
    <mergeCell ref="BK7:BL7"/>
    <mergeCell ref="BM7:BP7"/>
    <mergeCell ref="BR7:BS7"/>
    <mergeCell ref="BT7:BU7"/>
    <mergeCell ref="BV7:BX7"/>
    <mergeCell ref="AS7:AU7"/>
    <mergeCell ref="AW7:AX7"/>
    <mergeCell ref="AY7:AZ7"/>
    <mergeCell ref="BB7:BC7"/>
    <mergeCell ref="BD7:BE7"/>
    <mergeCell ref="BF7:BH7"/>
    <mergeCell ref="AE7:AF7"/>
    <mergeCell ref="AG7:AH7"/>
    <mergeCell ref="AI7:AJ7"/>
    <mergeCell ref="AK7:AL7"/>
    <mergeCell ref="CS8:CU8"/>
    <mergeCell ref="CV8:CW8"/>
    <mergeCell ref="CX8:DA8"/>
    <mergeCell ref="B9:F9"/>
    <mergeCell ref="G9:I9"/>
    <mergeCell ref="J9:K9"/>
    <mergeCell ref="L9:M9"/>
    <mergeCell ref="N9:O9"/>
    <mergeCell ref="P9:Q9"/>
    <mergeCell ref="BY8:BZ8"/>
    <mergeCell ref="CA8:CC8"/>
    <mergeCell ref="CD8:CF8"/>
    <mergeCell ref="CG8:CI8"/>
    <mergeCell ref="CJ8:CL8"/>
    <mergeCell ref="CM8:CO8"/>
    <mergeCell ref="BI8:BJ8"/>
    <mergeCell ref="BK8:BL8"/>
    <mergeCell ref="BM8:BP8"/>
    <mergeCell ref="BR8:BS8"/>
    <mergeCell ref="BT8:BU8"/>
    <mergeCell ref="BV8:BX8"/>
    <mergeCell ref="AS8:AU8"/>
    <mergeCell ref="AW8:AX8"/>
    <mergeCell ref="AY8:AZ8"/>
    <mergeCell ref="BB8:BC8"/>
    <mergeCell ref="BD8:BE8"/>
    <mergeCell ref="BF8:BH8"/>
    <mergeCell ref="AE8:AF8"/>
    <mergeCell ref="AG8:AH8"/>
    <mergeCell ref="AI8:AJ8"/>
    <mergeCell ref="CP8:CR8"/>
    <mergeCell ref="AO8:AR8"/>
    <mergeCell ref="R8:S8"/>
    <mergeCell ref="T8:U8"/>
    <mergeCell ref="V8:X8"/>
    <mergeCell ref="Y8:Z8"/>
    <mergeCell ref="AA8:AB8"/>
    <mergeCell ref="AC8:AD8"/>
    <mergeCell ref="AM10:AN10"/>
    <mergeCell ref="AO10:AR10"/>
    <mergeCell ref="R10:S10"/>
    <mergeCell ref="T10:U10"/>
    <mergeCell ref="V10:X10"/>
    <mergeCell ref="Y10:Z10"/>
    <mergeCell ref="AA10:AB10"/>
    <mergeCell ref="AC10:AD10"/>
    <mergeCell ref="CP9:CR9"/>
    <mergeCell ref="AK8:AL8"/>
    <mergeCell ref="AM8:AN8"/>
    <mergeCell ref="AY9:AZ9"/>
    <mergeCell ref="BB9:BC9"/>
    <mergeCell ref="BD9:BE9"/>
    <mergeCell ref="BF9:BH9"/>
    <mergeCell ref="AE9:AF9"/>
    <mergeCell ref="AG9:AH9"/>
    <mergeCell ref="AI9:AJ9"/>
    <mergeCell ref="AK9:AL9"/>
    <mergeCell ref="AM9:AN9"/>
    <mergeCell ref="AO9:AR9"/>
    <mergeCell ref="R9:S9"/>
    <mergeCell ref="T9:U9"/>
    <mergeCell ref="V9:X9"/>
    <mergeCell ref="CS9:CU9"/>
    <mergeCell ref="CV9:CW9"/>
    <mergeCell ref="CX9:DA9"/>
    <mergeCell ref="B10:F10"/>
    <mergeCell ref="G10:I10"/>
    <mergeCell ref="J10:K10"/>
    <mergeCell ref="L10:M10"/>
    <mergeCell ref="N10:O10"/>
    <mergeCell ref="P10:Q10"/>
    <mergeCell ref="BY9:BZ9"/>
    <mergeCell ref="CA9:CC9"/>
    <mergeCell ref="CD9:CF9"/>
    <mergeCell ref="CG9:CI9"/>
    <mergeCell ref="CJ9:CL9"/>
    <mergeCell ref="CM9:CO9"/>
    <mergeCell ref="BI9:BJ9"/>
    <mergeCell ref="BK9:BL9"/>
    <mergeCell ref="BM9:BP9"/>
    <mergeCell ref="BR9:BS9"/>
    <mergeCell ref="BT9:BU9"/>
    <mergeCell ref="BV9:BX9"/>
    <mergeCell ref="AS9:AU9"/>
    <mergeCell ref="AW9:AX9"/>
    <mergeCell ref="CP10:CR10"/>
    <mergeCell ref="CS10:CU10"/>
    <mergeCell ref="CV10:CW10"/>
    <mergeCell ref="CX10:DA10"/>
    <mergeCell ref="Y9:Z9"/>
    <mergeCell ref="AA9:AB9"/>
    <mergeCell ref="AC9:AD9"/>
    <mergeCell ref="B11:F11"/>
    <mergeCell ref="G11:I11"/>
    <mergeCell ref="J11:K11"/>
    <mergeCell ref="L11:M11"/>
    <mergeCell ref="N11:O11"/>
    <mergeCell ref="P11:Q11"/>
    <mergeCell ref="BY10:BZ10"/>
    <mergeCell ref="CA10:CC10"/>
    <mergeCell ref="CD10:CF10"/>
    <mergeCell ref="CG10:CI10"/>
    <mergeCell ref="CJ10:CL10"/>
    <mergeCell ref="CM10:CO10"/>
    <mergeCell ref="BI10:BJ10"/>
    <mergeCell ref="BK10:BL10"/>
    <mergeCell ref="BM10:BP10"/>
    <mergeCell ref="BR10:BS10"/>
    <mergeCell ref="BT10:BU10"/>
    <mergeCell ref="BV10:BX10"/>
    <mergeCell ref="AS10:AU10"/>
    <mergeCell ref="AW10:AX10"/>
    <mergeCell ref="AY10:AZ10"/>
    <mergeCell ref="BB10:BC10"/>
    <mergeCell ref="BD10:BE10"/>
    <mergeCell ref="BF10:BH10"/>
    <mergeCell ref="AE10:AF10"/>
    <mergeCell ref="AG10:AH10"/>
    <mergeCell ref="AI10:AJ10"/>
    <mergeCell ref="AK10:AL10"/>
    <mergeCell ref="CS11:CU11"/>
    <mergeCell ref="CV11:CW11"/>
    <mergeCell ref="CX11:DA11"/>
    <mergeCell ref="B12:F12"/>
    <mergeCell ref="G12:I12"/>
    <mergeCell ref="J12:K12"/>
    <mergeCell ref="L12:M12"/>
    <mergeCell ref="N12:O12"/>
    <mergeCell ref="P12:Q12"/>
    <mergeCell ref="BY11:BZ11"/>
    <mergeCell ref="CA11:CC11"/>
    <mergeCell ref="CD11:CF11"/>
    <mergeCell ref="CG11:CI11"/>
    <mergeCell ref="CJ11:CL11"/>
    <mergeCell ref="CM11:CO11"/>
    <mergeCell ref="BI11:BJ11"/>
    <mergeCell ref="BK11:BL11"/>
    <mergeCell ref="BM11:BP11"/>
    <mergeCell ref="BR11:BS11"/>
    <mergeCell ref="BT11:BU11"/>
    <mergeCell ref="BV11:BX11"/>
    <mergeCell ref="AS11:AU11"/>
    <mergeCell ref="AW11:AX11"/>
    <mergeCell ref="AY11:AZ11"/>
    <mergeCell ref="BB11:BC11"/>
    <mergeCell ref="BD11:BE11"/>
    <mergeCell ref="BF11:BH11"/>
    <mergeCell ref="AE11:AF11"/>
    <mergeCell ref="AG11:AH11"/>
    <mergeCell ref="AI11:AJ11"/>
    <mergeCell ref="AK11:AL11"/>
    <mergeCell ref="AM11:AN11"/>
    <mergeCell ref="AY12:AZ12"/>
    <mergeCell ref="BB12:BC12"/>
    <mergeCell ref="BD12:BE12"/>
    <mergeCell ref="BF12:BH12"/>
    <mergeCell ref="AE12:AF12"/>
    <mergeCell ref="AG12:AH12"/>
    <mergeCell ref="AI12:AJ12"/>
    <mergeCell ref="AK12:AL12"/>
    <mergeCell ref="AM12:AN12"/>
    <mergeCell ref="AO12:AR12"/>
    <mergeCell ref="R12:S12"/>
    <mergeCell ref="T12:U12"/>
    <mergeCell ref="V12:X12"/>
    <mergeCell ref="Y12:Z12"/>
    <mergeCell ref="AA12:AB12"/>
    <mergeCell ref="AC12:AD12"/>
    <mergeCell ref="CP11:CR11"/>
    <mergeCell ref="AO11:AR11"/>
    <mergeCell ref="R11:S11"/>
    <mergeCell ref="T11:U11"/>
    <mergeCell ref="V11:X11"/>
    <mergeCell ref="Y11:Z11"/>
    <mergeCell ref="AA11:AB11"/>
    <mergeCell ref="AC11:AD11"/>
    <mergeCell ref="AM13:AN13"/>
    <mergeCell ref="AO13:AR13"/>
    <mergeCell ref="R13:S13"/>
    <mergeCell ref="T13:U13"/>
    <mergeCell ref="V13:X13"/>
    <mergeCell ref="Y13:Z13"/>
    <mergeCell ref="AA13:AB13"/>
    <mergeCell ref="AC13:AD13"/>
    <mergeCell ref="CP12:CR12"/>
    <mergeCell ref="CS12:CU12"/>
    <mergeCell ref="CV12:CW12"/>
    <mergeCell ref="CX12:DA12"/>
    <mergeCell ref="B13:F13"/>
    <mergeCell ref="G13:I13"/>
    <mergeCell ref="J13:K13"/>
    <mergeCell ref="L13:M13"/>
    <mergeCell ref="N13:O13"/>
    <mergeCell ref="P13:Q13"/>
    <mergeCell ref="BY12:BZ12"/>
    <mergeCell ref="CA12:CC12"/>
    <mergeCell ref="CD12:CF12"/>
    <mergeCell ref="CG12:CI12"/>
    <mergeCell ref="CJ12:CL12"/>
    <mergeCell ref="CM12:CO12"/>
    <mergeCell ref="BI12:BJ12"/>
    <mergeCell ref="BK12:BL12"/>
    <mergeCell ref="BM12:BP12"/>
    <mergeCell ref="BR12:BS12"/>
    <mergeCell ref="BT12:BU12"/>
    <mergeCell ref="BV12:BX12"/>
    <mergeCell ref="AS12:AU12"/>
    <mergeCell ref="AW12:AX12"/>
    <mergeCell ref="CP13:CR13"/>
    <mergeCell ref="CS13:CU13"/>
    <mergeCell ref="CV13:CW13"/>
    <mergeCell ref="CX13:DA13"/>
    <mergeCell ref="B14:F14"/>
    <mergeCell ref="G14:I14"/>
    <mergeCell ref="J14:K14"/>
    <mergeCell ref="L14:M14"/>
    <mergeCell ref="N14:O14"/>
    <mergeCell ref="P14:Q14"/>
    <mergeCell ref="BY13:BZ13"/>
    <mergeCell ref="CA13:CC13"/>
    <mergeCell ref="CD13:CF13"/>
    <mergeCell ref="CG13:CI13"/>
    <mergeCell ref="CJ13:CL13"/>
    <mergeCell ref="CM13:CO13"/>
    <mergeCell ref="BI13:BJ13"/>
    <mergeCell ref="BK13:BL13"/>
    <mergeCell ref="BM13:BP13"/>
    <mergeCell ref="BR13:BS13"/>
    <mergeCell ref="BT13:BU13"/>
    <mergeCell ref="BV13:BX13"/>
    <mergeCell ref="AS13:AU13"/>
    <mergeCell ref="AW13:AX13"/>
    <mergeCell ref="AY13:AZ13"/>
    <mergeCell ref="BB13:BC13"/>
    <mergeCell ref="BD13:BE13"/>
    <mergeCell ref="BF13:BH13"/>
    <mergeCell ref="AE13:AF13"/>
    <mergeCell ref="AG13:AH13"/>
    <mergeCell ref="AI13:AJ13"/>
    <mergeCell ref="AK13:AL13"/>
    <mergeCell ref="CS14:CU14"/>
    <mergeCell ref="CV14:CW14"/>
    <mergeCell ref="CX14:DA14"/>
    <mergeCell ref="B15:F15"/>
    <mergeCell ref="G15:I15"/>
    <mergeCell ref="J15:K15"/>
    <mergeCell ref="L15:M15"/>
    <mergeCell ref="N15:O15"/>
    <mergeCell ref="P15:Q15"/>
    <mergeCell ref="BY14:BZ14"/>
    <mergeCell ref="CA14:CC14"/>
    <mergeCell ref="CD14:CF14"/>
    <mergeCell ref="CG14:CI14"/>
    <mergeCell ref="CJ14:CL14"/>
    <mergeCell ref="CM14:CO14"/>
    <mergeCell ref="BI14:BJ14"/>
    <mergeCell ref="BK14:BL14"/>
    <mergeCell ref="BM14:BP14"/>
    <mergeCell ref="BR14:BS14"/>
    <mergeCell ref="BT14:BU14"/>
    <mergeCell ref="BV14:BX14"/>
    <mergeCell ref="AS14:AU14"/>
    <mergeCell ref="AW14:AX14"/>
    <mergeCell ref="AY14:AZ14"/>
    <mergeCell ref="BB14:BC14"/>
    <mergeCell ref="BD14:BE14"/>
    <mergeCell ref="BF14:BH14"/>
    <mergeCell ref="AE14:AF14"/>
    <mergeCell ref="AG14:AH14"/>
    <mergeCell ref="AI14:AJ14"/>
    <mergeCell ref="AK14:AL14"/>
    <mergeCell ref="AM14:AN14"/>
    <mergeCell ref="AY15:AZ15"/>
    <mergeCell ref="BB15:BC15"/>
    <mergeCell ref="BD15:BE15"/>
    <mergeCell ref="BF15:BH15"/>
    <mergeCell ref="AE15:AF15"/>
    <mergeCell ref="AG15:AH15"/>
    <mergeCell ref="AI15:AJ15"/>
    <mergeCell ref="AK15:AL15"/>
    <mergeCell ref="AM15:AN15"/>
    <mergeCell ref="AO15:AR15"/>
    <mergeCell ref="R15:S15"/>
    <mergeCell ref="T15:U15"/>
    <mergeCell ref="V15:X15"/>
    <mergeCell ref="Y15:Z15"/>
    <mergeCell ref="AA15:AB15"/>
    <mergeCell ref="AC15:AD15"/>
    <mergeCell ref="CP14:CR14"/>
    <mergeCell ref="AO14:AR14"/>
    <mergeCell ref="R14:S14"/>
    <mergeCell ref="T14:U14"/>
    <mergeCell ref="V14:X14"/>
    <mergeCell ref="Y14:Z14"/>
    <mergeCell ref="AA14:AB14"/>
    <mergeCell ref="AC14:AD14"/>
    <mergeCell ref="AM16:AN16"/>
    <mergeCell ref="AO16:AR16"/>
    <mergeCell ref="R16:S16"/>
    <mergeCell ref="T16:U16"/>
    <mergeCell ref="V16:X16"/>
    <mergeCell ref="Y16:Z16"/>
    <mergeCell ref="AA16:AB16"/>
    <mergeCell ref="AC16:AD16"/>
    <mergeCell ref="CP15:CR15"/>
    <mergeCell ref="CS15:CU15"/>
    <mergeCell ref="CV15:CW15"/>
    <mergeCell ref="CX15:DA15"/>
    <mergeCell ref="B16:F16"/>
    <mergeCell ref="G16:I16"/>
    <mergeCell ref="J16:K16"/>
    <mergeCell ref="L16:M16"/>
    <mergeCell ref="N16:O16"/>
    <mergeCell ref="P16:Q16"/>
    <mergeCell ref="BY15:BZ15"/>
    <mergeCell ref="CA15:CC15"/>
    <mergeCell ref="CD15:CF15"/>
    <mergeCell ref="CG15:CI15"/>
    <mergeCell ref="CJ15:CL15"/>
    <mergeCell ref="CM15:CO15"/>
    <mergeCell ref="BI15:BJ15"/>
    <mergeCell ref="BK15:BL15"/>
    <mergeCell ref="BM15:BP15"/>
    <mergeCell ref="BR15:BS15"/>
    <mergeCell ref="BT15:BU15"/>
    <mergeCell ref="BV15:BX15"/>
    <mergeCell ref="AS15:AU15"/>
    <mergeCell ref="AW15:AX15"/>
    <mergeCell ref="CP16:CR16"/>
    <mergeCell ref="CS16:CU16"/>
    <mergeCell ref="CV16:CW16"/>
    <mergeCell ref="CX16:DA16"/>
    <mergeCell ref="B17:F17"/>
    <mergeCell ref="G17:I17"/>
    <mergeCell ref="J17:K17"/>
    <mergeCell ref="L17:M17"/>
    <mergeCell ref="N17:O17"/>
    <mergeCell ref="P17:Q17"/>
    <mergeCell ref="BY16:BZ16"/>
    <mergeCell ref="CA16:CC16"/>
    <mergeCell ref="CD16:CF16"/>
    <mergeCell ref="CG16:CI16"/>
    <mergeCell ref="CJ16:CL16"/>
    <mergeCell ref="CM16:CO16"/>
    <mergeCell ref="BI16:BJ16"/>
    <mergeCell ref="BK16:BL16"/>
    <mergeCell ref="BM16:BP16"/>
    <mergeCell ref="BR16:BS16"/>
    <mergeCell ref="BT16:BU16"/>
    <mergeCell ref="BV16:BX16"/>
    <mergeCell ref="AS16:AU16"/>
    <mergeCell ref="AW16:AX16"/>
    <mergeCell ref="AY16:AZ16"/>
    <mergeCell ref="BB16:BC16"/>
    <mergeCell ref="BD16:BE16"/>
    <mergeCell ref="BF16:BH16"/>
    <mergeCell ref="AE16:AF16"/>
    <mergeCell ref="AG16:AH16"/>
    <mergeCell ref="AI16:AJ16"/>
    <mergeCell ref="AK16:AL16"/>
    <mergeCell ref="CS17:CU17"/>
    <mergeCell ref="CV17:CW17"/>
    <mergeCell ref="CX17:DA17"/>
    <mergeCell ref="B18:F18"/>
    <mergeCell ref="G18:I18"/>
    <mergeCell ref="J18:K18"/>
    <mergeCell ref="L18:M18"/>
    <mergeCell ref="N18:O18"/>
    <mergeCell ref="P18:Q18"/>
    <mergeCell ref="BY17:BZ17"/>
    <mergeCell ref="CA17:CC17"/>
    <mergeCell ref="CD17:CF17"/>
    <mergeCell ref="CG17:CI17"/>
    <mergeCell ref="CJ17:CL17"/>
    <mergeCell ref="CM17:CO17"/>
    <mergeCell ref="BI17:BJ17"/>
    <mergeCell ref="BK17:BL17"/>
    <mergeCell ref="BM17:BP17"/>
    <mergeCell ref="BR17:BS17"/>
    <mergeCell ref="BT17:BU17"/>
    <mergeCell ref="BV17:BX17"/>
    <mergeCell ref="AS17:AU17"/>
    <mergeCell ref="AW17:AX17"/>
    <mergeCell ref="AY17:AZ17"/>
    <mergeCell ref="BB17:BC17"/>
    <mergeCell ref="BD17:BE17"/>
    <mergeCell ref="BF17:BH17"/>
    <mergeCell ref="AE17:AF17"/>
    <mergeCell ref="AG17:AH17"/>
    <mergeCell ref="AI17:AJ17"/>
    <mergeCell ref="AK17:AL17"/>
    <mergeCell ref="AM17:AN17"/>
    <mergeCell ref="AY18:AZ18"/>
    <mergeCell ref="BB18:BC18"/>
    <mergeCell ref="BD18:BE18"/>
    <mergeCell ref="BF18:BH18"/>
    <mergeCell ref="AE18:AF18"/>
    <mergeCell ref="AG18:AH18"/>
    <mergeCell ref="AI18:AJ18"/>
    <mergeCell ref="AK18:AL18"/>
    <mergeCell ref="AM18:AN18"/>
    <mergeCell ref="AO18:AR18"/>
    <mergeCell ref="R18:S18"/>
    <mergeCell ref="T18:U18"/>
    <mergeCell ref="V18:X18"/>
    <mergeCell ref="Y18:Z18"/>
    <mergeCell ref="AA18:AB18"/>
    <mergeCell ref="AC18:AD18"/>
    <mergeCell ref="CP17:CR17"/>
    <mergeCell ref="AO17:AR17"/>
    <mergeCell ref="R17:S17"/>
    <mergeCell ref="T17:U17"/>
    <mergeCell ref="V17:X17"/>
    <mergeCell ref="Y17:Z17"/>
    <mergeCell ref="AA17:AB17"/>
    <mergeCell ref="AC17:AD17"/>
    <mergeCell ref="AM19:AN19"/>
    <mergeCell ref="AO19:AR19"/>
    <mergeCell ref="R19:S19"/>
    <mergeCell ref="T19:U19"/>
    <mergeCell ref="V19:X19"/>
    <mergeCell ref="Y19:Z19"/>
    <mergeCell ref="AA19:AB19"/>
    <mergeCell ref="AC19:AD19"/>
    <mergeCell ref="CP18:CR18"/>
    <mergeCell ref="CS18:CU18"/>
    <mergeCell ref="CV18:CW18"/>
    <mergeCell ref="CX18:DA18"/>
    <mergeCell ref="B19:F19"/>
    <mergeCell ref="G19:I19"/>
    <mergeCell ref="J19:K19"/>
    <mergeCell ref="L19:M19"/>
    <mergeCell ref="N19:O19"/>
    <mergeCell ref="P19:Q19"/>
    <mergeCell ref="BY18:BZ18"/>
    <mergeCell ref="CA18:CC18"/>
    <mergeCell ref="CD18:CF18"/>
    <mergeCell ref="CG18:CI18"/>
    <mergeCell ref="CJ18:CL18"/>
    <mergeCell ref="CM18:CO18"/>
    <mergeCell ref="BI18:BJ18"/>
    <mergeCell ref="BK18:BL18"/>
    <mergeCell ref="BM18:BP18"/>
    <mergeCell ref="BR18:BS18"/>
    <mergeCell ref="BT18:BU18"/>
    <mergeCell ref="BV18:BX18"/>
    <mergeCell ref="AS18:AU18"/>
    <mergeCell ref="AW18:AX18"/>
    <mergeCell ref="CP19:CR19"/>
    <mergeCell ref="CS19:CU19"/>
    <mergeCell ref="CV19:CW19"/>
    <mergeCell ref="CX19:DA19"/>
    <mergeCell ref="B20:F20"/>
    <mergeCell ref="G20:I20"/>
    <mergeCell ref="J20:K20"/>
    <mergeCell ref="L20:M20"/>
    <mergeCell ref="N20:O20"/>
    <mergeCell ref="P20:Q20"/>
    <mergeCell ref="BY19:BZ19"/>
    <mergeCell ref="CA19:CC19"/>
    <mergeCell ref="CD19:CF19"/>
    <mergeCell ref="CG19:CI19"/>
    <mergeCell ref="CJ19:CL19"/>
    <mergeCell ref="CM19:CO19"/>
    <mergeCell ref="BI19:BJ19"/>
    <mergeCell ref="BK19:BL19"/>
    <mergeCell ref="BM19:BP19"/>
    <mergeCell ref="BR19:BS19"/>
    <mergeCell ref="BT19:BU19"/>
    <mergeCell ref="BV19:BX19"/>
    <mergeCell ref="AS19:AU19"/>
    <mergeCell ref="AW19:AX19"/>
    <mergeCell ref="AY19:AZ19"/>
    <mergeCell ref="BB19:BC19"/>
    <mergeCell ref="BD19:BE19"/>
    <mergeCell ref="BF19:BH19"/>
    <mergeCell ref="AE19:AF19"/>
    <mergeCell ref="AG19:AH19"/>
    <mergeCell ref="AI19:AJ19"/>
    <mergeCell ref="AK19:AL19"/>
    <mergeCell ref="CS20:CU20"/>
    <mergeCell ref="CV20:CW20"/>
    <mergeCell ref="CX20:DA20"/>
    <mergeCell ref="B21:F21"/>
    <mergeCell ref="G21:I21"/>
    <mergeCell ref="J21:K21"/>
    <mergeCell ref="L21:M21"/>
    <mergeCell ref="N21:O21"/>
    <mergeCell ref="P21:Q21"/>
    <mergeCell ref="BY20:BZ20"/>
    <mergeCell ref="CA20:CC20"/>
    <mergeCell ref="CD20:CF20"/>
    <mergeCell ref="CG20:CI20"/>
    <mergeCell ref="CJ20:CL20"/>
    <mergeCell ref="CM20:CO20"/>
    <mergeCell ref="BI20:BJ20"/>
    <mergeCell ref="BK20:BL20"/>
    <mergeCell ref="BM20:BP20"/>
    <mergeCell ref="BR20:BS20"/>
    <mergeCell ref="BT20:BU20"/>
    <mergeCell ref="BV20:BX20"/>
    <mergeCell ref="AS20:AU20"/>
    <mergeCell ref="AW20:AX20"/>
    <mergeCell ref="AY20:AZ20"/>
    <mergeCell ref="BB20:BC20"/>
    <mergeCell ref="BD20:BE20"/>
    <mergeCell ref="BF20:BH20"/>
    <mergeCell ref="AE20:AF20"/>
    <mergeCell ref="AG20:AH20"/>
    <mergeCell ref="AI20:AJ20"/>
    <mergeCell ref="AK20:AL20"/>
    <mergeCell ref="AM20:AN20"/>
    <mergeCell ref="AY21:AZ21"/>
    <mergeCell ref="BB21:BC21"/>
    <mergeCell ref="BD21:BE21"/>
    <mergeCell ref="BF21:BH21"/>
    <mergeCell ref="AE21:AF21"/>
    <mergeCell ref="AG21:AH21"/>
    <mergeCell ref="AI21:AJ21"/>
    <mergeCell ref="AK21:AL21"/>
    <mergeCell ref="AM21:AN21"/>
    <mergeCell ref="AO21:AR21"/>
    <mergeCell ref="R21:S21"/>
    <mergeCell ref="T21:U21"/>
    <mergeCell ref="V21:X21"/>
    <mergeCell ref="Y21:Z21"/>
    <mergeCell ref="AA21:AB21"/>
    <mergeCell ref="AC21:AD21"/>
    <mergeCell ref="CP20:CR20"/>
    <mergeCell ref="AO20:AR20"/>
    <mergeCell ref="R20:S20"/>
    <mergeCell ref="T20:U20"/>
    <mergeCell ref="V20:X20"/>
    <mergeCell ref="Y20:Z20"/>
    <mergeCell ref="AA20:AB20"/>
    <mergeCell ref="AC20:AD20"/>
    <mergeCell ref="AM22:AN22"/>
    <mergeCell ref="AO22:AR22"/>
    <mergeCell ref="R22:S22"/>
    <mergeCell ref="T22:U22"/>
    <mergeCell ref="V22:X22"/>
    <mergeCell ref="Y22:Z22"/>
    <mergeCell ref="AA22:AB22"/>
    <mergeCell ref="AC22:AD22"/>
    <mergeCell ref="CP21:CR21"/>
    <mergeCell ref="CS21:CU21"/>
    <mergeCell ref="CV21:CW21"/>
    <mergeCell ref="CX21:DA21"/>
    <mergeCell ref="B22:F22"/>
    <mergeCell ref="G22:I22"/>
    <mergeCell ref="J22:K22"/>
    <mergeCell ref="L22:M22"/>
    <mergeCell ref="N22:O22"/>
    <mergeCell ref="P22:Q22"/>
    <mergeCell ref="BY21:BZ21"/>
    <mergeCell ref="CA21:CC21"/>
    <mergeCell ref="CD21:CF21"/>
    <mergeCell ref="CG21:CI21"/>
    <mergeCell ref="CJ21:CL21"/>
    <mergeCell ref="CM21:CO21"/>
    <mergeCell ref="BI21:BJ21"/>
    <mergeCell ref="BK21:BL21"/>
    <mergeCell ref="BM21:BP21"/>
    <mergeCell ref="BR21:BS21"/>
    <mergeCell ref="BT21:BU21"/>
    <mergeCell ref="BV21:BX21"/>
    <mergeCell ref="AS21:AU21"/>
    <mergeCell ref="AW21:AX21"/>
    <mergeCell ref="CP22:CR22"/>
    <mergeCell ref="CS22:CU22"/>
    <mergeCell ref="CV22:CW22"/>
    <mergeCell ref="CX22:DA22"/>
    <mergeCell ref="B23:F23"/>
    <mergeCell ref="G23:I23"/>
    <mergeCell ref="J23:K23"/>
    <mergeCell ref="L23:M23"/>
    <mergeCell ref="N23:O23"/>
    <mergeCell ref="P23:Q23"/>
    <mergeCell ref="BY22:BZ22"/>
    <mergeCell ref="CA22:CC22"/>
    <mergeCell ref="CD22:CF22"/>
    <mergeCell ref="CG22:CI22"/>
    <mergeCell ref="CJ22:CL22"/>
    <mergeCell ref="CM22:CO22"/>
    <mergeCell ref="BI22:BJ22"/>
    <mergeCell ref="BK22:BL22"/>
    <mergeCell ref="BM22:BP22"/>
    <mergeCell ref="BR22:BS22"/>
    <mergeCell ref="BT22:BU22"/>
    <mergeCell ref="BV22:BX22"/>
    <mergeCell ref="AS22:AU22"/>
    <mergeCell ref="AW22:AX22"/>
    <mergeCell ref="AY22:AZ22"/>
    <mergeCell ref="BB22:BC22"/>
    <mergeCell ref="BD22:BE22"/>
    <mergeCell ref="BF22:BH22"/>
    <mergeCell ref="AE22:AF22"/>
    <mergeCell ref="AG22:AH22"/>
    <mergeCell ref="AI22:AJ22"/>
    <mergeCell ref="AK22:AL22"/>
    <mergeCell ref="CS23:CU23"/>
    <mergeCell ref="CV23:CW23"/>
    <mergeCell ref="CX23:DA23"/>
    <mergeCell ref="B24:F24"/>
    <mergeCell ref="G24:I24"/>
    <mergeCell ref="J24:K24"/>
    <mergeCell ref="L24:M24"/>
    <mergeCell ref="N24:O24"/>
    <mergeCell ref="P24:Q24"/>
    <mergeCell ref="BY23:BZ23"/>
    <mergeCell ref="CA23:CC23"/>
    <mergeCell ref="CD23:CF23"/>
    <mergeCell ref="CG23:CI23"/>
    <mergeCell ref="CJ23:CL23"/>
    <mergeCell ref="CM23:CO23"/>
    <mergeCell ref="BI23:BJ23"/>
    <mergeCell ref="BK23:BL23"/>
    <mergeCell ref="BM23:BP23"/>
    <mergeCell ref="BR23:BS23"/>
    <mergeCell ref="BT23:BU23"/>
    <mergeCell ref="BV23:BX23"/>
    <mergeCell ref="AS23:AU23"/>
    <mergeCell ref="AW23:AX23"/>
    <mergeCell ref="AY23:AZ23"/>
    <mergeCell ref="BB23:BC23"/>
    <mergeCell ref="BD23:BE23"/>
    <mergeCell ref="BF23:BH23"/>
    <mergeCell ref="AE23:AF23"/>
    <mergeCell ref="AG23:AH23"/>
    <mergeCell ref="AI23:AJ23"/>
    <mergeCell ref="AK23:AL23"/>
    <mergeCell ref="AM23:AN23"/>
    <mergeCell ref="AY24:AZ24"/>
    <mergeCell ref="BB24:BC24"/>
    <mergeCell ref="BD24:BE24"/>
    <mergeCell ref="BF24:BH24"/>
    <mergeCell ref="AE24:AF24"/>
    <mergeCell ref="AG24:AH24"/>
    <mergeCell ref="AI24:AJ24"/>
    <mergeCell ref="AK24:AL24"/>
    <mergeCell ref="AM24:AN24"/>
    <mergeCell ref="AO24:AR24"/>
    <mergeCell ref="R24:S24"/>
    <mergeCell ref="T24:U24"/>
    <mergeCell ref="V24:X24"/>
    <mergeCell ref="Y24:Z24"/>
    <mergeCell ref="AA24:AB24"/>
    <mergeCell ref="AC24:AD24"/>
    <mergeCell ref="CP23:CR23"/>
    <mergeCell ref="AO23:AR23"/>
    <mergeCell ref="R23:S23"/>
    <mergeCell ref="T23:U23"/>
    <mergeCell ref="V23:X23"/>
    <mergeCell ref="Y23:Z23"/>
    <mergeCell ref="AA23:AB23"/>
    <mergeCell ref="AC23:AD23"/>
    <mergeCell ref="AM25:AN25"/>
    <mergeCell ref="AO25:AR25"/>
    <mergeCell ref="R25:S25"/>
    <mergeCell ref="T25:U25"/>
    <mergeCell ref="V25:X25"/>
    <mergeCell ref="Y25:Z25"/>
    <mergeCell ref="AA25:AB25"/>
    <mergeCell ref="AC25:AD25"/>
    <mergeCell ref="CP24:CR24"/>
    <mergeCell ref="CS24:CU24"/>
    <mergeCell ref="CV24:CW24"/>
    <mergeCell ref="CX24:DA24"/>
    <mergeCell ref="B25:F25"/>
    <mergeCell ref="G25:I25"/>
    <mergeCell ref="J25:K25"/>
    <mergeCell ref="L25:M25"/>
    <mergeCell ref="N25:O25"/>
    <mergeCell ref="P25:Q25"/>
    <mergeCell ref="BY24:BZ24"/>
    <mergeCell ref="CA24:CC24"/>
    <mergeCell ref="CD24:CF24"/>
    <mergeCell ref="CG24:CI24"/>
    <mergeCell ref="CJ24:CL24"/>
    <mergeCell ref="CM24:CO24"/>
    <mergeCell ref="BI24:BJ24"/>
    <mergeCell ref="BK24:BL24"/>
    <mergeCell ref="BM24:BP24"/>
    <mergeCell ref="BR24:BS24"/>
    <mergeCell ref="BT24:BU24"/>
    <mergeCell ref="BV24:BX24"/>
    <mergeCell ref="AS24:AU24"/>
    <mergeCell ref="AW24:AX24"/>
    <mergeCell ref="CP25:CR25"/>
    <mergeCell ref="CS25:CU25"/>
    <mergeCell ref="CV25:CW25"/>
    <mergeCell ref="CX25:DA25"/>
    <mergeCell ref="B26:F26"/>
    <mergeCell ref="G26:I26"/>
    <mergeCell ref="J26:K26"/>
    <mergeCell ref="L26:M26"/>
    <mergeCell ref="N26:O26"/>
    <mergeCell ref="P26:Q26"/>
    <mergeCell ref="BY25:BZ25"/>
    <mergeCell ref="CA25:CC25"/>
    <mergeCell ref="CD25:CF25"/>
    <mergeCell ref="CG25:CI25"/>
    <mergeCell ref="CJ25:CL25"/>
    <mergeCell ref="CM25:CO25"/>
    <mergeCell ref="BI25:BJ25"/>
    <mergeCell ref="BK25:BL25"/>
    <mergeCell ref="BM25:BP25"/>
    <mergeCell ref="BR25:BS25"/>
    <mergeCell ref="BT25:BU25"/>
    <mergeCell ref="BV25:BX25"/>
    <mergeCell ref="AS25:AU25"/>
    <mergeCell ref="AW25:AX25"/>
    <mergeCell ref="AY25:AZ25"/>
    <mergeCell ref="BB25:BC25"/>
    <mergeCell ref="BD25:BE25"/>
    <mergeCell ref="BF25:BH25"/>
    <mergeCell ref="AE25:AF25"/>
    <mergeCell ref="AG25:AH25"/>
    <mergeCell ref="AI25:AJ25"/>
    <mergeCell ref="AK25:AL25"/>
    <mergeCell ref="CS26:CU26"/>
    <mergeCell ref="CV26:CW26"/>
    <mergeCell ref="CX26:DA26"/>
    <mergeCell ref="B27:F27"/>
    <mergeCell ref="G27:I27"/>
    <mergeCell ref="J27:K27"/>
    <mergeCell ref="L27:M27"/>
    <mergeCell ref="N27:O27"/>
    <mergeCell ref="P27:Q27"/>
    <mergeCell ref="BY26:BZ26"/>
    <mergeCell ref="CA26:CC26"/>
    <mergeCell ref="CD26:CF26"/>
    <mergeCell ref="CG26:CI26"/>
    <mergeCell ref="CJ26:CL26"/>
    <mergeCell ref="CM26:CO26"/>
    <mergeCell ref="BI26:BJ26"/>
    <mergeCell ref="BK26:BL26"/>
    <mergeCell ref="BM26:BP26"/>
    <mergeCell ref="BR26:BS26"/>
    <mergeCell ref="BT26:BU26"/>
    <mergeCell ref="BV26:BX26"/>
    <mergeCell ref="AS26:AU26"/>
    <mergeCell ref="AW26:AX26"/>
    <mergeCell ref="AY26:AZ26"/>
    <mergeCell ref="BB26:BC26"/>
    <mergeCell ref="BD26:BE26"/>
    <mergeCell ref="BF26:BH26"/>
    <mergeCell ref="AE26:AF26"/>
    <mergeCell ref="AG26:AH26"/>
    <mergeCell ref="AI26:AJ26"/>
    <mergeCell ref="AK26:AL26"/>
    <mergeCell ref="AM26:AN26"/>
    <mergeCell ref="AY27:AZ27"/>
    <mergeCell ref="BB27:BC27"/>
    <mergeCell ref="BD27:BE27"/>
    <mergeCell ref="BF27:BH27"/>
    <mergeCell ref="AE27:AF27"/>
    <mergeCell ref="AG27:AH27"/>
    <mergeCell ref="AI27:AJ27"/>
    <mergeCell ref="AK27:AL27"/>
    <mergeCell ref="AM27:AN27"/>
    <mergeCell ref="AO27:AR27"/>
    <mergeCell ref="R27:S27"/>
    <mergeCell ref="T27:U27"/>
    <mergeCell ref="V27:X27"/>
    <mergeCell ref="Y27:Z27"/>
    <mergeCell ref="AA27:AB27"/>
    <mergeCell ref="AC27:AD27"/>
    <mergeCell ref="CP26:CR26"/>
    <mergeCell ref="AO26:AR26"/>
    <mergeCell ref="R26:S26"/>
    <mergeCell ref="T26:U26"/>
    <mergeCell ref="V26:X26"/>
    <mergeCell ref="Y26:Z26"/>
    <mergeCell ref="AA26:AB26"/>
    <mergeCell ref="AC26:AD26"/>
    <mergeCell ref="AM28:AN28"/>
    <mergeCell ref="AO28:AR28"/>
    <mergeCell ref="R28:S28"/>
    <mergeCell ref="T28:U28"/>
    <mergeCell ref="V28:X28"/>
    <mergeCell ref="Y28:Z28"/>
    <mergeCell ref="AA28:AB28"/>
    <mergeCell ref="AC28:AD28"/>
    <mergeCell ref="CP27:CR27"/>
    <mergeCell ref="CS27:CU27"/>
    <mergeCell ref="CV27:CW27"/>
    <mergeCell ref="CX27:DA27"/>
    <mergeCell ref="B28:F28"/>
    <mergeCell ref="G28:I28"/>
    <mergeCell ref="J28:K28"/>
    <mergeCell ref="L28:M28"/>
    <mergeCell ref="N28:O28"/>
    <mergeCell ref="P28:Q28"/>
    <mergeCell ref="BY27:BZ27"/>
    <mergeCell ref="CA27:CC27"/>
    <mergeCell ref="CD27:CF27"/>
    <mergeCell ref="CG27:CI27"/>
    <mergeCell ref="CJ27:CL27"/>
    <mergeCell ref="CM27:CO27"/>
    <mergeCell ref="BI27:BJ27"/>
    <mergeCell ref="BK27:BL27"/>
    <mergeCell ref="BM27:BP27"/>
    <mergeCell ref="BR27:BS27"/>
    <mergeCell ref="BT27:BU27"/>
    <mergeCell ref="BV27:BX27"/>
    <mergeCell ref="AS27:AU27"/>
    <mergeCell ref="AW27:AX27"/>
    <mergeCell ref="CP28:CR28"/>
    <mergeCell ref="CS28:CU28"/>
    <mergeCell ref="CV28:CW28"/>
    <mergeCell ref="CX28:DA28"/>
    <mergeCell ref="B29:F29"/>
    <mergeCell ref="G29:I29"/>
    <mergeCell ref="J29:K29"/>
    <mergeCell ref="L29:M29"/>
    <mergeCell ref="N29:O29"/>
    <mergeCell ref="P29:Q29"/>
    <mergeCell ref="BY28:BZ28"/>
    <mergeCell ref="CA28:CC28"/>
    <mergeCell ref="CD28:CF28"/>
    <mergeCell ref="CG28:CI28"/>
    <mergeCell ref="CJ28:CL28"/>
    <mergeCell ref="CM28:CO28"/>
    <mergeCell ref="BI28:BJ28"/>
    <mergeCell ref="BK28:BL28"/>
    <mergeCell ref="BM28:BP28"/>
    <mergeCell ref="BR28:BS28"/>
    <mergeCell ref="BT28:BU28"/>
    <mergeCell ref="BV28:BX28"/>
    <mergeCell ref="AS28:AU28"/>
    <mergeCell ref="AW28:AX28"/>
    <mergeCell ref="AY28:AZ28"/>
    <mergeCell ref="BB28:BC28"/>
    <mergeCell ref="BD28:BE28"/>
    <mergeCell ref="BF28:BH28"/>
    <mergeCell ref="AE28:AF28"/>
    <mergeCell ref="AG28:AH28"/>
    <mergeCell ref="AI28:AJ28"/>
    <mergeCell ref="AK28:AL28"/>
    <mergeCell ref="CS29:CU29"/>
    <mergeCell ref="CV29:CW29"/>
    <mergeCell ref="CX29:DA29"/>
    <mergeCell ref="B30:F30"/>
    <mergeCell ref="G30:I30"/>
    <mergeCell ref="J30:K30"/>
    <mergeCell ref="L30:M30"/>
    <mergeCell ref="N30:O30"/>
    <mergeCell ref="P30:Q30"/>
    <mergeCell ref="BY29:BZ29"/>
    <mergeCell ref="CA29:CC29"/>
    <mergeCell ref="CD29:CF29"/>
    <mergeCell ref="CG29:CI29"/>
    <mergeCell ref="CJ29:CL29"/>
    <mergeCell ref="CM29:CO29"/>
    <mergeCell ref="BI29:BJ29"/>
    <mergeCell ref="BK29:BL29"/>
    <mergeCell ref="BM29:BP29"/>
    <mergeCell ref="BR29:BS29"/>
    <mergeCell ref="BT29:BU29"/>
    <mergeCell ref="BV29:BX29"/>
    <mergeCell ref="AS29:AU29"/>
    <mergeCell ref="AW29:AX29"/>
    <mergeCell ref="AY29:AZ29"/>
    <mergeCell ref="BB29:BC29"/>
    <mergeCell ref="BD29:BE29"/>
    <mergeCell ref="BF29:BH29"/>
    <mergeCell ref="AE29:AF29"/>
    <mergeCell ref="AG29:AH29"/>
    <mergeCell ref="AI29:AJ29"/>
    <mergeCell ref="AK29:AL29"/>
    <mergeCell ref="AM29:AN29"/>
    <mergeCell ref="AY30:AZ30"/>
    <mergeCell ref="BB30:BC30"/>
    <mergeCell ref="BD30:BE30"/>
    <mergeCell ref="BF30:BH30"/>
    <mergeCell ref="AE30:AF30"/>
    <mergeCell ref="AG30:AH30"/>
    <mergeCell ref="AI30:AJ30"/>
    <mergeCell ref="AK30:AL30"/>
    <mergeCell ref="AM30:AN30"/>
    <mergeCell ref="AO30:AR30"/>
    <mergeCell ref="R30:S30"/>
    <mergeCell ref="T30:U30"/>
    <mergeCell ref="V30:X30"/>
    <mergeCell ref="Y30:Z30"/>
    <mergeCell ref="AA30:AB30"/>
    <mergeCell ref="AC30:AD30"/>
    <mergeCell ref="CP29:CR29"/>
    <mergeCell ref="AO29:AR29"/>
    <mergeCell ref="R29:S29"/>
    <mergeCell ref="T29:U29"/>
    <mergeCell ref="V29:X29"/>
    <mergeCell ref="Y29:Z29"/>
    <mergeCell ref="AA29:AB29"/>
    <mergeCell ref="AC29:AD29"/>
    <mergeCell ref="AM31:AN31"/>
    <mergeCell ref="AO31:AR31"/>
    <mergeCell ref="R31:S31"/>
    <mergeCell ref="T31:U31"/>
    <mergeCell ref="V31:X31"/>
    <mergeCell ref="Y31:Z31"/>
    <mergeCell ref="AA31:AB31"/>
    <mergeCell ref="AC31:AD31"/>
    <mergeCell ref="CP30:CR30"/>
    <mergeCell ref="CS30:CU30"/>
    <mergeCell ref="CV30:CW30"/>
    <mergeCell ref="CX30:DA30"/>
    <mergeCell ref="B31:F31"/>
    <mergeCell ref="G31:I31"/>
    <mergeCell ref="J31:K31"/>
    <mergeCell ref="L31:M31"/>
    <mergeCell ref="N31:O31"/>
    <mergeCell ref="P31:Q31"/>
    <mergeCell ref="BY30:BZ30"/>
    <mergeCell ref="CA30:CC30"/>
    <mergeCell ref="CD30:CF30"/>
    <mergeCell ref="CG30:CI30"/>
    <mergeCell ref="CJ30:CL30"/>
    <mergeCell ref="CM30:CO30"/>
    <mergeCell ref="BI30:BJ30"/>
    <mergeCell ref="BK30:BL30"/>
    <mergeCell ref="BM30:BP30"/>
    <mergeCell ref="BR30:BS30"/>
    <mergeCell ref="BT30:BU30"/>
    <mergeCell ref="BV30:BX30"/>
    <mergeCell ref="AS30:AU30"/>
    <mergeCell ref="AW30:AX30"/>
    <mergeCell ref="CP31:CR31"/>
    <mergeCell ref="CS31:CU31"/>
    <mergeCell ref="CV31:CW31"/>
    <mergeCell ref="CX31:DA31"/>
    <mergeCell ref="B32:F32"/>
    <mergeCell ref="G32:I32"/>
    <mergeCell ref="J32:K32"/>
    <mergeCell ref="L32:M32"/>
    <mergeCell ref="N32:O32"/>
    <mergeCell ref="P32:Q32"/>
    <mergeCell ref="BY31:BZ31"/>
    <mergeCell ref="CA31:CC31"/>
    <mergeCell ref="CD31:CF31"/>
    <mergeCell ref="CG31:CI31"/>
    <mergeCell ref="CJ31:CL31"/>
    <mergeCell ref="CM31:CO31"/>
    <mergeCell ref="BI31:BJ31"/>
    <mergeCell ref="BK31:BL31"/>
    <mergeCell ref="BM31:BP31"/>
    <mergeCell ref="BR31:BS31"/>
    <mergeCell ref="BT31:BU31"/>
    <mergeCell ref="BV31:BX31"/>
    <mergeCell ref="AS31:AU31"/>
    <mergeCell ref="AW31:AX31"/>
    <mergeCell ref="AY31:AZ31"/>
    <mergeCell ref="BB31:BC31"/>
    <mergeCell ref="BD31:BE31"/>
    <mergeCell ref="BF31:BH31"/>
    <mergeCell ref="AE31:AF31"/>
    <mergeCell ref="AG31:AH31"/>
    <mergeCell ref="AI31:AJ31"/>
    <mergeCell ref="AK31:AL31"/>
    <mergeCell ref="CS32:CU32"/>
    <mergeCell ref="CV32:CW32"/>
    <mergeCell ref="CX32:DA32"/>
    <mergeCell ref="B33:F33"/>
    <mergeCell ref="G33:I33"/>
    <mergeCell ref="J33:K33"/>
    <mergeCell ref="L33:M33"/>
    <mergeCell ref="N33:O33"/>
    <mergeCell ref="P33:Q33"/>
    <mergeCell ref="BY32:BZ32"/>
    <mergeCell ref="CA32:CC32"/>
    <mergeCell ref="CD32:CF32"/>
    <mergeCell ref="CG32:CI32"/>
    <mergeCell ref="CJ32:CL32"/>
    <mergeCell ref="CM32:CO32"/>
    <mergeCell ref="BI32:BJ32"/>
    <mergeCell ref="BK32:BL32"/>
    <mergeCell ref="BM32:BP32"/>
    <mergeCell ref="BR32:BS32"/>
    <mergeCell ref="BT32:BU32"/>
    <mergeCell ref="BV32:BX32"/>
    <mergeCell ref="AS32:AU32"/>
    <mergeCell ref="AW32:AX32"/>
    <mergeCell ref="AY32:AZ32"/>
    <mergeCell ref="BB32:BC32"/>
    <mergeCell ref="BD32:BE32"/>
    <mergeCell ref="BF32:BH32"/>
    <mergeCell ref="AE32:AF32"/>
    <mergeCell ref="AG32:AH32"/>
    <mergeCell ref="AI32:AJ32"/>
    <mergeCell ref="AK32:AL32"/>
    <mergeCell ref="AM32:AN32"/>
    <mergeCell ref="R33:S33"/>
    <mergeCell ref="T33:U33"/>
    <mergeCell ref="V33:X33"/>
    <mergeCell ref="Y33:Z33"/>
    <mergeCell ref="AA33:AB33"/>
    <mergeCell ref="AC33:AD33"/>
    <mergeCell ref="CP32:CR32"/>
    <mergeCell ref="AO32:AR32"/>
    <mergeCell ref="R32:S32"/>
    <mergeCell ref="T32:U32"/>
    <mergeCell ref="V32:X32"/>
    <mergeCell ref="Y32:Z32"/>
    <mergeCell ref="AA32:AB32"/>
    <mergeCell ref="AC32:AD32"/>
    <mergeCell ref="BI33:BJ33"/>
    <mergeCell ref="BK33:BL33"/>
    <mergeCell ref="BM33:BP33"/>
    <mergeCell ref="BR33:BS33"/>
    <mergeCell ref="BT33:BU33"/>
    <mergeCell ref="BV33:BX33"/>
    <mergeCell ref="AS33:AU33"/>
    <mergeCell ref="AW33:AX33"/>
    <mergeCell ref="A1:DG1"/>
    <mergeCell ref="A2:DG2"/>
    <mergeCell ref="A3:DG3"/>
    <mergeCell ref="A4:DG4"/>
    <mergeCell ref="CV34:CW34"/>
    <mergeCell ref="CX34:DA34"/>
    <mergeCell ref="CP35:CR35"/>
    <mergeCell ref="CS35:CU35"/>
    <mergeCell ref="CV35:CW35"/>
    <mergeCell ref="CX35:DA35"/>
    <mergeCell ref="CP33:CR33"/>
    <mergeCell ref="CS33:CU33"/>
    <mergeCell ref="CV33:CW33"/>
    <mergeCell ref="CX33:DA33"/>
    <mergeCell ref="CP34:CR34"/>
    <mergeCell ref="CS34:CU34"/>
    <mergeCell ref="BY33:BZ33"/>
    <mergeCell ref="CA33:CC33"/>
    <mergeCell ref="CD33:CF33"/>
    <mergeCell ref="CG33:CI33"/>
    <mergeCell ref="CJ33:CL33"/>
    <mergeCell ref="CM33:CO33"/>
    <mergeCell ref="AY33:AZ33"/>
    <mergeCell ref="BB33:BC33"/>
    <mergeCell ref="BD33:BE33"/>
    <mergeCell ref="BF33:BH33"/>
    <mergeCell ref="AE33:AF33"/>
    <mergeCell ref="AG33:AH33"/>
    <mergeCell ref="AI33:AJ33"/>
    <mergeCell ref="AK33:AL33"/>
    <mergeCell ref="AM33:AN33"/>
    <mergeCell ref="AO33:AR33"/>
  </mergeCells>
  <pageMargins left="0.7" right="0.7" top="0.75" bottom="0.75" header="0.3" footer="0.3"/>
  <pageSetup paperSize="9" scale="3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9"/>
  <sheetViews>
    <sheetView view="pageBreakPreview" topLeftCell="A5" zoomScale="10" zoomScaleSheetLayoutView="10" workbookViewId="0">
      <selection activeCell="I10" sqref="I10"/>
    </sheetView>
  </sheetViews>
  <sheetFormatPr defaultRowHeight="34.5"/>
  <cols>
    <col min="1" max="1" width="43.83203125" style="84" customWidth="1"/>
    <col min="2" max="2" width="254.83203125" style="42" customWidth="1"/>
    <col min="3" max="3" width="4" style="42" hidden="1" customWidth="1"/>
    <col min="4" max="7" width="255.83203125" style="42" hidden="1" customWidth="1"/>
    <col min="8" max="8" width="234.1640625" style="42" hidden="1" customWidth="1"/>
    <col min="9" max="9" width="169.83203125" style="42" customWidth="1"/>
    <col min="10" max="10" width="255.6640625" style="42" hidden="1" customWidth="1"/>
    <col min="11" max="11" width="163.1640625" style="42" hidden="1" customWidth="1"/>
    <col min="12" max="12" width="155.6640625" style="42" customWidth="1"/>
    <col min="13" max="13" width="154.83203125" style="42" customWidth="1"/>
    <col min="14" max="14" width="255.6640625" style="42" hidden="1" customWidth="1"/>
    <col min="15" max="15" width="237.33203125" style="42" customWidth="1"/>
    <col min="16" max="16" width="254.1640625" style="42" customWidth="1"/>
    <col min="17" max="17" width="197.83203125" style="42" hidden="1" customWidth="1"/>
    <col min="18" max="18" width="131.6640625" style="206" hidden="1" customWidth="1"/>
    <col min="19" max="19" width="37.6640625" style="42" customWidth="1"/>
    <col min="20" max="20" width="9.33203125" style="42"/>
    <col min="21" max="21" width="1.83203125" style="42" customWidth="1"/>
    <col min="22" max="106" width="9.33203125" style="42" customWidth="1"/>
    <col min="107" max="107" width="14.5" style="42" customWidth="1"/>
    <col min="108" max="108" width="26.6640625" style="42" customWidth="1"/>
    <col min="109" max="109" width="24.33203125" style="42" customWidth="1"/>
    <col min="110" max="16384" width="9.33203125" style="42"/>
  </cols>
  <sheetData>
    <row r="1" spans="1:109" ht="121.5" thickBot="1">
      <c r="A1" s="1801" t="s">
        <v>409</v>
      </c>
      <c r="B1" s="1802"/>
      <c r="C1" s="1802"/>
      <c r="D1" s="1802"/>
      <c r="E1" s="1802"/>
      <c r="F1" s="1802"/>
      <c r="G1" s="1802"/>
      <c r="H1" s="1802"/>
      <c r="I1" s="1802"/>
      <c r="J1" s="1802"/>
      <c r="K1" s="1802"/>
      <c r="L1" s="1802"/>
      <c r="M1" s="1802"/>
      <c r="N1" s="1802"/>
      <c r="O1" s="1802"/>
      <c r="P1" s="1802"/>
      <c r="Q1" s="1803"/>
      <c r="R1" s="202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5"/>
    </row>
    <row r="2" spans="1:109" ht="120.75">
      <c r="A2" s="1804" t="s">
        <v>536</v>
      </c>
      <c r="B2" s="1805"/>
      <c r="C2" s="1805"/>
      <c r="D2" s="1805"/>
      <c r="E2" s="1805"/>
      <c r="F2" s="1805"/>
      <c r="G2" s="1805"/>
      <c r="H2" s="1805"/>
      <c r="I2" s="1805"/>
      <c r="J2" s="1805"/>
      <c r="K2" s="1805"/>
      <c r="L2" s="1805"/>
      <c r="M2" s="1805"/>
      <c r="N2" s="1805"/>
      <c r="O2" s="1805"/>
      <c r="P2" s="1805"/>
      <c r="Q2" s="1806"/>
      <c r="R2" s="203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7"/>
    </row>
    <row r="3" spans="1:109" ht="120.75">
      <c r="A3" s="1807" t="s">
        <v>507</v>
      </c>
      <c r="B3" s="1808"/>
      <c r="C3" s="1808"/>
      <c r="D3" s="1808"/>
      <c r="E3" s="1808"/>
      <c r="F3" s="1808"/>
      <c r="G3" s="1808"/>
      <c r="H3" s="1808"/>
      <c r="I3" s="1808"/>
      <c r="J3" s="1808"/>
      <c r="K3" s="1808"/>
      <c r="L3" s="1808"/>
      <c r="M3" s="1808"/>
      <c r="N3" s="1808"/>
      <c r="O3" s="1808"/>
      <c r="P3" s="1808"/>
      <c r="Q3" s="1809"/>
      <c r="R3" s="203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  <c r="DD3" s="66"/>
      <c r="DE3" s="67"/>
    </row>
    <row r="4" spans="1:109" ht="21" hidden="1" customHeight="1" thickBot="1">
      <c r="A4" s="1807"/>
      <c r="B4" s="1808"/>
      <c r="C4" s="1808"/>
      <c r="D4" s="1808"/>
      <c r="E4" s="1808"/>
      <c r="F4" s="1808"/>
      <c r="G4" s="1808"/>
      <c r="H4" s="1808"/>
      <c r="I4" s="1808"/>
      <c r="J4" s="1808"/>
      <c r="K4" s="1808"/>
      <c r="L4" s="1808"/>
      <c r="M4" s="1808"/>
      <c r="N4" s="1808"/>
      <c r="O4" s="1808"/>
      <c r="P4" s="1808"/>
      <c r="Q4" s="1809"/>
      <c r="R4" s="204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9"/>
    </row>
    <row r="5" spans="1:109" ht="120.75">
      <c r="A5" s="1810" t="s">
        <v>519</v>
      </c>
      <c r="B5" s="1811"/>
      <c r="C5" s="1811"/>
      <c r="D5" s="1811"/>
      <c r="E5" s="1811"/>
      <c r="F5" s="1811"/>
      <c r="G5" s="1811"/>
      <c r="H5" s="1811"/>
      <c r="I5" s="1811"/>
      <c r="J5" s="1811"/>
      <c r="K5" s="1811"/>
      <c r="L5" s="1811"/>
      <c r="M5" s="1811"/>
      <c r="N5" s="1811"/>
      <c r="O5" s="1811"/>
      <c r="P5" s="1811"/>
      <c r="Q5" s="1812"/>
      <c r="R5" s="203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7"/>
    </row>
    <row r="6" spans="1:109" ht="408.75" customHeight="1">
      <c r="A6" s="198" t="s">
        <v>0</v>
      </c>
      <c r="B6" s="1797" t="s">
        <v>434</v>
      </c>
      <c r="C6" s="1797"/>
      <c r="D6" s="199" t="s">
        <v>503</v>
      </c>
      <c r="E6" s="199" t="s">
        <v>504</v>
      </c>
      <c r="F6" s="199" t="s">
        <v>7</v>
      </c>
      <c r="G6" s="199" t="s">
        <v>1106</v>
      </c>
      <c r="H6" s="199" t="s">
        <v>1105</v>
      </c>
      <c r="I6" s="199" t="s">
        <v>1107</v>
      </c>
      <c r="J6" s="199" t="s">
        <v>499</v>
      </c>
      <c r="K6" s="199" t="s">
        <v>498</v>
      </c>
      <c r="L6" s="209" t="s">
        <v>540</v>
      </c>
      <c r="M6" s="208" t="s">
        <v>541</v>
      </c>
      <c r="N6" s="199" t="s">
        <v>500</v>
      </c>
      <c r="O6" s="199" t="s">
        <v>518</v>
      </c>
      <c r="P6" s="199" t="s">
        <v>539</v>
      </c>
      <c r="Q6" s="279" t="s">
        <v>505</v>
      </c>
      <c r="R6" s="205"/>
      <c r="S6" s="63"/>
      <c r="T6" s="63"/>
      <c r="U6" s="63"/>
      <c r="DE6" s="79"/>
    </row>
    <row r="7" spans="1:109" ht="125.25">
      <c r="A7" s="220">
        <v>1</v>
      </c>
      <c r="B7" s="221" t="s">
        <v>435</v>
      </c>
      <c r="C7" s="221"/>
      <c r="D7" s="222">
        <f>'ABEOKUTA NORTH'!CM33</f>
        <v>27701</v>
      </c>
      <c r="E7" s="223" t="s">
        <v>502</v>
      </c>
      <c r="F7" s="223"/>
      <c r="G7" s="223"/>
      <c r="H7" s="199"/>
      <c r="I7" s="222">
        <f>'ABEOKUTA NORTH NEW'!B42</f>
        <v>27</v>
      </c>
      <c r="J7" s="222" t="e">
        <f>'ABEOKUTA NORTH NEW'!#REF!</f>
        <v>#REF!</v>
      </c>
      <c r="K7" s="222" t="e">
        <f>'ABEOKUTA NORTH NEW'!#REF!</f>
        <v>#REF!</v>
      </c>
      <c r="L7" s="222" t="e">
        <f>'ABEOKUTA NORTH NEW'!#REF!</f>
        <v>#REF!</v>
      </c>
      <c r="M7" s="222" t="e">
        <f>'ABEOKUTA NORTH NEW'!#REF!</f>
        <v>#REF!</v>
      </c>
      <c r="N7" s="222" t="e">
        <f>'ABEOKUTA NORTH NEW'!#REF!</f>
        <v>#REF!</v>
      </c>
      <c r="O7" s="608" t="e">
        <f>'ABEOKUTA NORTH NEW'!#REF!</f>
        <v>#REF!</v>
      </c>
      <c r="P7" s="224" t="e">
        <f>'ABEOKUTA NORTH NEW'!#REF!</f>
        <v>#REF!</v>
      </c>
      <c r="Q7" s="229" t="e">
        <f>N7+P7</f>
        <v>#REF!</v>
      </c>
      <c r="R7" s="277" t="e">
        <f>(I7*90000+M7*150000)</f>
        <v>#REF!</v>
      </c>
      <c r="DE7" s="79"/>
    </row>
    <row r="8" spans="1:109" ht="125.25">
      <c r="A8" s="220">
        <v>2</v>
      </c>
      <c r="B8" s="221" t="s">
        <v>436</v>
      </c>
      <c r="C8" s="221"/>
      <c r="D8" s="222">
        <f>'ABEOKUTA SOUTH'!CP47-E8</f>
        <v>0</v>
      </c>
      <c r="E8" s="222">
        <f>'ABEOKUTA SOUTH'!CP46</f>
        <v>0</v>
      </c>
      <c r="F8" s="222"/>
      <c r="G8" s="222"/>
      <c r="H8" s="222"/>
      <c r="I8" s="222">
        <f>'ABEOKUTA SOUTH NEW'!B49</f>
        <v>40</v>
      </c>
      <c r="J8" s="222" t="e">
        <f>'ABEOKUTA SOUTH NEW'!C49</f>
        <v>#REF!</v>
      </c>
      <c r="K8" s="222" t="e">
        <f>'ABEOKUTA SOUTH NEW'!#REF!</f>
        <v>#REF!</v>
      </c>
      <c r="L8" s="222" t="e">
        <f>'ABEOKUTA SOUTH NEW'!C49</f>
        <v>#REF!</v>
      </c>
      <c r="M8" s="222" t="e">
        <f>'ABEOKUTA SOUTH NEW'!#REF!</f>
        <v>#REF!</v>
      </c>
      <c r="N8" s="222" t="e">
        <f>'ABEOKUTA SOUTH NEW'!#REF!</f>
        <v>#REF!</v>
      </c>
      <c r="O8" s="608" t="e">
        <f>'ABEOKUTA SOUTH NEW'!#REF!</f>
        <v>#REF!</v>
      </c>
      <c r="P8" s="224" t="e">
        <f>'ABEOKUTA SOUTH NEW'!#REF!</f>
        <v>#REF!</v>
      </c>
      <c r="Q8" s="229" t="e">
        <f t="shared" ref="Q8:Q26" si="0">N8+P8</f>
        <v>#REF!</v>
      </c>
      <c r="R8" s="277" t="e">
        <f t="shared" ref="R8:R26" si="1">(L8*90000+M8*150000)</f>
        <v>#REF!</v>
      </c>
      <c r="DE8" s="79"/>
    </row>
    <row r="9" spans="1:109" ht="125.25">
      <c r="A9" s="220">
        <v>3</v>
      </c>
      <c r="B9" s="221" t="s">
        <v>437</v>
      </c>
      <c r="C9" s="221"/>
      <c r="D9" s="222" t="e">
        <f>#REF!-E9</f>
        <v>#REF!</v>
      </c>
      <c r="E9" s="222" t="e">
        <f>#REF!</f>
        <v>#REF!</v>
      </c>
      <c r="F9" s="222"/>
      <c r="G9" s="222"/>
      <c r="H9" s="222"/>
      <c r="I9" s="222"/>
      <c r="J9" s="224"/>
      <c r="K9" s="224"/>
      <c r="L9" s="222"/>
      <c r="M9" s="222"/>
      <c r="N9" s="224" t="e">
        <f>#REF!</f>
        <v>#REF!</v>
      </c>
      <c r="O9" s="608"/>
      <c r="P9" s="224"/>
      <c r="Q9" s="229" t="e">
        <f t="shared" si="0"/>
        <v>#REF!</v>
      </c>
      <c r="R9" s="277">
        <f t="shared" si="1"/>
        <v>0</v>
      </c>
      <c r="DE9" s="79"/>
    </row>
    <row r="10" spans="1:109" ht="125.25">
      <c r="A10" s="220">
        <v>4</v>
      </c>
      <c r="B10" s="221" t="s">
        <v>438</v>
      </c>
      <c r="C10" s="221"/>
      <c r="D10" s="222">
        <f>EWEKORO!CM20-E10</f>
        <v>13111</v>
      </c>
      <c r="E10" s="222">
        <f>EWEKORO!CM19</f>
        <v>233</v>
      </c>
      <c r="F10" s="222"/>
      <c r="G10" s="222"/>
      <c r="H10" s="222"/>
      <c r="I10" s="222">
        <f>'EWEKORO NEW'!B22</f>
        <v>14</v>
      </c>
      <c r="J10" s="222">
        <f>'EWEKORO NEW'!C22</f>
        <v>9</v>
      </c>
      <c r="K10" s="222">
        <f>'EWEKORO NEW'!D22</f>
        <v>5</v>
      </c>
      <c r="L10" s="222">
        <f>'EWEKORO NEW'!C22</f>
        <v>9</v>
      </c>
      <c r="M10" s="222">
        <f>'EWEKORO NEW'!D22</f>
        <v>5</v>
      </c>
      <c r="N10" s="222">
        <f>'EWEKORO NEW'!E22</f>
        <v>0</v>
      </c>
      <c r="O10" s="608">
        <f>'EWEKORO NEW'!H21</f>
        <v>15027</v>
      </c>
      <c r="P10" s="224">
        <f>'EWEKORO NEW'!I21</f>
        <v>1560000</v>
      </c>
      <c r="Q10" s="229">
        <f t="shared" si="0"/>
        <v>1560000</v>
      </c>
      <c r="R10" s="277">
        <f t="shared" si="1"/>
        <v>1560000</v>
      </c>
      <c r="DE10" s="79"/>
    </row>
    <row r="11" spans="1:109" ht="125.25">
      <c r="A11" s="220">
        <v>5</v>
      </c>
      <c r="B11" s="221" t="s">
        <v>439</v>
      </c>
      <c r="C11" s="221"/>
      <c r="D11" s="222" t="e">
        <f>Ifo!#REF!</f>
        <v>#REF!</v>
      </c>
      <c r="E11" s="223" t="s">
        <v>502</v>
      </c>
      <c r="F11" s="223"/>
      <c r="G11" s="223"/>
      <c r="H11" s="223"/>
      <c r="I11" s="222">
        <f>'Ifo new'!A43</f>
        <v>31</v>
      </c>
      <c r="J11" s="222" t="e">
        <f>'Ifo new'!B43</f>
        <v>#REF!</v>
      </c>
      <c r="K11" s="222" t="e">
        <f>'Ifo new'!C43</f>
        <v>#REF!</v>
      </c>
      <c r="L11" s="222" t="e">
        <f>'Ifo new'!B43</f>
        <v>#REF!</v>
      </c>
      <c r="M11" s="222" t="e">
        <f>'Ifo new'!#REF!</f>
        <v>#REF!</v>
      </c>
      <c r="N11" s="222" t="e">
        <f>'Ifo new'!#REF!</f>
        <v>#REF!</v>
      </c>
      <c r="O11" s="608" t="e">
        <f>'Ifo new'!#REF!</f>
        <v>#REF!</v>
      </c>
      <c r="P11" s="224" t="e">
        <f>'Ifo new'!#REF!</f>
        <v>#REF!</v>
      </c>
      <c r="Q11" s="229" t="e">
        <f t="shared" si="0"/>
        <v>#REF!</v>
      </c>
      <c r="R11" s="277" t="e">
        <f t="shared" si="1"/>
        <v>#REF!</v>
      </c>
      <c r="DE11" s="79"/>
    </row>
    <row r="12" spans="1:109" ht="125.25">
      <c r="A12" s="220">
        <v>6</v>
      </c>
      <c r="B12" s="221" t="s">
        <v>440</v>
      </c>
      <c r="C12" s="221"/>
      <c r="D12" s="222">
        <f>'Ijebu East'!CM25</f>
        <v>0</v>
      </c>
      <c r="E12" s="223" t="s">
        <v>502</v>
      </c>
      <c r="F12" s="223"/>
      <c r="G12" s="223"/>
      <c r="H12" s="223"/>
      <c r="I12" s="222">
        <f>'Ijebu East New'!A29</f>
        <v>19</v>
      </c>
      <c r="J12" s="222">
        <f>'Ijebu East New'!B29</f>
        <v>0</v>
      </c>
      <c r="K12" s="222" t="e">
        <f>'Ijebu East New'!#REF!</f>
        <v>#REF!</v>
      </c>
      <c r="L12" s="222">
        <f>'Ijebu East New'!B29</f>
        <v>0</v>
      </c>
      <c r="M12" s="222" t="e">
        <f>'Ijebu East New'!#REF!</f>
        <v>#REF!</v>
      </c>
      <c r="N12" s="222" t="e">
        <f>'Ijebu East New'!#REF!</f>
        <v>#REF!</v>
      </c>
      <c r="O12" s="608" t="e">
        <f>'Ijebu East New'!#REF!</f>
        <v>#REF!</v>
      </c>
      <c r="P12" s="224" t="e">
        <f>'Ijebu East New'!#REF!</f>
        <v>#REF!</v>
      </c>
      <c r="Q12" s="229" t="e">
        <f t="shared" si="0"/>
        <v>#REF!</v>
      </c>
      <c r="R12" s="277" t="e">
        <f t="shared" si="1"/>
        <v>#REF!</v>
      </c>
      <c r="DE12" s="79"/>
    </row>
    <row r="13" spans="1:109" ht="125.25">
      <c r="A13" s="220">
        <v>7</v>
      </c>
      <c r="B13" s="221" t="s">
        <v>441</v>
      </c>
      <c r="C13" s="221"/>
      <c r="D13" s="222">
        <f>'Ijebu North EAST'!CV20</f>
        <v>4175</v>
      </c>
      <c r="E13" s="223" t="s">
        <v>502</v>
      </c>
      <c r="F13" s="223"/>
      <c r="G13" s="223"/>
      <c r="H13" s="223"/>
      <c r="I13" s="222">
        <f>'Ijebu North East New'!A20</f>
        <v>14</v>
      </c>
      <c r="J13" s="222">
        <f>'Ijebu North East New'!B20</f>
        <v>0</v>
      </c>
      <c r="K13" s="222" t="e">
        <f>'Ijebu North East New'!#REF!</f>
        <v>#REF!</v>
      </c>
      <c r="L13" s="222">
        <f>'Ijebu North East New'!B20</f>
        <v>0</v>
      </c>
      <c r="M13" s="222" t="e">
        <f>'Ijebu North East New'!#REF!</f>
        <v>#REF!</v>
      </c>
      <c r="N13" s="222" t="e">
        <f>'Ijebu North East New'!#REF!</f>
        <v>#REF!</v>
      </c>
      <c r="O13" s="608" t="e">
        <f>'Ijebu North East New'!#REF!</f>
        <v>#REF!</v>
      </c>
      <c r="P13" s="224" t="e">
        <f>'Ijebu North East New'!#REF!</f>
        <v>#REF!</v>
      </c>
      <c r="Q13" s="229" t="e">
        <f t="shared" si="0"/>
        <v>#REF!</v>
      </c>
      <c r="R13" s="277" t="e">
        <f t="shared" si="1"/>
        <v>#REF!</v>
      </c>
      <c r="DE13" s="79"/>
    </row>
    <row r="14" spans="1:109" ht="125.25">
      <c r="A14" s="220">
        <v>8</v>
      </c>
      <c r="B14" s="221" t="s">
        <v>442</v>
      </c>
      <c r="C14" s="221"/>
      <c r="D14" s="222">
        <f>'Ijebu North'!CD44-E14</f>
        <v>16768</v>
      </c>
      <c r="E14" s="222">
        <f>'Ijebu North'!CD27</f>
        <v>106</v>
      </c>
      <c r="F14" s="222"/>
      <c r="G14" s="222"/>
      <c r="H14" s="222"/>
      <c r="I14" s="222">
        <f>'Ijebu North New'!A49</f>
        <v>36</v>
      </c>
      <c r="J14" s="222">
        <f>'Ijebu North New'!B49</f>
        <v>0</v>
      </c>
      <c r="K14" s="222" t="e">
        <f>'Ijebu North New'!#REF!</f>
        <v>#REF!</v>
      </c>
      <c r="L14" s="222">
        <f>'Ijebu North New'!B49</f>
        <v>0</v>
      </c>
      <c r="M14" s="222" t="e">
        <f>'Ijebu North New'!#REF!</f>
        <v>#REF!</v>
      </c>
      <c r="N14" s="222" t="e">
        <f>'Ijebu North New'!#REF!</f>
        <v>#REF!</v>
      </c>
      <c r="O14" s="608" t="e">
        <f>'Ijebu North New'!#REF!</f>
        <v>#REF!</v>
      </c>
      <c r="P14" s="224" t="e">
        <f>'Ijebu North New'!#REF!</f>
        <v>#REF!</v>
      </c>
      <c r="Q14" s="229" t="e">
        <f t="shared" si="0"/>
        <v>#REF!</v>
      </c>
      <c r="R14" s="277" t="e">
        <f t="shared" si="1"/>
        <v>#REF!</v>
      </c>
      <c r="S14" s="85" t="e">
        <f>R14+K14</f>
        <v>#REF!</v>
      </c>
      <c r="DE14" s="79"/>
    </row>
    <row r="15" spans="1:109" ht="125.25">
      <c r="A15" s="220">
        <v>9</v>
      </c>
      <c r="B15" s="221" t="s">
        <v>443</v>
      </c>
      <c r="C15" s="221"/>
      <c r="D15" s="222">
        <f>'Ijebu Ode'!CM33-E15</f>
        <v>25755</v>
      </c>
      <c r="E15" s="222">
        <f>'Ijebu Ode'!CM30</f>
        <v>489</v>
      </c>
      <c r="F15" s="222"/>
      <c r="G15" s="222"/>
      <c r="H15" s="222"/>
      <c r="I15" s="222">
        <f>'Ijebu Ode New'!A34</f>
        <v>26</v>
      </c>
      <c r="J15" s="222">
        <f>'Ijebu Ode New'!B49</f>
        <v>0</v>
      </c>
      <c r="K15" s="222" t="e">
        <f>'Ijebu Ode New'!#REF!</f>
        <v>#REF!</v>
      </c>
      <c r="L15" s="222">
        <f>'Ijebu Ode New'!B34</f>
        <v>0</v>
      </c>
      <c r="M15" s="222" t="e">
        <f>'Ijebu Ode New'!#REF!</f>
        <v>#REF!</v>
      </c>
      <c r="N15" s="222" t="e">
        <f>'Ijebu Ode New'!#REF!</f>
        <v>#REF!</v>
      </c>
      <c r="O15" s="608" t="e">
        <f>'Ijebu Ode New'!#REF!</f>
        <v>#REF!</v>
      </c>
      <c r="P15" s="224" t="e">
        <f>'Ijebu Ode New'!#REF!</f>
        <v>#REF!</v>
      </c>
      <c r="Q15" s="229" t="e">
        <f t="shared" si="0"/>
        <v>#REF!</v>
      </c>
      <c r="R15" s="277" t="e">
        <f t="shared" si="1"/>
        <v>#REF!</v>
      </c>
      <c r="DE15" s="79"/>
    </row>
    <row r="16" spans="1:109" ht="125.25">
      <c r="A16" s="220">
        <v>10</v>
      </c>
      <c r="B16" s="221" t="s">
        <v>444</v>
      </c>
      <c r="C16" s="221"/>
      <c r="D16" s="222">
        <f>Ikenne!CM24</f>
        <v>0</v>
      </c>
      <c r="E16" s="223" t="s">
        <v>502</v>
      </c>
      <c r="F16" s="223"/>
      <c r="G16" s="223"/>
      <c r="H16" s="223"/>
      <c r="I16" s="222">
        <f>'Ikenne new'!B27</f>
        <v>18</v>
      </c>
      <c r="J16" s="222">
        <f>'Ikenne new'!C27</f>
        <v>0</v>
      </c>
      <c r="K16" s="222" t="e">
        <f>'Ikenne new'!#REF!</f>
        <v>#REF!</v>
      </c>
      <c r="L16" s="222">
        <f>'Ikenne new'!C27</f>
        <v>0</v>
      </c>
      <c r="M16" s="222" t="e">
        <f>'Ikenne new'!#REF!</f>
        <v>#REF!</v>
      </c>
      <c r="N16" s="222" t="e">
        <f>'Ikenne new'!#REF!</f>
        <v>#REF!</v>
      </c>
      <c r="O16" s="608" t="e">
        <f>'Ikenne new'!#REF!</f>
        <v>#REF!</v>
      </c>
      <c r="P16" s="224" t="e">
        <f>'Ikenne new'!#REF!</f>
        <v>#REF!</v>
      </c>
      <c r="Q16" s="229" t="e">
        <f t="shared" si="0"/>
        <v>#REF!</v>
      </c>
      <c r="R16" s="277" t="e">
        <f t="shared" si="1"/>
        <v>#REF!</v>
      </c>
      <c r="DE16" s="79"/>
    </row>
    <row r="17" spans="1:109" ht="125.25">
      <c r="A17" s="220">
        <v>11</v>
      </c>
      <c r="B17" s="221" t="s">
        <v>445</v>
      </c>
      <c r="C17" s="221"/>
      <c r="D17" s="225">
        <f>'Imeko Afon'!CN55</f>
        <v>6371</v>
      </c>
      <c r="E17" s="223" t="s">
        <v>502</v>
      </c>
      <c r="F17" s="223"/>
      <c r="G17" s="223"/>
      <c r="H17" s="223"/>
      <c r="I17" s="222">
        <f>'Imeko Afon NEW'!B35</f>
        <v>19</v>
      </c>
      <c r="J17" s="222" t="e">
        <f>'Imeko Afon NEW'!#REF!</f>
        <v>#REF!</v>
      </c>
      <c r="K17" s="222" t="e">
        <f>'Imeko Afon NEW'!#REF!</f>
        <v>#REF!</v>
      </c>
      <c r="L17" s="222" t="e">
        <f>'Imeko Afon NEW'!#REF!</f>
        <v>#REF!</v>
      </c>
      <c r="M17" s="222" t="e">
        <f>'Imeko Afon NEW'!#REF!</f>
        <v>#REF!</v>
      </c>
      <c r="N17" s="222" t="e">
        <f>'Imeko Afon NEW'!#REF!</f>
        <v>#REF!</v>
      </c>
      <c r="O17" s="608" t="e">
        <f>'Imeko Afon NEW'!#REF!</f>
        <v>#REF!</v>
      </c>
      <c r="P17" s="224" t="e">
        <f>'Imeko Afon NEW'!#REF!</f>
        <v>#REF!</v>
      </c>
      <c r="Q17" s="229" t="e">
        <f t="shared" si="0"/>
        <v>#REF!</v>
      </c>
      <c r="R17" s="277" t="e">
        <f t="shared" si="1"/>
        <v>#REF!</v>
      </c>
      <c r="DE17" s="79"/>
    </row>
    <row r="18" spans="1:109" ht="125.25">
      <c r="A18" s="220">
        <v>12</v>
      </c>
      <c r="B18" s="221" t="s">
        <v>446</v>
      </c>
      <c r="C18" s="221"/>
      <c r="D18" s="222">
        <f>IPOKIA!CM30</f>
        <v>17807</v>
      </c>
      <c r="E18" s="223" t="s">
        <v>502</v>
      </c>
      <c r="F18" s="223"/>
      <c r="G18" s="223"/>
      <c r="H18" s="223"/>
      <c r="I18" s="222">
        <f>'Ipokia New'!A33</f>
        <v>24</v>
      </c>
      <c r="J18" s="222">
        <f>'Ipokia New'!B33</f>
        <v>0</v>
      </c>
      <c r="K18" s="222" t="e">
        <f>'Ipokia New'!#REF!</f>
        <v>#REF!</v>
      </c>
      <c r="L18" s="222">
        <f>'Ipokia New'!B33</f>
        <v>0</v>
      </c>
      <c r="M18" s="222" t="e">
        <f>'Ipokia New'!#REF!</f>
        <v>#REF!</v>
      </c>
      <c r="N18" s="222" t="e">
        <f>'Ipokia New'!#REF!</f>
        <v>#REF!</v>
      </c>
      <c r="O18" s="608" t="e">
        <f>'Ipokia New'!#REF!</f>
        <v>#REF!</v>
      </c>
      <c r="P18" s="224" t="e">
        <f>'Ipokia New'!#REF!</f>
        <v>#REF!</v>
      </c>
      <c r="Q18" s="229" t="e">
        <f t="shared" si="0"/>
        <v>#REF!</v>
      </c>
      <c r="R18" s="277" t="e">
        <f t="shared" si="1"/>
        <v>#REF!</v>
      </c>
      <c r="DE18" s="79"/>
    </row>
    <row r="19" spans="1:109" ht="125.25">
      <c r="A19" s="220">
        <v>13</v>
      </c>
      <c r="B19" s="221" t="s">
        <v>447</v>
      </c>
      <c r="C19" s="221"/>
      <c r="D19" s="222">
        <f>'Obafemi Owode'!CX29</f>
        <v>0</v>
      </c>
      <c r="E19" s="223" t="s">
        <v>502</v>
      </c>
      <c r="F19" s="223"/>
      <c r="G19" s="223"/>
      <c r="H19" s="223"/>
      <c r="I19" s="222">
        <f>'OBAFEMI NEW'!B33</f>
        <v>23</v>
      </c>
      <c r="J19" s="222" t="e">
        <f>'OBAFEMI NEW'!#REF!</f>
        <v>#REF!</v>
      </c>
      <c r="K19" s="222" t="e">
        <f>'OBAFEMI NEW'!#REF!</f>
        <v>#REF!</v>
      </c>
      <c r="L19" s="222" t="e">
        <f>'OBAFEMI NEW'!#REF!</f>
        <v>#REF!</v>
      </c>
      <c r="M19" s="222" t="e">
        <f>'OBAFEMI NEW'!#REF!</f>
        <v>#REF!</v>
      </c>
      <c r="N19" s="222" t="e">
        <f>'OBAFEMI NEW'!#REF!</f>
        <v>#REF!</v>
      </c>
      <c r="O19" s="608" t="e">
        <f>'OBAFEMI NEW'!#REF!</f>
        <v>#REF!</v>
      </c>
      <c r="P19" s="224" t="e">
        <f>'OBAFEMI NEW'!#REF!</f>
        <v>#REF!</v>
      </c>
      <c r="Q19" s="229" t="e">
        <f t="shared" si="0"/>
        <v>#REF!</v>
      </c>
      <c r="R19" s="277" t="e">
        <f t="shared" si="1"/>
        <v>#REF!</v>
      </c>
      <c r="DE19" s="79"/>
    </row>
    <row r="20" spans="1:109" ht="125.25">
      <c r="A20" s="220">
        <v>14</v>
      </c>
      <c r="B20" s="221" t="s">
        <v>414</v>
      </c>
      <c r="C20" s="221"/>
      <c r="D20" s="222">
        <f>Odeda!CJ25</f>
        <v>0</v>
      </c>
      <c r="E20" s="223" t="s">
        <v>502</v>
      </c>
      <c r="F20" s="223"/>
      <c r="G20" s="223"/>
      <c r="H20" s="223"/>
      <c r="I20" s="222">
        <f>'Odeda new'!B24</f>
        <v>18</v>
      </c>
      <c r="J20" s="222" t="e">
        <f>'Odeda new'!#REF!</f>
        <v>#REF!</v>
      </c>
      <c r="K20" s="222" t="e">
        <f>'Odeda new'!#REF!</f>
        <v>#REF!</v>
      </c>
      <c r="L20" s="222" t="e">
        <f>'Odeda new'!#REF!</f>
        <v>#REF!</v>
      </c>
      <c r="M20" s="222" t="e">
        <f>'Odeda new'!#REF!</f>
        <v>#REF!</v>
      </c>
      <c r="N20" s="222" t="e">
        <f>'Odeda new'!#REF!</f>
        <v>#REF!</v>
      </c>
      <c r="O20" s="608" t="e">
        <f>'Odeda new'!#REF!</f>
        <v>#REF!</v>
      </c>
      <c r="P20" s="224" t="e">
        <f>'Odeda new'!#REF!</f>
        <v>#REF!</v>
      </c>
      <c r="Q20" s="229" t="e">
        <f t="shared" si="0"/>
        <v>#REF!</v>
      </c>
      <c r="R20" s="277" t="e">
        <f t="shared" si="1"/>
        <v>#REF!</v>
      </c>
      <c r="DE20" s="79"/>
    </row>
    <row r="21" spans="1:109" ht="125.25">
      <c r="A21" s="220">
        <v>15</v>
      </c>
      <c r="B21" s="221" t="s">
        <v>415</v>
      </c>
      <c r="C21" s="221"/>
      <c r="D21" s="222">
        <f>ODOGBOLU!CM32</f>
        <v>8515</v>
      </c>
      <c r="E21" s="223" t="s">
        <v>502</v>
      </c>
      <c r="F21" s="223"/>
      <c r="G21" s="223"/>
      <c r="H21" s="223"/>
      <c r="I21" s="222">
        <f>'ODOGBOLU NEW'!A38</f>
        <v>28</v>
      </c>
      <c r="J21" s="222">
        <f>'ODOGBOLU NEW'!B38</f>
        <v>0</v>
      </c>
      <c r="K21" s="222" t="e">
        <f>'ODOGBOLU NEW'!#REF!</f>
        <v>#REF!</v>
      </c>
      <c r="L21" s="222">
        <f>'ODOGBOLU NEW'!B38</f>
        <v>0</v>
      </c>
      <c r="M21" s="222" t="e">
        <f>'ODOGBOLU NEW'!#REF!</f>
        <v>#REF!</v>
      </c>
      <c r="N21" s="222" t="e">
        <f>'ODOGBOLU NEW'!#REF!</f>
        <v>#REF!</v>
      </c>
      <c r="O21" s="608" t="e">
        <f>'ODOGBOLU NEW'!#REF!</f>
        <v>#REF!</v>
      </c>
      <c r="P21" s="224" t="e">
        <f>'ODOGBOLU NEW'!#REF!</f>
        <v>#REF!</v>
      </c>
      <c r="Q21" s="229" t="e">
        <f t="shared" si="0"/>
        <v>#REF!</v>
      </c>
      <c r="R21" s="277" t="e">
        <f t="shared" si="1"/>
        <v>#REF!</v>
      </c>
      <c r="DE21" s="79"/>
    </row>
    <row r="22" spans="1:109" ht="125.25">
      <c r="A22" s="220">
        <v>16</v>
      </c>
      <c r="B22" s="221" t="s">
        <v>448</v>
      </c>
      <c r="C22" s="221"/>
      <c r="D22" s="225">
        <f>'Remo North'!CM16-E22</f>
        <v>3485</v>
      </c>
      <c r="E22" s="225">
        <f>'Remo North'!CM15</f>
        <v>28</v>
      </c>
      <c r="F22" s="225"/>
      <c r="G22" s="225"/>
      <c r="H22" s="225"/>
      <c r="I22" s="222">
        <f>'Remo north new '!B17</f>
        <v>9</v>
      </c>
      <c r="J22" s="222" t="e">
        <f>'Remo north new '!#REF!</f>
        <v>#REF!</v>
      </c>
      <c r="K22" s="222" t="e">
        <f>'Remo north new '!#REF!</f>
        <v>#REF!</v>
      </c>
      <c r="L22" s="222" t="e">
        <f>'Remo north new '!#REF!</f>
        <v>#REF!</v>
      </c>
      <c r="M22" s="222" t="e">
        <f>'Remo north new '!#REF!</f>
        <v>#REF!</v>
      </c>
      <c r="N22" s="222" t="e">
        <f>'Remo north new '!#REF!</f>
        <v>#REF!</v>
      </c>
      <c r="O22" s="608" t="e">
        <f>'Remo north new '!#REF!</f>
        <v>#REF!</v>
      </c>
      <c r="P22" s="224" t="e">
        <f>'Remo north new '!#REF!</f>
        <v>#REF!</v>
      </c>
      <c r="Q22" s="229" t="e">
        <f t="shared" si="0"/>
        <v>#REF!</v>
      </c>
      <c r="R22" s="277" t="e">
        <f t="shared" si="1"/>
        <v>#REF!</v>
      </c>
      <c r="DE22" s="79"/>
    </row>
    <row r="23" spans="1:109" ht="125.25">
      <c r="A23" s="220">
        <v>17</v>
      </c>
      <c r="B23" s="221" t="s">
        <v>449</v>
      </c>
      <c r="C23" s="221"/>
      <c r="D23" s="222">
        <f>Sagamu!CD35</f>
        <v>29003</v>
      </c>
      <c r="E23" s="223" t="s">
        <v>502</v>
      </c>
      <c r="F23" s="223"/>
      <c r="G23" s="223"/>
      <c r="H23" s="223"/>
      <c r="I23" s="222">
        <f>'Sagamu New'!B38</f>
        <v>28</v>
      </c>
      <c r="J23" s="222" t="e">
        <f>'Sagamu New'!#REF!</f>
        <v>#REF!</v>
      </c>
      <c r="K23" s="222" t="e">
        <f>'Sagamu New'!#REF!</f>
        <v>#REF!</v>
      </c>
      <c r="L23" s="222" t="e">
        <f>'Sagamu New'!#REF!</f>
        <v>#REF!</v>
      </c>
      <c r="M23" s="222" t="e">
        <f>'Sagamu New'!#REF!</f>
        <v>#REF!</v>
      </c>
      <c r="N23" s="222" t="e">
        <f>'Sagamu New'!#REF!</f>
        <v>#REF!</v>
      </c>
      <c r="O23" s="608" t="e">
        <f>'Sagamu New'!#REF!</f>
        <v>#REF!</v>
      </c>
      <c r="P23" s="224" t="e">
        <f>'Sagamu New'!#REF!</f>
        <v>#REF!</v>
      </c>
      <c r="Q23" s="229" t="e">
        <f t="shared" si="0"/>
        <v>#REF!</v>
      </c>
      <c r="R23" s="277" t="e">
        <f t="shared" si="1"/>
        <v>#REF!</v>
      </c>
      <c r="DE23" s="79"/>
    </row>
    <row r="24" spans="1:109" ht="125.25">
      <c r="A24" s="220">
        <v>18</v>
      </c>
      <c r="B24" s="221" t="s">
        <v>417</v>
      </c>
      <c r="C24" s="221"/>
      <c r="D24" s="222">
        <f>'OGUN WATERSIDE'!CN55</f>
        <v>6789</v>
      </c>
      <c r="E24" s="223" t="s">
        <v>502</v>
      </c>
      <c r="F24" s="223"/>
      <c r="G24" s="223"/>
      <c r="H24" s="223"/>
      <c r="I24" s="222">
        <f>'OGUN WATERSIDE new'!A36</f>
        <v>20</v>
      </c>
      <c r="J24" s="222">
        <f>'OGUN WATERSIDE new'!B36</f>
        <v>0</v>
      </c>
      <c r="K24" s="222" t="e">
        <f>'OGUN WATERSIDE new'!#REF!</f>
        <v>#REF!</v>
      </c>
      <c r="L24" s="222">
        <f>'OGUN WATERSIDE new'!B36</f>
        <v>0</v>
      </c>
      <c r="M24" s="222" t="e">
        <f>'OGUN WATERSIDE new'!#REF!</f>
        <v>#REF!</v>
      </c>
      <c r="N24" s="222" t="e">
        <f>'OGUN WATERSIDE new'!#REF!</f>
        <v>#REF!</v>
      </c>
      <c r="O24" s="608" t="e">
        <f>'OGUN WATERSIDE new'!#REF!</f>
        <v>#REF!</v>
      </c>
      <c r="P24" s="224" t="e">
        <f>'OGUN WATERSIDE new'!#REF!</f>
        <v>#REF!</v>
      </c>
      <c r="Q24" s="229" t="e">
        <f t="shared" si="0"/>
        <v>#REF!</v>
      </c>
      <c r="R24" s="277" t="e">
        <f t="shared" si="1"/>
        <v>#REF!</v>
      </c>
      <c r="DE24" s="79"/>
    </row>
    <row r="25" spans="1:109" ht="125.25">
      <c r="A25" s="220">
        <v>19</v>
      </c>
      <c r="B25" s="221" t="s">
        <v>450</v>
      </c>
      <c r="C25" s="221"/>
      <c r="D25" s="222">
        <f>'YEWA NORTH'!CJ40-E25</f>
        <v>15782</v>
      </c>
      <c r="E25" s="222">
        <f>'YEWA NORTH'!CJ18</f>
        <v>437</v>
      </c>
      <c r="F25" s="222"/>
      <c r="G25" s="222"/>
      <c r="H25" s="222"/>
      <c r="I25" s="222">
        <f>'YEWA NORTH NEW'!B48</f>
        <v>35</v>
      </c>
      <c r="J25" s="222" t="e">
        <f>'YEWA NORTH NEW'!#REF!</f>
        <v>#REF!</v>
      </c>
      <c r="K25" s="222" t="e">
        <f>'YEWA NORTH NEW'!#REF!</f>
        <v>#REF!</v>
      </c>
      <c r="L25" s="222" t="e">
        <f>'YEWA NORTH NEW'!#REF!</f>
        <v>#REF!</v>
      </c>
      <c r="M25" s="222" t="e">
        <f>'YEWA NORTH NEW'!#REF!</f>
        <v>#REF!</v>
      </c>
      <c r="N25" s="222" t="e">
        <f>'YEWA NORTH NEW'!#REF!</f>
        <v>#REF!</v>
      </c>
      <c r="O25" s="608" t="e">
        <f>'YEWA NORTH NEW'!#REF!</f>
        <v>#REF!</v>
      </c>
      <c r="P25" s="224" t="e">
        <f>'YEWA NORTH NEW'!#REF!</f>
        <v>#REF!</v>
      </c>
      <c r="Q25" s="229" t="e">
        <f t="shared" si="0"/>
        <v>#REF!</v>
      </c>
      <c r="R25" s="277" t="e">
        <f t="shared" si="1"/>
        <v>#REF!</v>
      </c>
      <c r="DE25" s="79"/>
    </row>
    <row r="26" spans="1:109" ht="125.25">
      <c r="A26" s="220">
        <v>20</v>
      </c>
      <c r="B26" s="221" t="s">
        <v>451</v>
      </c>
      <c r="C26" s="221"/>
      <c r="D26" s="222">
        <f>'YEWA SOUTH'!CN51</f>
        <v>22911</v>
      </c>
      <c r="E26" s="223" t="s">
        <v>502</v>
      </c>
      <c r="F26" s="223"/>
      <c r="G26" s="223"/>
      <c r="H26" s="223"/>
      <c r="I26" s="222">
        <f>'Yewa South new'!B41</f>
        <v>28</v>
      </c>
      <c r="J26" s="222">
        <f>'Yewa South new'!C41</f>
        <v>0</v>
      </c>
      <c r="K26" s="222">
        <f>'Yewa South new'!D41</f>
        <v>0</v>
      </c>
      <c r="L26" s="222" t="e">
        <f>'Yewa South new'!#REF!</f>
        <v>#REF!</v>
      </c>
      <c r="M26" s="222" t="e">
        <f>'Yewa South new'!#REF!</f>
        <v>#REF!</v>
      </c>
      <c r="N26" s="222" t="e">
        <f>'Yewa South new'!#REF!</f>
        <v>#REF!</v>
      </c>
      <c r="O26" s="608" t="e">
        <f>'Yewa South new'!#REF!</f>
        <v>#REF!</v>
      </c>
      <c r="P26" s="224" t="e">
        <f>'Yewa South new'!#REF!</f>
        <v>#REF!</v>
      </c>
      <c r="Q26" s="229" t="e">
        <f t="shared" si="0"/>
        <v>#REF!</v>
      </c>
      <c r="R26" s="277" t="e">
        <f t="shared" si="1"/>
        <v>#REF!</v>
      </c>
      <c r="DE26" s="79"/>
    </row>
    <row r="27" spans="1:109" ht="127.5" customHeight="1">
      <c r="A27" s="220"/>
      <c r="B27" s="226" t="s">
        <v>25</v>
      </c>
      <c r="C27" s="227"/>
      <c r="D27" s="222" t="e">
        <f>SUM(D7:D26)</f>
        <v>#REF!</v>
      </c>
      <c r="E27" s="222" t="e">
        <f t="shared" ref="E27:N27" si="2">SUM(E7:E26)</f>
        <v>#REF!</v>
      </c>
      <c r="F27" s="222"/>
      <c r="G27" s="222"/>
      <c r="H27" s="222"/>
      <c r="I27" s="604">
        <f>SUM(I7:I26)</f>
        <v>457</v>
      </c>
      <c r="J27" s="605" t="e">
        <f>SUM(J7:J26)</f>
        <v>#REF!</v>
      </c>
      <c r="K27" s="605" t="e">
        <f>SUM(K7:K26)</f>
        <v>#REF!</v>
      </c>
      <c r="L27" s="604" t="e">
        <f t="shared" ref="L27:M27" si="3">SUM(L7:L26)</f>
        <v>#REF!</v>
      </c>
      <c r="M27" s="604" t="e">
        <f t="shared" si="3"/>
        <v>#REF!</v>
      </c>
      <c r="N27" s="605" t="e">
        <f t="shared" si="2"/>
        <v>#REF!</v>
      </c>
      <c r="O27" s="608" t="e">
        <f>SUM(O7:O26)</f>
        <v>#REF!</v>
      </c>
      <c r="P27" s="224" t="e">
        <f>SUM(P7:P26)</f>
        <v>#REF!</v>
      </c>
      <c r="Q27" s="229" t="e">
        <f>SUM(Q7:Q26)</f>
        <v>#REF!</v>
      </c>
      <c r="R27" s="278" t="e">
        <f>SUM(R7:R26)</f>
        <v>#REF!</v>
      </c>
      <c r="DE27" s="79"/>
    </row>
    <row r="28" spans="1:109" ht="127.5" customHeight="1">
      <c r="A28" s="230"/>
      <c r="B28" s="231"/>
      <c r="C28" s="231"/>
      <c r="D28" s="232"/>
      <c r="E28" s="232"/>
      <c r="F28" s="232"/>
      <c r="G28" s="232"/>
      <c r="H28" s="232"/>
      <c r="I28" s="232"/>
      <c r="J28" s="233"/>
      <c r="K28" s="233"/>
      <c r="L28" s="232"/>
      <c r="M28" s="232"/>
      <c r="N28" s="233"/>
      <c r="O28" s="233"/>
      <c r="P28" s="233"/>
      <c r="Q28" s="235"/>
      <c r="R28" s="234"/>
      <c r="DE28" s="79"/>
    </row>
    <row r="29" spans="1:109" s="609" customFormat="1" ht="125.25">
      <c r="A29" s="1877" t="s">
        <v>508</v>
      </c>
      <c r="B29" s="1878"/>
      <c r="C29" s="1878"/>
      <c r="D29" s="1878"/>
      <c r="E29" s="1878"/>
      <c r="F29" s="1878"/>
      <c r="G29" s="1878"/>
      <c r="H29" s="1878"/>
      <c r="I29" s="1878"/>
      <c r="J29" s="1878"/>
      <c r="K29" s="1878"/>
      <c r="L29" s="1878"/>
      <c r="M29" s="1878"/>
      <c r="N29" s="1878"/>
      <c r="O29" s="1878"/>
      <c r="P29" s="1878"/>
      <c r="Q29" s="1879"/>
      <c r="DE29" s="610"/>
    </row>
    <row r="30" spans="1:109" s="609" customFormat="1" ht="125.25">
      <c r="A30" s="1880" t="s">
        <v>1108</v>
      </c>
      <c r="B30" s="1881"/>
      <c r="C30" s="1881"/>
      <c r="D30" s="1881"/>
      <c r="E30" s="1881"/>
      <c r="F30" s="1881"/>
      <c r="G30" s="1881"/>
      <c r="H30" s="1881"/>
      <c r="I30" s="1881"/>
      <c r="J30" s="1881"/>
      <c r="K30" s="1881"/>
      <c r="L30" s="1881"/>
      <c r="M30" s="1882"/>
      <c r="N30" s="612">
        <f>I27</f>
        <v>457</v>
      </c>
      <c r="O30" s="618" t="e">
        <f>O27</f>
        <v>#REF!</v>
      </c>
      <c r="P30" s="1830" t="e">
        <f>O27</f>
        <v>#REF!</v>
      </c>
      <c r="Q30" s="1831"/>
      <c r="R30" s="609">
        <v>58898550</v>
      </c>
    </row>
    <row r="31" spans="1:109" s="609" customFormat="1" ht="125.25">
      <c r="A31" s="1880" t="s">
        <v>540</v>
      </c>
      <c r="B31" s="1881"/>
      <c r="C31" s="1881"/>
      <c r="D31" s="1881"/>
      <c r="E31" s="1881"/>
      <c r="F31" s="1881"/>
      <c r="G31" s="1881"/>
      <c r="H31" s="1881"/>
      <c r="I31" s="1881"/>
      <c r="J31" s="1881"/>
      <c r="K31" s="1881"/>
      <c r="L31" s="1881"/>
      <c r="M31" s="1882"/>
      <c r="N31" s="236" t="e">
        <f>L27</f>
        <v>#REF!</v>
      </c>
      <c r="O31" s="613">
        <v>313</v>
      </c>
      <c r="P31" s="1828">
        <f>O31+O32</f>
        <v>457</v>
      </c>
      <c r="Q31" s="1829"/>
    </row>
    <row r="32" spans="1:109" s="609" customFormat="1" ht="125.25">
      <c r="A32" s="1880" t="s">
        <v>541</v>
      </c>
      <c r="B32" s="1881"/>
      <c r="C32" s="1881"/>
      <c r="D32" s="1881"/>
      <c r="E32" s="1881"/>
      <c r="F32" s="1881"/>
      <c r="G32" s="1881"/>
      <c r="H32" s="1881"/>
      <c r="I32" s="1881"/>
      <c r="J32" s="1881"/>
      <c r="K32" s="1881"/>
      <c r="L32" s="1881"/>
      <c r="M32" s="1882"/>
      <c r="N32" s="236" t="e">
        <f>M27</f>
        <v>#REF!</v>
      </c>
      <c r="O32" s="614">
        <v>144</v>
      </c>
      <c r="P32" s="1832"/>
      <c r="Q32" s="1833"/>
    </row>
    <row r="33" spans="1:17" s="609" customFormat="1" ht="125.25">
      <c r="A33" s="230"/>
      <c r="B33" s="615" t="s">
        <v>543</v>
      </c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6"/>
      <c r="N33" s="236" t="e">
        <f>N31+N32</f>
        <v>#REF!</v>
      </c>
      <c r="O33" s="606"/>
      <c r="P33" s="1834"/>
      <c r="Q33" s="1835"/>
    </row>
    <row r="34" spans="1:17" s="609" customFormat="1" ht="125.25">
      <c r="A34" s="1883" t="s">
        <v>542</v>
      </c>
      <c r="B34" s="1884"/>
      <c r="C34" s="1884"/>
      <c r="D34" s="1884"/>
      <c r="E34" s="1884"/>
      <c r="F34" s="1884"/>
      <c r="G34" s="1884"/>
      <c r="H34" s="1884"/>
      <c r="I34" s="1884"/>
      <c r="J34" s="1884"/>
      <c r="K34" s="1884"/>
      <c r="L34" s="1884"/>
      <c r="M34" s="1885"/>
      <c r="N34" s="224" t="e">
        <f>P27</f>
        <v>#REF!</v>
      </c>
      <c r="O34" s="617" t="e">
        <f>P27</f>
        <v>#REF!</v>
      </c>
      <c r="P34" s="1886" t="e">
        <f>P27</f>
        <v>#REF!</v>
      </c>
      <c r="Q34" s="1887"/>
    </row>
    <row r="35" spans="1:17" s="609" customFormat="1" ht="126" thickBot="1">
      <c r="A35" s="1890" t="s">
        <v>546</v>
      </c>
      <c r="B35" s="1891"/>
      <c r="C35" s="1891"/>
      <c r="D35" s="1891"/>
      <c r="E35" s="1891"/>
      <c r="F35" s="1891"/>
      <c r="G35" s="1891"/>
      <c r="H35" s="1891"/>
      <c r="I35" s="1891"/>
      <c r="J35" s="1891"/>
      <c r="K35" s="1891"/>
      <c r="L35" s="1891"/>
      <c r="M35" s="1892"/>
      <c r="N35" s="281" t="e">
        <f>N34+#REF!</f>
        <v>#REF!</v>
      </c>
      <c r="O35" s="607"/>
      <c r="P35" s="1888"/>
      <c r="Q35" s="1889"/>
    </row>
    <row r="36" spans="1:17">
      <c r="A36" s="80"/>
      <c r="Q36" s="79"/>
    </row>
    <row r="37" spans="1:17">
      <c r="A37" s="80"/>
      <c r="D37" s="42" t="e">
        <f>D27*150</f>
        <v>#REF!</v>
      </c>
      <c r="E37" s="42">
        <f>D14*150</f>
        <v>2515200</v>
      </c>
      <c r="Q37" s="79"/>
    </row>
    <row r="38" spans="1:17">
      <c r="A38" s="80"/>
      <c r="E38" s="42" t="e">
        <f>E27*1200</f>
        <v>#REF!</v>
      </c>
      <c r="Q38" s="79"/>
    </row>
    <row r="39" spans="1:17" ht="35.25" thickBot="1">
      <c r="A39" s="81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</row>
  </sheetData>
  <mergeCells count="15">
    <mergeCell ref="A34:M34"/>
    <mergeCell ref="P34:Q35"/>
    <mergeCell ref="A35:M35"/>
    <mergeCell ref="A31:M31"/>
    <mergeCell ref="P31:Q33"/>
    <mergeCell ref="A32:M32"/>
    <mergeCell ref="B6:C6"/>
    <mergeCell ref="A29:Q29"/>
    <mergeCell ref="A30:M30"/>
    <mergeCell ref="P30:Q30"/>
    <mergeCell ref="A1:Q1"/>
    <mergeCell ref="A2:Q2"/>
    <mergeCell ref="A3:Q3"/>
    <mergeCell ref="A4:Q4"/>
    <mergeCell ref="A5:Q5"/>
  </mergeCells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30</vt:i4>
      </vt:variant>
    </vt:vector>
  </HeadingPairs>
  <TitlesOfParts>
    <vt:vector size="75" baseType="lpstr">
      <vt:lpstr>ZONAL SUMMARY  (3)</vt:lpstr>
      <vt:lpstr>ADO ODO JUNIOR</vt:lpstr>
      <vt:lpstr>ADO ODO SENIOR</vt:lpstr>
      <vt:lpstr>ADO ODO COMBINED</vt:lpstr>
      <vt:lpstr>ABEOKUTA SOUTH NEW</vt:lpstr>
      <vt:lpstr>ABEOKUTA SOUTH</vt:lpstr>
      <vt:lpstr>ABEOKUTA NORTH NEW</vt:lpstr>
      <vt:lpstr>ABEOKUTA NORTH</vt:lpstr>
      <vt:lpstr>Yewa South new</vt:lpstr>
      <vt:lpstr>YEWA SOUTH</vt:lpstr>
      <vt:lpstr>YEWA NORTH NEW</vt:lpstr>
      <vt:lpstr>YEWA NORTH</vt:lpstr>
      <vt:lpstr>Remo north new </vt:lpstr>
      <vt:lpstr>Remo North</vt:lpstr>
      <vt:lpstr>Sagamu New</vt:lpstr>
      <vt:lpstr>Sagamu</vt:lpstr>
      <vt:lpstr>OGUN WATERSIDE new</vt:lpstr>
      <vt:lpstr>OGUN WATERSIDE</vt:lpstr>
      <vt:lpstr>OBAFEMI NEW</vt:lpstr>
      <vt:lpstr>Obafemi Owode</vt:lpstr>
      <vt:lpstr>Imeko Afon NEW</vt:lpstr>
      <vt:lpstr>Imeko Afon</vt:lpstr>
      <vt:lpstr>Odeda new</vt:lpstr>
      <vt:lpstr>Odeda</vt:lpstr>
      <vt:lpstr>EWEKORO NEW</vt:lpstr>
      <vt:lpstr>EWEKORO</vt:lpstr>
      <vt:lpstr>Ikenne new</vt:lpstr>
      <vt:lpstr>Ikenne</vt:lpstr>
      <vt:lpstr>Ijebu North New</vt:lpstr>
      <vt:lpstr>Ijebu North</vt:lpstr>
      <vt:lpstr>Ijebu North East New</vt:lpstr>
      <vt:lpstr>Ijebu North EAST</vt:lpstr>
      <vt:lpstr>Ifo new</vt:lpstr>
      <vt:lpstr>Ifo</vt:lpstr>
      <vt:lpstr>Ipokia New</vt:lpstr>
      <vt:lpstr>IPOKIA</vt:lpstr>
      <vt:lpstr>Ijebu East New</vt:lpstr>
      <vt:lpstr>Ijebu East</vt:lpstr>
      <vt:lpstr>ODOGBOLU NEW</vt:lpstr>
      <vt:lpstr>Ijebu Ode New</vt:lpstr>
      <vt:lpstr>ZONAL SUMMARY </vt:lpstr>
      <vt:lpstr>ODOGBOLU</vt:lpstr>
      <vt:lpstr>Ijebu Ode</vt:lpstr>
      <vt:lpstr>Sheet1</vt:lpstr>
      <vt:lpstr>ZONAL SUMMARY  (2)</vt:lpstr>
      <vt:lpstr>'ABEOKUTA NORTH'!Print_Area</vt:lpstr>
      <vt:lpstr>'ABEOKUTA SOUTH'!Print_Area</vt:lpstr>
      <vt:lpstr>'ABEOKUTA SOUTH NEW'!Print_Area</vt:lpstr>
      <vt:lpstr>EWEKORO!Print_Area</vt:lpstr>
      <vt:lpstr>Ifo!Print_Area</vt:lpstr>
      <vt:lpstr>'Ijebu East'!Print_Area</vt:lpstr>
      <vt:lpstr>'Ijebu North'!Print_Area</vt:lpstr>
      <vt:lpstr>'Ijebu North EAST'!Print_Area</vt:lpstr>
      <vt:lpstr>'Ijebu Ode'!Print_Area</vt:lpstr>
      <vt:lpstr>'Ijebu Ode New'!Print_Area</vt:lpstr>
      <vt:lpstr>Ikenne!Print_Area</vt:lpstr>
      <vt:lpstr>'Ikenne new'!Print_Area</vt:lpstr>
      <vt:lpstr>'Imeko Afon'!Print_Area</vt:lpstr>
      <vt:lpstr>IPOKIA!Print_Area</vt:lpstr>
      <vt:lpstr>'OBAFEMI NEW'!Print_Area</vt:lpstr>
      <vt:lpstr>'Obafemi Owode'!Print_Area</vt:lpstr>
      <vt:lpstr>Odeda!Print_Area</vt:lpstr>
      <vt:lpstr>ODOGBOLU!Print_Area</vt:lpstr>
      <vt:lpstr>'ODOGBOLU NEW'!Print_Area</vt:lpstr>
      <vt:lpstr>'OGUN WATERSIDE'!Print_Area</vt:lpstr>
      <vt:lpstr>'OGUN WATERSIDE new'!Print_Area</vt:lpstr>
      <vt:lpstr>'Remo North'!Print_Area</vt:lpstr>
      <vt:lpstr>Sagamu!Print_Area</vt:lpstr>
      <vt:lpstr>'YEWA NORTH'!Print_Area</vt:lpstr>
      <vt:lpstr>'YEWA SOUTH'!Print_Area</vt:lpstr>
      <vt:lpstr>'ZONAL SUMMARY '!Print_Area</vt:lpstr>
      <vt:lpstr>'ZONAL SUMMARY  (2)'!Print_Area</vt:lpstr>
      <vt:lpstr>'ZONAL SUMMARY  (3)'!Print_Area</vt:lpstr>
      <vt:lpstr>'ABEOKUTA SOUTH NEW'!Print_Titles</vt:lpstr>
      <vt:lpstr>'YEWA NORTH NEW'!Print_Titles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FINEST</dc:creator>
  <cp:lastModifiedBy>TEEWHY</cp:lastModifiedBy>
  <cp:lastPrinted>2020-03-17T19:18:26Z</cp:lastPrinted>
  <dcterms:created xsi:type="dcterms:W3CDTF">2019-09-06T07:22:18Z</dcterms:created>
  <dcterms:modified xsi:type="dcterms:W3CDTF">2023-04-04T10:22:24Z</dcterms:modified>
</cp:coreProperties>
</file>